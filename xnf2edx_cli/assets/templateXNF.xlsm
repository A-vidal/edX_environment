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AE6600E7-7A62-396C-DE95-9942FA9DD81E}"/>
  <workbookPr codeName="ThisWorkbook" autoCompressPictures="0"/>
  <mc:AlternateContent xmlns:mc="http://schemas.openxmlformats.org/markup-compatibility/2006">
    <mc:Choice Requires="x15">
      <x15ac:absPath xmlns:x15ac="http://schemas.microsoft.com/office/spreadsheetml/2010/11/ac" url="C:\Users\avida\OneDrive\Documentos\UPV\Servipoli\Inst_Ing_Energ\xnf2edx_cli\assets\"/>
    </mc:Choice>
  </mc:AlternateContent>
  <xr:revisionPtr revIDLastSave="0" documentId="13_ncr:1_{29EC980F-AF01-4765-A8AD-A98410C137CD}" xr6:coauthVersionLast="47" xr6:coauthVersionMax="47" xr10:uidLastSave="{00000000-0000-0000-0000-000000000000}"/>
  <bookViews>
    <workbookView xWindow="0" yWindow="0" windowWidth="11520" windowHeight="12360" firstSheet="2" activeTab="4" xr2:uid="{00000000-000D-0000-FFFF-FFFF00000000}"/>
  </bookViews>
  <sheets>
    <sheet name="Curso" sheetId="2" state="hidden" r:id="rId1"/>
    <sheet name="Examenes" sheetId="15" state="hidden" r:id="rId2"/>
    <sheet name="DatosGenerales" sheetId="39" r:id="rId3"/>
    <sheet name="Certificados" sheetId="55" r:id="rId4"/>
    <sheet name="Unidades" sheetId="38" r:id="rId5"/>
    <sheet name="Leccion" sheetId="35" r:id="rId6"/>
    <sheet name="Problemas" sheetId="36" r:id="rId7"/>
    <sheet name="TipodeTarea" sheetId="46" r:id="rId8"/>
    <sheet name="Videos" sheetId="34" r:id="rId9"/>
    <sheet name="Importardeword" sheetId="33" r:id="rId10"/>
    <sheet name="auxSeccionSubseccion" sheetId="47" state="hidden" r:id="rId11"/>
    <sheet name="auxSubseccionLeccion" sheetId="48" state="hidden" r:id="rId12"/>
    <sheet name="Mostrar Respuesta" sheetId="41" state="hidden" r:id="rId13"/>
    <sheet name="Randomice" sheetId="42" state="hidden" r:id="rId14"/>
    <sheet name="Tipo Problema" sheetId="43" state="hidden" r:id="rId15"/>
    <sheet name="Categorias" sheetId="49" r:id="rId16"/>
    <sheet name="htmldocs" sheetId="51" r:id="rId17"/>
    <sheet name="Docs" sheetId="50" r:id="rId18"/>
    <sheet name="Tabs" sheetId="52" r:id="rId19"/>
    <sheet name="Subtitulos" sheetId="53" r:id="rId20"/>
    <sheet name="Idiomas" sheetId="54" r:id="rId21"/>
  </sheets>
  <externalReferences>
    <externalReference r:id="rId22"/>
  </externalReferences>
  <definedNames>
    <definedName name="_xlnm._FilterDatabase" localSheetId="17" hidden="1">Docs!$A$1:$B$1</definedName>
    <definedName name="_GoBack" localSheetId="2">DatosGenerales!$A$13</definedName>
    <definedName name="uniqueLeccion" localSheetId="18">OFFSET([1]auxSubseccionLeccion!$B$2,0,MATCH([1]Problemas!$D1,[1]auxSubseccionLeccion!$B$1:$EH$1,0)-1,SUMPRODUCT(--([1]Problemas!$D1=[1]!Leccion[SubSección])))</definedName>
    <definedName name="uniqueLeccion">OFFSET(auxSubseccionLeccion!$B$2,0,MATCH(Problemas!$D1,auxSubseccionLeccion!$B$1:$EH$1,0)-1,SUMPRODUCT(--(Problemas!$D1=Leccion[SubSección])))</definedName>
    <definedName name="uniqueSection" localSheetId="18">OFFSET([1]auxSeccionSubseccion!$B$1,0,0,1,MATCH("ZZZZZZZ",[1]auxSeccionSubseccion!$B$1:$EH$1))</definedName>
    <definedName name="uniqueSection">OFFSET(auxSeccionSubseccion!$B$1,0,0,1,MATCH("ZZZZZZZ",auxSeccionSubseccion!$B$1:$EH$1))</definedName>
    <definedName name="uniqueSubsection" localSheetId="18">OFFSET([1]auxSeccionSubseccion!$B$2,0,MATCH([1]Leccion!$B1,[1]auxSeccionSubseccion!$B$1:$EH$1,0)-1,SUMPRODUCT(--([1]Leccion!$B1=[1]!Unidades[selectorSeccion])))</definedName>
    <definedName name="uniqueSubsection">OFFSET(auxSeccionSubseccion!$B$2,0,MATCH(Leccion!$B1,auxSeccionSubseccion!$B$1:$EH$1,0)-1,SUMPRODUCT(--(Leccion!$B1=Unidades[selectorSeccion])))</definedName>
    <definedName name="uniqueSubsectionL" localSheetId="18">OFFSET([1]auxSeccionSubseccion!$B$2,0,MATCH([1]Problemas!$B1,[1]auxSeccionSubseccion!$B$1:$EH$1,0)-1,SUMPRODUCT(--([1]Problemas!$B1=[1]!Unidades[selectorSeccion])))</definedName>
    <definedName name="uniqueSubsectionL">OFFSET(auxSeccionSubseccion!$B$2,0,MATCH(Problemas!$B1,auxSeccionSubseccion!$B$1:$EH$1,0)-1,SUMPRODUCT(--(Problemas!$B1=Unidades[selectorSeccion])))</definedName>
    <definedName name="videoscurso.php?CODIGO_859f0667_977c_e64a_a031_fad23cd7ae02" localSheetId="8">Videos!$A$1:$F$71</definedName>
  </definedNames>
  <calcPr calcId="191029"/>
  <fileRecoveryPr autoRecover="0"/>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5" i="53" l="1"/>
  <c r="B4" i="53"/>
  <c r="B3" i="53"/>
  <c r="B2" i="38"/>
  <c r="D2" i="38" s="1"/>
  <c r="I4" i="46"/>
  <c r="I6" i="46"/>
  <c r="I5" i="46"/>
  <c r="I3" i="46"/>
  <c r="I2" i="46"/>
  <c r="H5" i="15"/>
  <c r="G207" i="2"/>
  <c r="G208" i="2" s="1"/>
  <c r="G209" i="2" s="1"/>
  <c r="G210" i="2" s="1"/>
  <c r="G211" i="2" s="1"/>
  <c r="G212" i="2" s="1"/>
  <c r="G213" i="2" s="1"/>
  <c r="G214" i="2" s="1"/>
  <c r="G215" i="2" s="1"/>
  <c r="G216" i="2" s="1"/>
  <c r="G217" i="2" s="1"/>
  <c r="G218" i="2" s="1"/>
  <c r="G219" i="2" s="1"/>
  <c r="G220" i="2" s="1"/>
  <c r="G221" i="2" s="1"/>
  <c r="G222" i="2" s="1"/>
  <c r="G223" i="2" s="1"/>
  <c r="G188" i="2"/>
  <c r="G189" i="2" s="1"/>
  <c r="G190" i="2" s="1"/>
  <c r="G191" i="2" s="1"/>
  <c r="G192" i="2" s="1"/>
  <c r="G193" i="2" s="1"/>
  <c r="G194" i="2" s="1"/>
  <c r="G195" i="2" s="1"/>
  <c r="G196" i="2" s="1"/>
  <c r="G197" i="2" s="1"/>
  <c r="G198" i="2" s="1"/>
  <c r="G199" i="2" s="1"/>
  <c r="G200" i="2" s="1"/>
  <c r="G201" i="2" s="1"/>
  <c r="G202" i="2" s="1"/>
  <c r="G203" i="2" s="1"/>
  <c r="G204" i="2" s="1"/>
  <c r="G205" i="2" s="1"/>
  <c r="G4" i="2"/>
  <c r="G5" i="2" s="1"/>
  <c r="G6" i="2" s="1"/>
  <c r="G7" i="2" s="1"/>
  <c r="G8" i="2" s="1"/>
  <c r="G9" i="2" s="1"/>
  <c r="G10" i="2" s="1"/>
  <c r="G11" i="2" s="1"/>
  <c r="G12" i="2" s="1"/>
  <c r="G13" i="2" s="1"/>
  <c r="G14" i="2" s="1"/>
  <c r="G15" i="2" s="1"/>
  <c r="G16" i="2" s="1"/>
  <c r="G17" i="2" s="1"/>
  <c r="G18" i="2" s="1"/>
  <c r="G19" i="2" s="1"/>
  <c r="G20" i="2" s="1"/>
  <c r="G21" i="2" s="1"/>
  <c r="G22" i="2" s="1"/>
  <c r="G23" i="2" s="1"/>
  <c r="G24" i="2" s="1"/>
  <c r="G25" i="2" s="1"/>
  <c r="G26" i="2" s="1"/>
  <c r="G27" i="2" s="1"/>
  <c r="G28" i="2" s="1"/>
  <c r="G29" i="2" s="1"/>
  <c r="G30" i="2" s="1"/>
  <c r="G31" i="2" s="1"/>
  <c r="G32" i="2" s="1"/>
  <c r="G33" i="2" s="1"/>
  <c r="AF2" i="2"/>
  <c r="AG2" i="2"/>
  <c r="AI2" i="2"/>
  <c r="K2" i="38"/>
  <c r="L2" i="38"/>
  <c r="B1" i="48" l="1" a="1"/>
  <c r="B1" i="48" s="1"/>
  <c r="B1" i="47" a="1"/>
  <c r="B1" i="47" s="1"/>
  <c r="B3" i="38"/>
  <c r="K3" i="38"/>
  <c r="B4" i="38" l="1"/>
  <c r="D3" i="38"/>
  <c r="C1" i="47" a="1"/>
  <c r="C1" i="47" s="1"/>
  <c r="B51" i="48" a="1"/>
  <c r="B51" i="48" s="1"/>
  <c r="B48" i="48" a="1"/>
  <c r="B48" i="48" s="1"/>
  <c r="B40" i="48" a="1"/>
  <c r="B40" i="48" s="1"/>
  <c r="B32" i="48" a="1"/>
  <c r="B32" i="48" s="1"/>
  <c r="B24" i="48" a="1"/>
  <c r="B24" i="48" s="1"/>
  <c r="B16" i="48" a="1"/>
  <c r="B16" i="48" s="1"/>
  <c r="B8" i="48" a="1"/>
  <c r="B8" i="48" s="1"/>
  <c r="B47" i="48" a="1"/>
  <c r="B47" i="48" s="1"/>
  <c r="B39" i="48" a="1"/>
  <c r="B39" i="48" s="1"/>
  <c r="B27" i="48" a="1"/>
  <c r="B27" i="48" s="1"/>
  <c r="B19" i="48" a="1"/>
  <c r="B19" i="48" s="1"/>
  <c r="B9" i="48" a="1"/>
  <c r="B9" i="48" s="1"/>
  <c r="B17" i="48" a="1"/>
  <c r="B17" i="48" s="1"/>
  <c r="B46" i="48" a="1"/>
  <c r="B46" i="48" s="1"/>
  <c r="B38" i="48" a="1"/>
  <c r="B38" i="48" s="1"/>
  <c r="B30" i="48" a="1"/>
  <c r="B30" i="48" s="1"/>
  <c r="B22" i="48" a="1"/>
  <c r="B22" i="48" s="1"/>
  <c r="B14" i="48" a="1"/>
  <c r="B14" i="48" s="1"/>
  <c r="B6" i="48" a="1"/>
  <c r="B6" i="48" s="1"/>
  <c r="B45" i="48" a="1"/>
  <c r="B45" i="48" s="1"/>
  <c r="B37" i="48" a="1"/>
  <c r="B37" i="48" s="1"/>
  <c r="B25" i="48" a="1"/>
  <c r="B25" i="48" s="1"/>
  <c r="B15" i="48" a="1"/>
  <c r="B15" i="48" s="1"/>
  <c r="B7" i="48" a="1"/>
  <c r="B7" i="48" s="1"/>
  <c r="B28" i="48" a="1"/>
  <c r="B28" i="48" s="1"/>
  <c r="B10" i="48" a="1"/>
  <c r="B10" i="48" s="1"/>
  <c r="B5" i="48" a="1"/>
  <c r="B5" i="48" s="1"/>
  <c r="B50" i="48" a="1"/>
  <c r="B50" i="48" s="1"/>
  <c r="B4" i="48" a="1"/>
  <c r="B4" i="48" s="1"/>
  <c r="B33" i="48" a="1"/>
  <c r="B33" i="48" s="1"/>
  <c r="B44" i="48" a="1"/>
  <c r="B44" i="48" s="1"/>
  <c r="B26" i="48" a="1"/>
  <c r="B26" i="48" s="1"/>
  <c r="B23" i="48" a="1"/>
  <c r="B23" i="48" s="1"/>
  <c r="B20" i="48" a="1"/>
  <c r="B20" i="48" s="1"/>
  <c r="B49" i="48" a="1"/>
  <c r="B49" i="48" s="1"/>
  <c r="B42" i="48" a="1"/>
  <c r="B42" i="48" s="1"/>
  <c r="B43" i="48" a="1"/>
  <c r="B43" i="48" s="1"/>
  <c r="B21" i="48" a="1"/>
  <c r="B21" i="48" s="1"/>
  <c r="B36" i="48" a="1"/>
  <c r="B36" i="48" s="1"/>
  <c r="B18" i="48" a="1"/>
  <c r="B18" i="48" s="1"/>
  <c r="B13" i="48" a="1"/>
  <c r="B13" i="48" s="1"/>
  <c r="B12" i="48" a="1"/>
  <c r="B12" i="48" s="1"/>
  <c r="B41" i="48" a="1"/>
  <c r="B41" i="48" s="1"/>
  <c r="B35" i="48" a="1"/>
  <c r="B35" i="48" s="1"/>
  <c r="B31" i="48" a="1"/>
  <c r="B31" i="48" s="1"/>
  <c r="B29" i="48" a="1"/>
  <c r="B29" i="48" s="1"/>
  <c r="B11" i="48" a="1"/>
  <c r="B11" i="48" s="1"/>
  <c r="B34" i="48" a="1"/>
  <c r="B34" i="48" s="1"/>
  <c r="B3" i="48" a="1"/>
  <c r="B3" i="48" s="1"/>
  <c r="L3" i="38"/>
  <c r="K4" i="38"/>
  <c r="B5" i="38" l="1"/>
  <c r="D4" i="38"/>
  <c r="C1" i="48" a="1"/>
  <c r="C1" i="48" s="1"/>
  <c r="K5" i="38"/>
  <c r="L4" i="38"/>
  <c r="B6" i="38" l="1"/>
  <c r="D5" i="38"/>
  <c r="C51" i="48" a="1"/>
  <c r="C51" i="48" s="1"/>
  <c r="C47" i="48" a="1"/>
  <c r="C47" i="48" s="1"/>
  <c r="C41" i="48" a="1"/>
  <c r="C41" i="48" s="1"/>
  <c r="C40" i="48" a="1"/>
  <c r="C40" i="48" s="1"/>
  <c r="C35" i="48" a="1"/>
  <c r="C35" i="48" s="1"/>
  <c r="C30" i="48" a="1"/>
  <c r="C30" i="48" s="1"/>
  <c r="C24" i="48" a="1"/>
  <c r="C24" i="48" s="1"/>
  <c r="C23" i="48" a="1"/>
  <c r="C23" i="48" s="1"/>
  <c r="C18" i="48" a="1"/>
  <c r="C18" i="48" s="1"/>
  <c r="C9" i="48" a="1"/>
  <c r="C9" i="48" s="1"/>
  <c r="C50" i="48" a="1"/>
  <c r="C50" i="48" s="1"/>
  <c r="C46" i="48" a="1"/>
  <c r="C46" i="48" s="1"/>
  <c r="C43" i="48" a="1"/>
  <c r="C43" i="48" s="1"/>
  <c r="C38" i="48" a="1"/>
  <c r="C38" i="48" s="1"/>
  <c r="C34" i="48" a="1"/>
  <c r="C34" i="48" s="1"/>
  <c r="C31" i="48" a="1"/>
  <c r="C31" i="48" s="1"/>
  <c r="C25" i="48" a="1"/>
  <c r="C25" i="48" s="1"/>
  <c r="C22" i="48" a="1"/>
  <c r="C22" i="48" s="1"/>
  <c r="C17" i="48" a="1"/>
  <c r="C17" i="48" s="1"/>
  <c r="C44" i="48" a="1"/>
  <c r="C44" i="48" s="1"/>
  <c r="C21" i="48" a="1"/>
  <c r="C21" i="48" s="1"/>
  <c r="C42" i="48" a="1"/>
  <c r="C42" i="48" s="1"/>
  <c r="C33" i="48" a="1"/>
  <c r="C33" i="48" s="1"/>
  <c r="C32" i="48" a="1"/>
  <c r="C32" i="48" s="1"/>
  <c r="C20" i="48" a="1"/>
  <c r="C20" i="48" s="1"/>
  <c r="C48" i="48" a="1"/>
  <c r="C48" i="48" s="1"/>
  <c r="C39" i="48" a="1"/>
  <c r="C39" i="48" s="1"/>
  <c r="C16" i="48" a="1"/>
  <c r="C16" i="48" s="1"/>
  <c r="C37" i="48" a="1"/>
  <c r="C37" i="48" s="1"/>
  <c r="C28" i="48" a="1"/>
  <c r="C28" i="48" s="1"/>
  <c r="C10" i="48" a="1"/>
  <c r="C10" i="48" s="1"/>
  <c r="C11" i="48" a="1"/>
  <c r="C11" i="48" s="1"/>
  <c r="C49" i="48" a="1"/>
  <c r="C49" i="48" s="1"/>
  <c r="C26" i="48" a="1"/>
  <c r="C26" i="48" s="1"/>
  <c r="C19" i="48" a="1"/>
  <c r="C19" i="48" s="1"/>
  <c r="C36" i="48" a="1"/>
  <c r="C36" i="48" s="1"/>
  <c r="C29" i="48" a="1"/>
  <c r="C29" i="48" s="1"/>
  <c r="C13" i="48" a="1"/>
  <c r="C13" i="48" s="1"/>
  <c r="C27" i="48" a="1"/>
  <c r="C27" i="48" s="1"/>
  <c r="C14" i="48" a="1"/>
  <c r="C14" i="48" s="1"/>
  <c r="C15" i="48" a="1"/>
  <c r="C15" i="48" s="1"/>
  <c r="C12" i="48" a="1"/>
  <c r="C12" i="48" s="1"/>
  <c r="C45" i="48" a="1"/>
  <c r="C45" i="48" s="1"/>
  <c r="C4" i="48" a="1"/>
  <c r="C4" i="48" s="1"/>
  <c r="C6" i="48" a="1"/>
  <c r="C6" i="48" s="1"/>
  <c r="C8" i="48" a="1"/>
  <c r="C8" i="48" s="1"/>
  <c r="C7" i="48" a="1"/>
  <c r="C7" i="48" s="1"/>
  <c r="C5" i="48" a="1"/>
  <c r="C5" i="48" s="1"/>
  <c r="D1" i="48" a="1"/>
  <c r="D1" i="48" s="1"/>
  <c r="L5" i="38"/>
  <c r="K6" i="38"/>
  <c r="D6" i="38" l="1"/>
  <c r="B7" i="38"/>
  <c r="C3" i="48" a="1"/>
  <c r="C3" i="48" s="1"/>
  <c r="E1" i="48" a="1"/>
  <c r="E1" i="48" s="1"/>
  <c r="D49" i="48" a="1"/>
  <c r="D49" i="48" s="1"/>
  <c r="D44" i="48" a="1"/>
  <c r="D44" i="48" s="1"/>
  <c r="D41" i="48" a="1"/>
  <c r="D41" i="48" s="1"/>
  <c r="D37" i="48" a="1"/>
  <c r="D37" i="48" s="1"/>
  <c r="D33" i="48" a="1"/>
  <c r="D33" i="48" s="1"/>
  <c r="D30" i="48" a="1"/>
  <c r="D30" i="48" s="1"/>
  <c r="D23" i="48" a="1"/>
  <c r="D23" i="48" s="1"/>
  <c r="D21" i="48" a="1"/>
  <c r="D21" i="48" s="1"/>
  <c r="D19" i="48" a="1"/>
  <c r="D19" i="48" s="1"/>
  <c r="D48" i="48" a="1"/>
  <c r="D48" i="48" s="1"/>
  <c r="D45" i="48" a="1"/>
  <c r="D45" i="48" s="1"/>
  <c r="D39" i="48" a="1"/>
  <c r="D39" i="48" s="1"/>
  <c r="D36" i="48" a="1"/>
  <c r="D36" i="48" s="1"/>
  <c r="D31" i="48" a="1"/>
  <c r="D31" i="48" s="1"/>
  <c r="D25" i="48" a="1"/>
  <c r="D25" i="48" s="1"/>
  <c r="D28" i="48" a="1"/>
  <c r="D28" i="48" s="1"/>
  <c r="D20" i="48" a="1"/>
  <c r="D20" i="48" s="1"/>
  <c r="D16" i="48" a="1"/>
  <c r="D16" i="48" s="1"/>
  <c r="D51" i="48" a="1"/>
  <c r="D51" i="48" s="1"/>
  <c r="D42" i="48" a="1"/>
  <c r="D42" i="48" s="1"/>
  <c r="D18" i="48" a="1"/>
  <c r="D18" i="48" s="1"/>
  <c r="D7" i="48" a="1"/>
  <c r="D7" i="48" s="1"/>
  <c r="D40" i="48" a="1"/>
  <c r="D40" i="48" s="1"/>
  <c r="D29" i="48" a="1"/>
  <c r="D29" i="48" s="1"/>
  <c r="D50" i="48" a="1"/>
  <c r="D50" i="48" s="1"/>
  <c r="D26" i="48" a="1"/>
  <c r="D26" i="48" s="1"/>
  <c r="D17" i="48" a="1"/>
  <c r="D17" i="48" s="1"/>
  <c r="D8" i="48" a="1"/>
  <c r="D8" i="48" s="1"/>
  <c r="D47" i="48" a="1"/>
  <c r="D47" i="48" s="1"/>
  <c r="D38" i="48" a="1"/>
  <c r="D38" i="48" s="1"/>
  <c r="D35" i="48" a="1"/>
  <c r="D35" i="48" s="1"/>
  <c r="D27" i="48" a="1"/>
  <c r="D27" i="48" s="1"/>
  <c r="D46" i="48" a="1"/>
  <c r="D46" i="48" s="1"/>
  <c r="D24" i="48" a="1"/>
  <c r="D24" i="48" s="1"/>
  <c r="D32" i="48" a="1"/>
  <c r="D32" i="48" s="1"/>
  <c r="D9" i="48" a="1"/>
  <c r="D9" i="48" s="1"/>
  <c r="D11" i="48" a="1"/>
  <c r="D11" i="48" s="1"/>
  <c r="D22" i="48" a="1"/>
  <c r="D22" i="48" s="1"/>
  <c r="D10" i="48" a="1"/>
  <c r="D10" i="48" s="1"/>
  <c r="D43" i="48" a="1"/>
  <c r="D43" i="48" s="1"/>
  <c r="D12" i="48" a="1"/>
  <c r="D12" i="48" s="1"/>
  <c r="D14" i="48" a="1"/>
  <c r="D14" i="48" s="1"/>
  <c r="D34" i="48" a="1"/>
  <c r="D34" i="48" s="1"/>
  <c r="D15" i="48" a="1"/>
  <c r="D15" i="48" s="1"/>
  <c r="D13" i="48" a="1"/>
  <c r="D13" i="48" s="1"/>
  <c r="D5" i="48" a="1"/>
  <c r="D5" i="48" s="1"/>
  <c r="D6" i="48" a="1"/>
  <c r="D6" i="48" s="1"/>
  <c r="D4" i="48" a="1"/>
  <c r="D4" i="48" s="1"/>
  <c r="L6" i="38"/>
  <c r="K7" i="38"/>
  <c r="F1" i="48" l="1" a="1"/>
  <c r="F1" i="48" s="1"/>
  <c r="F22" i="48" s="1" a="1"/>
  <c r="F22" i="48" s="1"/>
  <c r="D7" i="38"/>
  <c r="B8" i="38"/>
  <c r="E46" i="48" a="1"/>
  <c r="E46" i="48" s="1"/>
  <c r="E45" i="48" a="1"/>
  <c r="E45" i="48" s="1"/>
  <c r="E37" i="48" a="1"/>
  <c r="E37" i="48" s="1"/>
  <c r="E36" i="48" a="1"/>
  <c r="E36" i="48" s="1"/>
  <c r="E29" i="48" a="1"/>
  <c r="E29" i="48" s="1"/>
  <c r="E27" i="48" a="1"/>
  <c r="E27" i="48" s="1"/>
  <c r="E25" i="48" a="1"/>
  <c r="E25" i="48" s="1"/>
  <c r="E20" i="48" a="1"/>
  <c r="E20" i="48" s="1"/>
  <c r="E51" i="48" a="1"/>
  <c r="E51" i="48" s="1"/>
  <c r="E48" i="48" a="1"/>
  <c r="E48" i="48" s="1"/>
  <c r="E43" i="48" a="1"/>
  <c r="E43" i="48" s="1"/>
  <c r="E40" i="48" a="1"/>
  <c r="E40" i="48" s="1"/>
  <c r="E35" i="48" a="1"/>
  <c r="E35" i="48" s="1"/>
  <c r="E30" i="48" a="1"/>
  <c r="E30" i="48" s="1"/>
  <c r="E23" i="48" a="1"/>
  <c r="E23" i="48" s="1"/>
  <c r="E26" i="48" a="1"/>
  <c r="E26" i="48" s="1"/>
  <c r="E19" i="48" a="1"/>
  <c r="E19" i="48" s="1"/>
  <c r="E50" i="48" a="1"/>
  <c r="E50" i="48" s="1"/>
  <c r="E47" i="48" a="1"/>
  <c r="E47" i="48" s="1"/>
  <c r="E41" i="48" a="1"/>
  <c r="E41" i="48" s="1"/>
  <c r="E38" i="48" a="1"/>
  <c r="E38" i="48" s="1"/>
  <c r="E34" i="48" a="1"/>
  <c r="E34" i="48" s="1"/>
  <c r="E33" i="48" a="1"/>
  <c r="E33" i="48" s="1"/>
  <c r="E24" i="48" a="1"/>
  <c r="E24" i="48" s="1"/>
  <c r="E22" i="48" a="1"/>
  <c r="E22" i="48" s="1"/>
  <c r="E31" i="48" a="1"/>
  <c r="E31" i="48" s="1"/>
  <c r="E49" i="48" a="1"/>
  <c r="E49" i="48" s="1"/>
  <c r="E39" i="48" a="1"/>
  <c r="E39" i="48" s="1"/>
  <c r="E28" i="48" a="1"/>
  <c r="E28" i="48" s="1"/>
  <c r="E44" i="48" a="1"/>
  <c r="E44" i="48" s="1"/>
  <c r="E32" i="48" a="1"/>
  <c r="E32" i="48" s="1"/>
  <c r="E21" i="48" a="1"/>
  <c r="E21" i="48" s="1"/>
  <c r="E42" i="48" a="1"/>
  <c r="E42" i="48" s="1"/>
  <c r="E7" i="48" a="1"/>
  <c r="E7" i="48" s="1"/>
  <c r="E5" i="48" a="1"/>
  <c r="E5" i="48" s="1"/>
  <c r="E8" i="48" a="1"/>
  <c r="E8" i="48" s="1"/>
  <c r="E9" i="48" a="1"/>
  <c r="E9" i="48" s="1"/>
  <c r="E13" i="48" a="1"/>
  <c r="E13" i="48" s="1"/>
  <c r="E10" i="48" a="1"/>
  <c r="E10" i="48" s="1"/>
  <c r="E12" i="48" a="1"/>
  <c r="E12" i="48" s="1"/>
  <c r="E6" i="48" a="1"/>
  <c r="E6" i="48" s="1"/>
  <c r="E11" i="48" a="1"/>
  <c r="E11" i="48" s="1"/>
  <c r="E14" i="48" a="1"/>
  <c r="E14" i="48" s="1"/>
  <c r="E17" i="48" a="1"/>
  <c r="E17" i="48" s="1"/>
  <c r="E15" i="48" a="1"/>
  <c r="E15" i="48" s="1"/>
  <c r="E16" i="48" a="1"/>
  <c r="E16" i="48" s="1"/>
  <c r="E18" i="48" a="1"/>
  <c r="E18" i="48" s="1"/>
  <c r="E4" i="48" a="1"/>
  <c r="E4" i="48" s="1"/>
  <c r="E3" i="48" a="1"/>
  <c r="E3" i="48" s="1"/>
  <c r="K8" i="38"/>
  <c r="L7" i="38"/>
  <c r="F23" i="48" l="1" a="1"/>
  <c r="F23" i="48" s="1"/>
  <c r="F32" i="48" a="1"/>
  <c r="F32" i="48" s="1"/>
  <c r="F35" i="48" a="1"/>
  <c r="F35" i="48" s="1"/>
  <c r="F37" i="48" a="1"/>
  <c r="F37" i="48" s="1"/>
  <c r="F11" i="48" a="1"/>
  <c r="F11" i="48" s="1"/>
  <c r="F41" i="48" a="1"/>
  <c r="F41" i="48" s="1"/>
  <c r="F9" i="48" a="1"/>
  <c r="F9" i="48" s="1"/>
  <c r="F25" i="48" a="1"/>
  <c r="F25" i="48" s="1"/>
  <c r="F18" i="48" a="1"/>
  <c r="F18" i="48" s="1"/>
  <c r="F8" i="48" a="1"/>
  <c r="F8" i="48" s="1"/>
  <c r="F33" i="48" a="1"/>
  <c r="F33" i="48" s="1"/>
  <c r="F16" i="48" a="1"/>
  <c r="F16" i="48" s="1"/>
  <c r="F30" i="48" a="1"/>
  <c r="F30" i="48" s="1"/>
  <c r="F34" i="48" a="1"/>
  <c r="F34" i="48" s="1"/>
  <c r="F14" i="48" a="1"/>
  <c r="F14" i="48" s="1"/>
  <c r="F36" i="48" a="1"/>
  <c r="F36" i="48" s="1"/>
  <c r="F12" i="48" a="1"/>
  <c r="F12" i="48" s="1"/>
  <c r="F40" i="48" a="1"/>
  <c r="F40" i="48" s="1"/>
  <c r="F17" i="48" a="1"/>
  <c r="F17" i="48" s="1"/>
  <c r="F47" i="48" a="1"/>
  <c r="F47" i="48" s="1"/>
  <c r="F31" i="48" a="1"/>
  <c r="F31" i="48" s="1"/>
  <c r="F43" i="48" a="1"/>
  <c r="F43" i="48" s="1"/>
  <c r="F45" i="48" a="1"/>
  <c r="F45" i="48" s="1"/>
  <c r="F39" i="48" a="1"/>
  <c r="F39" i="48" s="1"/>
  <c r="F13" i="48" a="1"/>
  <c r="F13" i="48" s="1"/>
  <c r="F28" i="48" a="1"/>
  <c r="F28" i="48" s="1"/>
  <c r="F6" i="48" a="1"/>
  <c r="F6" i="48" s="1"/>
  <c r="F49" i="48" a="1"/>
  <c r="F49" i="48" s="1"/>
  <c r="F48" i="48" a="1"/>
  <c r="F48" i="48" s="1"/>
  <c r="F42" i="48" a="1"/>
  <c r="F42" i="48" s="1"/>
  <c r="F4" i="48" a="1"/>
  <c r="F4" i="48" s="1"/>
  <c r="F44" i="48" a="1"/>
  <c r="F44" i="48" s="1"/>
  <c r="F38" i="48" a="1"/>
  <c r="F38" i="48" s="1"/>
  <c r="F20" i="48" a="1"/>
  <c r="F20" i="48" s="1"/>
  <c r="F21" i="48" a="1"/>
  <c r="F21" i="48" s="1"/>
  <c r="F7" i="48" a="1"/>
  <c r="F7" i="48" s="1"/>
  <c r="F46" i="48" a="1"/>
  <c r="F46" i="48" s="1"/>
  <c r="F10" i="48" a="1"/>
  <c r="F10" i="48" s="1"/>
  <c r="F19" i="48" a="1"/>
  <c r="F19" i="48" s="1"/>
  <c r="F27" i="48" a="1"/>
  <c r="F27" i="48" s="1"/>
  <c r="F26" i="48" a="1"/>
  <c r="F26" i="48" s="1"/>
  <c r="F5" i="48" a="1"/>
  <c r="F5" i="48" s="1"/>
  <c r="F51" i="48" a="1"/>
  <c r="F51" i="48" s="1"/>
  <c r="F15" i="48" a="1"/>
  <c r="F15" i="48" s="1"/>
  <c r="F50" i="48" a="1"/>
  <c r="F50" i="48" s="1"/>
  <c r="F24" i="48" a="1"/>
  <c r="F24" i="48" s="1"/>
  <c r="F29" i="48" a="1"/>
  <c r="F29" i="48" s="1"/>
  <c r="D1" i="47" a="1"/>
  <c r="D1" i="47" s="1"/>
  <c r="G1" i="48" a="1"/>
  <c r="G1" i="48" s="1"/>
  <c r="G9" i="48" s="1" a="1"/>
  <c r="G9" i="48" s="1"/>
  <c r="D8" i="38"/>
  <c r="B9" i="38"/>
  <c r="L8" i="38"/>
  <c r="K9" i="38"/>
  <c r="G29" i="48" l="1" a="1"/>
  <c r="G29" i="48" s="1"/>
  <c r="G12" i="48" a="1"/>
  <c r="G12" i="48" s="1"/>
  <c r="G11" i="48" a="1"/>
  <c r="G11" i="48" s="1"/>
  <c r="G38" i="48" a="1"/>
  <c r="G38" i="48" s="1"/>
  <c r="G45" i="48" a="1"/>
  <c r="G45" i="48" s="1"/>
  <c r="G41" i="48" a="1"/>
  <c r="G41" i="48" s="1"/>
  <c r="G20" i="48" a="1"/>
  <c r="G20" i="48" s="1"/>
  <c r="G43" i="48" a="1"/>
  <c r="G43" i="48" s="1"/>
  <c r="G24" i="48" a="1"/>
  <c r="G24" i="48" s="1"/>
  <c r="G22" i="48" a="1"/>
  <c r="G22" i="48" s="1"/>
  <c r="G4" i="48" a="1"/>
  <c r="G4" i="48" s="1"/>
  <c r="G28" i="48" a="1"/>
  <c r="G28" i="48" s="1"/>
  <c r="G27" i="48" a="1"/>
  <c r="G27" i="48" s="1"/>
  <c r="G26" i="48" a="1"/>
  <c r="G26" i="48" s="1"/>
  <c r="G7" i="48" a="1"/>
  <c r="G7" i="48" s="1"/>
  <c r="G47" i="48" a="1"/>
  <c r="G47" i="48" s="1"/>
  <c r="H1" i="48" a="1"/>
  <c r="H1" i="48" s="1"/>
  <c r="H49" i="48" s="1" a="1"/>
  <c r="H49" i="48" s="1"/>
  <c r="G15" i="48" a="1"/>
  <c r="G15" i="48" s="1"/>
  <c r="G25" i="48" a="1"/>
  <c r="G25" i="48" s="1"/>
  <c r="G33" i="48" a="1"/>
  <c r="G33" i="48" s="1"/>
  <c r="G16" i="48" a="1"/>
  <c r="G16" i="48" s="1"/>
  <c r="G49" i="48" a="1"/>
  <c r="G49" i="48" s="1"/>
  <c r="G34" i="48" a="1"/>
  <c r="G34" i="48" s="1"/>
  <c r="B10" i="38"/>
  <c r="D9" i="38"/>
  <c r="G5" i="48" a="1"/>
  <c r="G5" i="48" s="1"/>
  <c r="G36" i="48" a="1"/>
  <c r="G36" i="48" s="1"/>
  <c r="G35" i="48" a="1"/>
  <c r="G35" i="48" s="1"/>
  <c r="G21" i="48" a="1"/>
  <c r="G21" i="48" s="1"/>
  <c r="G6" i="48" a="1"/>
  <c r="G6" i="48" s="1"/>
  <c r="G40" i="48" a="1"/>
  <c r="G40" i="48" s="1"/>
  <c r="G37" i="48" a="1"/>
  <c r="G37" i="48" s="1"/>
  <c r="G8" i="48" a="1"/>
  <c r="G8" i="48" s="1"/>
  <c r="G39" i="48" a="1"/>
  <c r="G39" i="48" s="1"/>
  <c r="G23" i="48" a="1"/>
  <c r="G23" i="48" s="1"/>
  <c r="G10" i="48" a="1"/>
  <c r="G10" i="48" s="1"/>
  <c r="G42" i="48" a="1"/>
  <c r="G42" i="48" s="1"/>
  <c r="G18" i="48" a="1"/>
  <c r="G18" i="48" s="1"/>
  <c r="G14" i="48" a="1"/>
  <c r="G14" i="48" s="1"/>
  <c r="G44" i="48" a="1"/>
  <c r="G44" i="48" s="1"/>
  <c r="G30" i="48" a="1"/>
  <c r="G30" i="48" s="1"/>
  <c r="G13" i="48" a="1"/>
  <c r="G13" i="48" s="1"/>
  <c r="G46" i="48" a="1"/>
  <c r="G46" i="48" s="1"/>
  <c r="G3" i="48" a="1"/>
  <c r="G3" i="48" s="1"/>
  <c r="G51" i="48" a="1"/>
  <c r="G51" i="48" s="1"/>
  <c r="G19" i="48" a="1"/>
  <c r="G19" i="48" s="1"/>
  <c r="G48" i="48" a="1"/>
  <c r="G48" i="48" s="1"/>
  <c r="G31" i="48" a="1"/>
  <c r="G31" i="48" s="1"/>
  <c r="G17" i="48" a="1"/>
  <c r="G17" i="48" s="1"/>
  <c r="G50" i="48" a="1"/>
  <c r="G50" i="48" s="1"/>
  <c r="G32" i="48" a="1"/>
  <c r="G32" i="48" s="1"/>
  <c r="K10" i="38"/>
  <c r="L9" i="38"/>
  <c r="H10" i="48" l="1" a="1"/>
  <c r="H10" i="48" s="1"/>
  <c r="H4" i="48" a="1"/>
  <c r="H4" i="48" s="1"/>
  <c r="H37" i="48" a="1"/>
  <c r="H37" i="48" s="1"/>
  <c r="H12" i="48" a="1"/>
  <c r="H12" i="48" s="1"/>
  <c r="H51" i="48" a="1"/>
  <c r="H51" i="48" s="1"/>
  <c r="H19" i="48" a="1"/>
  <c r="H19" i="48" s="1"/>
  <c r="H45" i="48" a="1"/>
  <c r="H45" i="48" s="1"/>
  <c r="H13" i="48" a="1"/>
  <c r="H13" i="48" s="1"/>
  <c r="H33" i="48" a="1"/>
  <c r="H33" i="48" s="1"/>
  <c r="H40" i="48" a="1"/>
  <c r="H40" i="48" s="1"/>
  <c r="H50" i="48" a="1"/>
  <c r="H50" i="48" s="1"/>
  <c r="H7" i="48" a="1"/>
  <c r="H7" i="48" s="1"/>
  <c r="H16" i="48" a="1"/>
  <c r="H16" i="48" s="1"/>
  <c r="H48" i="48" a="1"/>
  <c r="H48" i="48" s="1"/>
  <c r="H5" i="48" a="1"/>
  <c r="H5" i="48" s="1"/>
  <c r="H20" i="48" a="1"/>
  <c r="H20" i="48" s="1"/>
  <c r="H43" i="48" a="1"/>
  <c r="H43" i="48" s="1"/>
  <c r="H46" i="48" a="1"/>
  <c r="H46" i="48" s="1"/>
  <c r="H11" i="48" a="1"/>
  <c r="H11" i="48" s="1"/>
  <c r="H21" i="48" a="1"/>
  <c r="H21" i="48" s="1"/>
  <c r="H26" i="48" a="1"/>
  <c r="H26" i="48" s="1"/>
  <c r="H42" i="48" a="1"/>
  <c r="H42" i="48" s="1"/>
  <c r="H47" i="48" a="1"/>
  <c r="H47" i="48" s="1"/>
  <c r="H31" i="48" a="1"/>
  <c r="H31" i="48" s="1"/>
  <c r="H14" i="48" a="1"/>
  <c r="H14" i="48" s="1"/>
  <c r="H23" i="48" a="1"/>
  <c r="H23" i="48" s="1"/>
  <c r="H9" i="48" a="1"/>
  <c r="H9" i="48" s="1"/>
  <c r="H6" i="48" a="1"/>
  <c r="H6" i="48" s="1"/>
  <c r="H28" i="48" a="1"/>
  <c r="H28" i="48" s="1"/>
  <c r="H38" i="48" a="1"/>
  <c r="H38" i="48" s="1"/>
  <c r="H8" i="48" a="1"/>
  <c r="H8" i="48" s="1"/>
  <c r="H22" i="48" a="1"/>
  <c r="H22" i="48" s="1"/>
  <c r="H18" i="48" a="1"/>
  <c r="H18" i="48" s="1"/>
  <c r="H24" i="48" a="1"/>
  <c r="H24" i="48" s="1"/>
  <c r="H29" i="48" a="1"/>
  <c r="H29" i="48" s="1"/>
  <c r="H41" i="48" a="1"/>
  <c r="H41" i="48" s="1"/>
  <c r="H3" i="48" a="1"/>
  <c r="H3" i="48" s="1"/>
  <c r="H15" i="48" a="1"/>
  <c r="H15" i="48" s="1"/>
  <c r="H17" i="48" a="1"/>
  <c r="H17" i="48" s="1"/>
  <c r="H25" i="48" a="1"/>
  <c r="H25" i="48" s="1"/>
  <c r="H30" i="48" a="1"/>
  <c r="H30" i="48" s="1"/>
  <c r="H36" i="48" a="1"/>
  <c r="H36" i="48" s="1"/>
  <c r="H44" i="48" a="1"/>
  <c r="H44" i="48" s="1"/>
  <c r="H35" i="48" a="1"/>
  <c r="H35" i="48" s="1"/>
  <c r="H27" i="48" a="1"/>
  <c r="H27" i="48" s="1"/>
  <c r="H32" i="48" a="1"/>
  <c r="H32" i="48" s="1"/>
  <c r="H34" i="48" a="1"/>
  <c r="H34" i="48" s="1"/>
  <c r="H39" i="48" a="1"/>
  <c r="H39" i="48" s="1"/>
  <c r="I1" i="48" a="1"/>
  <c r="I1" i="48" s="1"/>
  <c r="D10" i="38"/>
  <c r="B11" i="38"/>
  <c r="K11" i="38"/>
  <c r="L10" i="38"/>
  <c r="B12" i="38" l="1"/>
  <c r="D11" i="38"/>
  <c r="I24" i="48" a="1"/>
  <c r="I24" i="48" s="1"/>
  <c r="I37" i="48" a="1"/>
  <c r="I37" i="48" s="1"/>
  <c r="I8" i="48" a="1"/>
  <c r="I8" i="48" s="1"/>
  <c r="I22" i="48" a="1"/>
  <c r="I22" i="48" s="1"/>
  <c r="I48" i="48" a="1"/>
  <c r="I48" i="48" s="1"/>
  <c r="I40" i="48" a="1"/>
  <c r="I40" i="48" s="1"/>
  <c r="J1" i="48" a="1"/>
  <c r="J1" i="48" s="1"/>
  <c r="I19" i="48" a="1"/>
  <c r="I19" i="48" s="1"/>
  <c r="I35" i="48" a="1"/>
  <c r="I35" i="48" s="1"/>
  <c r="I50" i="48" a="1"/>
  <c r="I50" i="48" s="1"/>
  <c r="I16" i="48" a="1"/>
  <c r="I16" i="48" s="1"/>
  <c r="I32" i="48" a="1"/>
  <c r="I32" i="48" s="1"/>
  <c r="I3" i="48" a="1"/>
  <c r="I3" i="48" s="1"/>
  <c r="I46" i="48" a="1"/>
  <c r="I46" i="48" s="1"/>
  <c r="I14" i="48" a="1"/>
  <c r="I14" i="48" s="1"/>
  <c r="I33" i="48" a="1"/>
  <c r="I33" i="48" s="1"/>
  <c r="I43" i="48" a="1"/>
  <c r="I43" i="48" s="1"/>
  <c r="I10" i="48" a="1"/>
  <c r="I10" i="48" s="1"/>
  <c r="I18" i="48" a="1"/>
  <c r="I18" i="48" s="1"/>
  <c r="I45" i="48" a="1"/>
  <c r="I45" i="48" s="1"/>
  <c r="I13" i="48" a="1"/>
  <c r="I13" i="48" s="1"/>
  <c r="I28" i="48" a="1"/>
  <c r="I28" i="48" s="1"/>
  <c r="I41" i="48" a="1"/>
  <c r="I41" i="48" s="1"/>
  <c r="I9" i="48" a="1"/>
  <c r="I9" i="48" s="1"/>
  <c r="I44" i="48" a="1"/>
  <c r="I44" i="48" s="1"/>
  <c r="I4" i="48" a="1"/>
  <c r="I4" i="48" s="1"/>
  <c r="I38" i="48" a="1"/>
  <c r="I38" i="48" s="1"/>
  <c r="I5" i="48" a="1"/>
  <c r="I5" i="48" s="1"/>
  <c r="I21" i="48" a="1"/>
  <c r="I21" i="48" s="1"/>
  <c r="I39" i="48" a="1"/>
  <c r="I39" i="48" s="1"/>
  <c r="I6" i="48" a="1"/>
  <c r="I6" i="48" s="1"/>
  <c r="I25" i="48" a="1"/>
  <c r="I25" i="48" s="1"/>
  <c r="I34" i="48" a="1"/>
  <c r="I34" i="48" s="1"/>
  <c r="I51" i="48" a="1"/>
  <c r="I51" i="48" s="1"/>
  <c r="I17" i="48" a="1"/>
  <c r="I17" i="48" s="1"/>
  <c r="I30" i="48" a="1"/>
  <c r="I30" i="48" s="1"/>
  <c r="I49" i="48" a="1"/>
  <c r="I49" i="48" s="1"/>
  <c r="I15" i="48" a="1"/>
  <c r="I15" i="48" s="1"/>
  <c r="I31" i="48" a="1"/>
  <c r="I31" i="48" s="1"/>
  <c r="I47" i="48" a="1"/>
  <c r="I47" i="48" s="1"/>
  <c r="I12" i="48" a="1"/>
  <c r="I12" i="48" s="1"/>
  <c r="I29" i="48" a="1"/>
  <c r="I29" i="48" s="1"/>
  <c r="I36" i="48" a="1"/>
  <c r="I36" i="48" s="1"/>
  <c r="I23" i="48" a="1"/>
  <c r="I23" i="48" s="1"/>
  <c r="I26" i="48" a="1"/>
  <c r="I26" i="48" s="1"/>
  <c r="I42" i="48" a="1"/>
  <c r="I42" i="48" s="1"/>
  <c r="I11" i="48" a="1"/>
  <c r="I11" i="48" s="1"/>
  <c r="I27" i="48" a="1"/>
  <c r="I27" i="48" s="1"/>
  <c r="I20" i="48" a="1"/>
  <c r="I20" i="48" s="1"/>
  <c r="I7" i="48" a="1"/>
  <c r="I7" i="48" s="1"/>
  <c r="L11" i="38"/>
  <c r="K12" i="38"/>
  <c r="A9" i="36" l="1"/>
  <c r="A7" i="36"/>
  <c r="A3" i="35"/>
  <c r="A8" i="35"/>
  <c r="A7" i="35"/>
  <c r="A14" i="35"/>
  <c r="A9" i="35"/>
  <c r="A11" i="35"/>
  <c r="A6" i="35"/>
  <c r="A5" i="35"/>
  <c r="A12" i="35"/>
  <c r="A13" i="35"/>
  <c r="A10" i="35"/>
  <c r="A2" i="35"/>
  <c r="A4" i="35"/>
  <c r="A8" i="36"/>
  <c r="A5" i="36"/>
  <c r="A3" i="36"/>
  <c r="A4" i="36"/>
  <c r="A6" i="36"/>
  <c r="A10" i="36"/>
  <c r="A2" i="36"/>
  <c r="B11" i="47" a="1"/>
  <c r="B11" i="47" s="1"/>
  <c r="C28" i="47" a="1"/>
  <c r="C28" i="47" s="1"/>
  <c r="D43" i="47" a="1"/>
  <c r="D43" i="47" s="1"/>
  <c r="B33" i="47" a="1"/>
  <c r="B33" i="47" s="1"/>
  <c r="B4" i="47" a="1"/>
  <c r="B4" i="47" s="1"/>
  <c r="D36" i="47" a="1"/>
  <c r="D36" i="47" s="1"/>
  <c r="B7" i="47" a="1"/>
  <c r="B7" i="47" s="1"/>
  <c r="D10" i="47" a="1"/>
  <c r="D10" i="47" s="1"/>
  <c r="C25" i="47" a="1"/>
  <c r="C25" i="47" s="1"/>
  <c r="C16" i="47" a="1"/>
  <c r="C16" i="47" s="1"/>
  <c r="D18" i="47" a="1"/>
  <c r="D18" i="47" s="1"/>
  <c r="B31" i="47" a="1"/>
  <c r="B31" i="47" s="1"/>
  <c r="C32" i="47" a="1"/>
  <c r="C32" i="47" s="1"/>
  <c r="B32" i="47" a="1"/>
  <c r="B32" i="47" s="1"/>
  <c r="C40" i="47" a="1"/>
  <c r="C40" i="47" s="1"/>
  <c r="D27" i="47" a="1"/>
  <c r="D27" i="47" s="1"/>
  <c r="B29" i="47" a="1"/>
  <c r="B29" i="47" s="1"/>
  <c r="D3" i="47" a="1"/>
  <c r="D3" i="47" s="1"/>
  <c r="C21" i="47" a="1"/>
  <c r="C21" i="47" s="1"/>
  <c r="B37" i="47" a="1"/>
  <c r="B37" i="47" s="1"/>
  <c r="C35" i="47" a="1"/>
  <c r="C35" i="47" s="1"/>
  <c r="D9" i="47" a="1"/>
  <c r="D9" i="47" s="1"/>
  <c r="C33" i="47" a="1"/>
  <c r="C33" i="47" s="1"/>
  <c r="C8" i="47" a="1"/>
  <c r="C8" i="47" s="1"/>
  <c r="B6" i="47" a="1"/>
  <c r="B6" i="47" s="1"/>
  <c r="B15" i="47" a="1"/>
  <c r="B15" i="47" s="1"/>
  <c r="D31" i="47" a="1"/>
  <c r="D31" i="47" s="1"/>
  <c r="C37" i="47" a="1"/>
  <c r="C37" i="47" s="1"/>
  <c r="C18" i="47" a="1"/>
  <c r="C18" i="47" s="1"/>
  <c r="B26" i="47" a="1"/>
  <c r="B26" i="47" s="1"/>
  <c r="C14" i="47" a="1"/>
  <c r="C14" i="47" s="1"/>
  <c r="D25" i="47" a="1"/>
  <c r="D25" i="47" s="1"/>
  <c r="C5" i="47" a="1"/>
  <c r="C5" i="47" s="1"/>
  <c r="D13" i="47" a="1"/>
  <c r="D13" i="47" s="1"/>
  <c r="D24" i="47" a="1"/>
  <c r="D24" i="47" s="1"/>
  <c r="C39" i="47" a="1"/>
  <c r="C39" i="47" s="1"/>
  <c r="D40" i="47" a="1"/>
  <c r="D40" i="47" s="1"/>
  <c r="C47" i="47" a="1"/>
  <c r="C47" i="47" s="1"/>
  <c r="D28" i="47" a="1"/>
  <c r="D28" i="47" s="1"/>
  <c r="B2" i="47" a="1"/>
  <c r="B2" i="47" s="1"/>
  <c r="D16" i="47" a="1"/>
  <c r="D16" i="47" s="1"/>
  <c r="B45" i="47" a="1"/>
  <c r="B45" i="47" s="1"/>
  <c r="D50" i="47" a="1"/>
  <c r="D50" i="47" s="1"/>
  <c r="C49" i="47" a="1"/>
  <c r="C49" i="47" s="1"/>
  <c r="B46" i="47" a="1"/>
  <c r="B46" i="47" s="1"/>
  <c r="D35" i="47" a="1"/>
  <c r="D35" i="47" s="1"/>
  <c r="B39" i="47" a="1"/>
  <c r="B39" i="47" s="1"/>
  <c r="C36" i="47" a="1"/>
  <c r="C36" i="47" s="1"/>
  <c r="D11" i="47" a="1"/>
  <c r="D11" i="47" s="1"/>
  <c r="B47" i="47" a="1"/>
  <c r="B47" i="47" s="1"/>
  <c r="D23" i="47" a="1"/>
  <c r="D23" i="47" s="1"/>
  <c r="B22" i="47" a="1"/>
  <c r="B22" i="47" s="1"/>
  <c r="D5" i="47" a="1"/>
  <c r="D5" i="47" s="1"/>
  <c r="B19" i="47" a="1"/>
  <c r="B19" i="47" s="1"/>
  <c r="C20" i="47" a="1"/>
  <c r="C20" i="47" s="1"/>
  <c r="C23" i="47" a="1"/>
  <c r="C23" i="47" s="1"/>
  <c r="B30" i="47" a="1"/>
  <c r="B30" i="47" s="1"/>
  <c r="D19" i="47" a="1"/>
  <c r="D19" i="47" s="1"/>
  <c r="C43" i="47" a="1"/>
  <c r="C43" i="47" s="1"/>
  <c r="C12" i="47" a="1"/>
  <c r="C12" i="47" s="1"/>
  <c r="B21" i="47" a="1"/>
  <c r="B21" i="47" s="1"/>
  <c r="D6" i="47" a="1"/>
  <c r="D6" i="47" s="1"/>
  <c r="B8" i="47" a="1"/>
  <c r="B8" i="47" s="1"/>
  <c r="B13" i="47" a="1"/>
  <c r="B13" i="47" s="1"/>
  <c r="D22" i="47" a="1"/>
  <c r="D22" i="47" s="1"/>
  <c r="C11" i="47" a="1"/>
  <c r="C11" i="47" s="1"/>
  <c r="D42" i="47" a="1"/>
  <c r="D42" i="47" s="1"/>
  <c r="C6" i="47" a="1"/>
  <c r="C6" i="47" s="1"/>
  <c r="C46" i="47" a="1"/>
  <c r="C46" i="47" s="1"/>
  <c r="D26" i="47" a="1"/>
  <c r="D26" i="47" s="1"/>
  <c r="C41" i="47" a="1"/>
  <c r="C41" i="47" s="1"/>
  <c r="D47" i="47" a="1"/>
  <c r="D47" i="47" s="1"/>
  <c r="C19" i="47" a="1"/>
  <c r="C19" i="47" s="1"/>
  <c r="D46" i="47" a="1"/>
  <c r="D46" i="47" s="1"/>
  <c r="C27" i="47" a="1"/>
  <c r="C27" i="47" s="1"/>
  <c r="C44" i="47" a="1"/>
  <c r="C44" i="47" s="1"/>
  <c r="D7" i="47" a="1"/>
  <c r="D7" i="47" s="1"/>
  <c r="B40" i="47" a="1"/>
  <c r="B40" i="47" s="1"/>
  <c r="D34" i="47" a="1"/>
  <c r="D34" i="47" s="1"/>
  <c r="C48" i="47" a="1"/>
  <c r="C48" i="47" s="1"/>
  <c r="B48" i="47" a="1"/>
  <c r="B48" i="47" s="1"/>
  <c r="B25" i="47" a="1"/>
  <c r="B25" i="47" s="1"/>
  <c r="E1" i="47" a="1"/>
  <c r="E1" i="47" s="1"/>
  <c r="D48" i="47" a="1"/>
  <c r="D48" i="47" s="1"/>
  <c r="B41" i="47" a="1"/>
  <c r="B41" i="47" s="1"/>
  <c r="B27" i="47" a="1"/>
  <c r="B27" i="47" s="1"/>
  <c r="D39" i="47" a="1"/>
  <c r="D39" i="47" s="1"/>
  <c r="C38" i="47" a="1"/>
  <c r="C38" i="47" s="1"/>
  <c r="D45" i="47" a="1"/>
  <c r="D45" i="47" s="1"/>
  <c r="B3" i="47" a="1"/>
  <c r="B3" i="47" s="1"/>
  <c r="C15" i="47" a="1"/>
  <c r="C15" i="47" s="1"/>
  <c r="D2" i="47" a="1"/>
  <c r="D2" i="47" s="1"/>
  <c r="C50" i="47" a="1"/>
  <c r="C50" i="47" s="1"/>
  <c r="C22" i="47" a="1"/>
  <c r="C22" i="47" s="1"/>
  <c r="D38" i="47" a="1"/>
  <c r="D38" i="47" s="1"/>
  <c r="C7" i="47" a="1"/>
  <c r="C7" i="47" s="1"/>
  <c r="D20" i="47" a="1"/>
  <c r="D20" i="47" s="1"/>
  <c r="B16" i="47" a="1"/>
  <c r="B16" i="47" s="1"/>
  <c r="C31" i="47" a="1"/>
  <c r="C31" i="47" s="1"/>
  <c r="D32" i="47" a="1"/>
  <c r="D32" i="47" s="1"/>
  <c r="B50" i="47" a="1"/>
  <c r="B50" i="47" s="1"/>
  <c r="C30" i="47" a="1"/>
  <c r="C30" i="47" s="1"/>
  <c r="C9" i="47" a="1"/>
  <c r="C9" i="47" s="1"/>
  <c r="C24" i="47" a="1"/>
  <c r="C24" i="47" s="1"/>
  <c r="B38" i="47" a="1"/>
  <c r="B38" i="47" s="1"/>
  <c r="D41" i="47" a="1"/>
  <c r="D41" i="47" s="1"/>
  <c r="C2" i="47" a="1"/>
  <c r="C2" i="47" s="1"/>
  <c r="D8" i="47" a="1"/>
  <c r="D8" i="47" s="1"/>
  <c r="B42" i="47" a="1"/>
  <c r="B42" i="47" s="1"/>
  <c r="C34" i="47" a="1"/>
  <c r="C34" i="47" s="1"/>
  <c r="C10" i="47" a="1"/>
  <c r="C10" i="47" s="1"/>
  <c r="B23" i="47" a="1"/>
  <c r="B23" i="47" s="1"/>
  <c r="B18" i="47" a="1"/>
  <c r="B18" i="47" s="1"/>
  <c r="B14" i="47" a="1"/>
  <c r="B14" i="47" s="1"/>
  <c r="D4" i="47" a="1"/>
  <c r="D4" i="47" s="1"/>
  <c r="B12" i="47" a="1"/>
  <c r="B12" i="47" s="1"/>
  <c r="B28" i="47" a="1"/>
  <c r="B28" i="47" s="1"/>
  <c r="C26" i="47" a="1"/>
  <c r="C26" i="47" s="1"/>
  <c r="B10" i="47" a="1"/>
  <c r="B10" i="47" s="1"/>
  <c r="D49" i="47" a="1"/>
  <c r="D49" i="47" s="1"/>
  <c r="B43" i="47" a="1"/>
  <c r="B43" i="47" s="1"/>
  <c r="B17" i="47" a="1"/>
  <c r="B17" i="47" s="1"/>
  <c r="C3" i="47" a="1"/>
  <c r="C3" i="47" s="1"/>
  <c r="D21" i="47" a="1"/>
  <c r="D21" i="47" s="1"/>
  <c r="C42" i="47" a="1"/>
  <c r="C42" i="47" s="1"/>
  <c r="D14" i="47" a="1"/>
  <c r="D14" i="47" s="1"/>
  <c r="B20" i="47" a="1"/>
  <c r="B20" i="47" s="1"/>
  <c r="B5" i="47" a="1"/>
  <c r="B5" i="47" s="1"/>
  <c r="C29" i="47" a="1"/>
  <c r="C29" i="47" s="1"/>
  <c r="D37" i="47" a="1"/>
  <c r="D37" i="47" s="1"/>
  <c r="B36" i="47" a="1"/>
  <c r="B36" i="47" s="1"/>
  <c r="D15" i="47" a="1"/>
  <c r="D15" i="47" s="1"/>
  <c r="C13" i="47" a="1"/>
  <c r="C13" i="47" s="1"/>
  <c r="C4" i="47" a="1"/>
  <c r="C4" i="47" s="1"/>
  <c r="D29" i="47" a="1"/>
  <c r="D29" i="47" s="1"/>
  <c r="C45" i="47" a="1"/>
  <c r="C45" i="47" s="1"/>
  <c r="D17" i="47" a="1"/>
  <c r="D17" i="47" s="1"/>
  <c r="B35" i="47" a="1"/>
  <c r="B35" i="47" s="1"/>
  <c r="B34" i="47" a="1"/>
  <c r="B34" i="47" s="1"/>
  <c r="D33" i="47" a="1"/>
  <c r="D33" i="47" s="1"/>
  <c r="D30" i="47" a="1"/>
  <c r="D30" i="47" s="1"/>
  <c r="B44" i="47" a="1"/>
  <c r="B44" i="47" s="1"/>
  <c r="B24" i="47" a="1"/>
  <c r="B24" i="47" s="1"/>
  <c r="B49" i="47" a="1"/>
  <c r="B49" i="47" s="1"/>
  <c r="D44" i="47" a="1"/>
  <c r="D44" i="47" s="1"/>
  <c r="B9" i="47" a="1"/>
  <c r="B9" i="47" s="1"/>
  <c r="D12" i="47" a="1"/>
  <c r="D12" i="47" s="1"/>
  <c r="C17" i="47" a="1"/>
  <c r="C17" i="47" s="1"/>
  <c r="J25" i="48" a="1"/>
  <c r="J25" i="48" s="1"/>
  <c r="J37" i="48" a="1"/>
  <c r="J37" i="48" s="1"/>
  <c r="J6" i="48" a="1"/>
  <c r="J6" i="48" s="1"/>
  <c r="J21" i="48" a="1"/>
  <c r="J21" i="48" s="1"/>
  <c r="J9" i="48" a="1"/>
  <c r="J9" i="48" s="1"/>
  <c r="J4" i="48" a="1"/>
  <c r="J4" i="48" s="1"/>
  <c r="J50" i="48" a="1"/>
  <c r="J50" i="48" s="1"/>
  <c r="J19" i="48" a="1"/>
  <c r="J19" i="48" s="1"/>
  <c r="J34" i="48" a="1"/>
  <c r="J34" i="48" s="1"/>
  <c r="J49" i="48" a="1"/>
  <c r="J49" i="48" s="1"/>
  <c r="J48" i="48" a="1"/>
  <c r="J48" i="48" s="1"/>
  <c r="J40" i="48" a="1"/>
  <c r="J40" i="48" s="1"/>
  <c r="J3" i="48" a="1"/>
  <c r="J3" i="48" s="1"/>
  <c r="J47" i="48" a="1"/>
  <c r="J47" i="48" s="1"/>
  <c r="J12" i="48" a="1"/>
  <c r="J12" i="48" s="1"/>
  <c r="J30" i="48" a="1"/>
  <c r="J30" i="48" s="1"/>
  <c r="J43" i="48" a="1"/>
  <c r="J43" i="48" s="1"/>
  <c r="J29" i="48" a="1"/>
  <c r="J29" i="48" s="1"/>
  <c r="J24" i="48" a="1"/>
  <c r="J24" i="48" s="1"/>
  <c r="J45" i="48" a="1"/>
  <c r="J45" i="48" s="1"/>
  <c r="J13" i="48" a="1"/>
  <c r="J13" i="48" s="1"/>
  <c r="J27" i="48" a="1"/>
  <c r="J27" i="48" s="1"/>
  <c r="J41" i="48" a="1"/>
  <c r="J41" i="48" s="1"/>
  <c r="J18" i="48" a="1"/>
  <c r="J18" i="48" s="1"/>
  <c r="J15" i="48" a="1"/>
  <c r="J15" i="48" s="1"/>
  <c r="J38" i="48" a="1"/>
  <c r="J38" i="48" s="1"/>
  <c r="J8" i="48" a="1"/>
  <c r="J8" i="48" s="1"/>
  <c r="J22" i="48" a="1"/>
  <c r="J22" i="48" s="1"/>
  <c r="J39" i="48" a="1"/>
  <c r="J39" i="48" s="1"/>
  <c r="J14" i="48" a="1"/>
  <c r="J14" i="48" s="1"/>
  <c r="J20" i="48" a="1"/>
  <c r="J20" i="48" s="1"/>
  <c r="J36" i="48" a="1"/>
  <c r="J36" i="48" s="1"/>
  <c r="J51" i="48" a="1"/>
  <c r="J51" i="48" s="1"/>
  <c r="J17" i="48" a="1"/>
  <c r="J17" i="48" s="1"/>
  <c r="J32" i="48" a="1"/>
  <c r="J32" i="48" s="1"/>
  <c r="J7" i="48" a="1"/>
  <c r="J7" i="48" s="1"/>
  <c r="J5" i="48" a="1"/>
  <c r="J5" i="48" s="1"/>
  <c r="J33" i="48" a="1"/>
  <c r="J33" i="48" s="1"/>
  <c r="J46" i="48" a="1"/>
  <c r="J46" i="48" s="1"/>
  <c r="J10" i="48" a="1"/>
  <c r="J10" i="48" s="1"/>
  <c r="J31" i="48" a="1"/>
  <c r="J31" i="48" s="1"/>
  <c r="J44" i="48" a="1"/>
  <c r="J44" i="48" s="1"/>
  <c r="J16" i="48" a="1"/>
  <c r="J16" i="48" s="1"/>
  <c r="J26" i="48" a="1"/>
  <c r="J26" i="48" s="1"/>
  <c r="J42" i="48" a="1"/>
  <c r="J42" i="48" s="1"/>
  <c r="J11" i="48" a="1"/>
  <c r="J11" i="48" s="1"/>
  <c r="J23" i="48" a="1"/>
  <c r="J23" i="48" s="1"/>
  <c r="J28" i="48" a="1"/>
  <c r="J28" i="48" s="1"/>
  <c r="J35" i="48" a="1"/>
  <c r="J35" i="48" s="1"/>
  <c r="D12" i="38"/>
  <c r="K1" i="48" a="1"/>
  <c r="K1" i="48" s="1"/>
  <c r="L12" i="38"/>
  <c r="C9" i="36" l="1"/>
  <c r="C7" i="36"/>
  <c r="C10" i="35"/>
  <c r="C8" i="35"/>
  <c r="C5" i="35"/>
  <c r="C12" i="35"/>
  <c r="C9" i="35"/>
  <c r="C13" i="35"/>
  <c r="C7" i="35"/>
  <c r="C6" i="35"/>
  <c r="C11" i="35"/>
  <c r="C14" i="35"/>
  <c r="C2" i="35"/>
  <c r="E2" i="35" s="1"/>
  <c r="C4" i="35"/>
  <c r="C3" i="35"/>
  <c r="C5" i="36"/>
  <c r="C10" i="36"/>
  <c r="C2" i="36"/>
  <c r="C6" i="36"/>
  <c r="C3" i="36"/>
  <c r="C8" i="36"/>
  <c r="C4" i="36"/>
  <c r="E28" i="47" a="1"/>
  <c r="E28" i="47" s="1"/>
  <c r="E2" i="47" a="1"/>
  <c r="E2" i="47" s="1"/>
  <c r="E37" i="47" a="1"/>
  <c r="E37" i="47" s="1"/>
  <c r="E32" i="47" a="1"/>
  <c r="E32" i="47" s="1"/>
  <c r="E23" i="47" a="1"/>
  <c r="E23" i="47" s="1"/>
  <c r="E12" i="47" a="1"/>
  <c r="E12" i="47" s="1"/>
  <c r="E10" i="47" a="1"/>
  <c r="E10" i="47" s="1"/>
  <c r="E17" i="47" a="1"/>
  <c r="E17" i="47" s="1"/>
  <c r="E46" i="47" a="1"/>
  <c r="E46" i="47" s="1"/>
  <c r="E30" i="47" a="1"/>
  <c r="E30" i="47" s="1"/>
  <c r="E29" i="47" a="1"/>
  <c r="E29" i="47" s="1"/>
  <c r="E35" i="47" a="1"/>
  <c r="E35" i="47" s="1"/>
  <c r="E49" i="47" a="1"/>
  <c r="E49" i="47" s="1"/>
  <c r="E44" i="47" a="1"/>
  <c r="E44" i="47" s="1"/>
  <c r="E36" i="47" a="1"/>
  <c r="E36" i="47" s="1"/>
  <c r="E39" i="47" a="1"/>
  <c r="E39" i="47" s="1"/>
  <c r="E18" i="47" a="1"/>
  <c r="E18" i="47" s="1"/>
  <c r="E8" i="47" a="1"/>
  <c r="E8" i="47" s="1"/>
  <c r="E5" i="47" a="1"/>
  <c r="E5" i="47" s="1"/>
  <c r="E38" i="47" a="1"/>
  <c r="E38" i="47" s="1"/>
  <c r="E34" i="47" a="1"/>
  <c r="E34" i="47" s="1"/>
  <c r="E50" i="47" a="1"/>
  <c r="E50" i="47" s="1"/>
  <c r="E20" i="47" a="1"/>
  <c r="E20" i="47" s="1"/>
  <c r="E47" i="47" a="1"/>
  <c r="E47" i="47" s="1"/>
  <c r="E26" i="47" a="1"/>
  <c r="E26" i="47" s="1"/>
  <c r="E33" i="47" a="1"/>
  <c r="E33" i="47" s="1"/>
  <c r="E45" i="47" a="1"/>
  <c r="E45" i="47" s="1"/>
  <c r="E42" i="47" a="1"/>
  <c r="E42" i="47" s="1"/>
  <c r="E48" i="47" a="1"/>
  <c r="E48" i="47" s="1"/>
  <c r="E16" i="47" a="1"/>
  <c r="E16" i="47" s="1"/>
  <c r="E25" i="47" a="1"/>
  <c r="E25" i="47" s="1"/>
  <c r="E14" i="47" a="1"/>
  <c r="E14" i="47" s="1"/>
  <c r="E22" i="47" a="1"/>
  <c r="E22" i="47" s="1"/>
  <c r="E7" i="47" a="1"/>
  <c r="E7" i="47" s="1"/>
  <c r="E24" i="47" a="1"/>
  <c r="E24" i="47" s="1"/>
  <c r="E27" i="47" a="1"/>
  <c r="E27" i="47" s="1"/>
  <c r="E41" i="47" a="1"/>
  <c r="E41" i="47" s="1"/>
  <c r="E31" i="47" a="1"/>
  <c r="E31" i="47" s="1"/>
  <c r="E13" i="47" a="1"/>
  <c r="E13" i="47" s="1"/>
  <c r="E11" i="47" a="1"/>
  <c r="E11" i="47" s="1"/>
  <c r="E19" i="47" a="1"/>
  <c r="E19" i="47" s="1"/>
  <c r="E9" i="47" a="1"/>
  <c r="E9" i="47" s="1"/>
  <c r="E15" i="47" a="1"/>
  <c r="E15" i="47" s="1"/>
  <c r="E6" i="47" a="1"/>
  <c r="E6" i="47" s="1"/>
  <c r="E4" i="47" a="1"/>
  <c r="E4" i="47" s="1"/>
  <c r="E43" i="47" a="1"/>
  <c r="E43" i="47" s="1"/>
  <c r="E3" i="47" a="1"/>
  <c r="E3" i="47" s="1"/>
  <c r="E40" i="47" a="1"/>
  <c r="E40" i="47" s="1"/>
  <c r="E21" i="47" a="1"/>
  <c r="E21" i="47" s="1"/>
  <c r="F1" i="47" a="1"/>
  <c r="F1" i="47" s="1"/>
  <c r="K24" i="48" a="1"/>
  <c r="K24" i="48" s="1"/>
  <c r="K34" i="48" a="1"/>
  <c r="K34" i="48" s="1"/>
  <c r="K42" i="48" a="1"/>
  <c r="K42" i="48" s="1"/>
  <c r="K39" i="48" a="1"/>
  <c r="K39" i="48" s="1"/>
  <c r="K12" i="48" a="1"/>
  <c r="K12" i="48" s="1"/>
  <c r="K10" i="48" a="1"/>
  <c r="K10" i="48" s="1"/>
  <c r="K23" i="48" a="1"/>
  <c r="K23" i="48" s="1"/>
  <c r="K31" i="48" a="1"/>
  <c r="K31" i="48" s="1"/>
  <c r="K37" i="48" a="1"/>
  <c r="K37" i="48" s="1"/>
  <c r="K27" i="48" a="1"/>
  <c r="K27" i="48" s="1"/>
  <c r="K28" i="48" a="1"/>
  <c r="K28" i="48" s="1"/>
  <c r="K4" i="48" a="1"/>
  <c r="K4" i="48" s="1"/>
  <c r="K44" i="48" a="1"/>
  <c r="K44" i="48" s="1"/>
  <c r="K17" i="48" a="1"/>
  <c r="K17" i="48" s="1"/>
  <c r="K49" i="48" a="1"/>
  <c r="K49" i="48" s="1"/>
  <c r="K51" i="48" a="1"/>
  <c r="K51" i="48" s="1"/>
  <c r="K18" i="48" a="1"/>
  <c r="K18" i="48" s="1"/>
  <c r="K25" i="48" a="1"/>
  <c r="K25" i="48" s="1"/>
  <c r="K29" i="48" a="1"/>
  <c r="K29" i="48" s="1"/>
  <c r="K36" i="48" a="1"/>
  <c r="K36" i="48" s="1"/>
  <c r="K6" i="48" a="1"/>
  <c r="K6" i="48" s="1"/>
  <c r="K3" i="48" a="1"/>
  <c r="K3" i="48" s="1"/>
  <c r="K50" i="48" a="1"/>
  <c r="K50" i="48" s="1"/>
  <c r="K5" i="48" a="1"/>
  <c r="K5" i="48" s="1"/>
  <c r="K47" i="48" a="1"/>
  <c r="K47" i="48" s="1"/>
  <c r="K15" i="48" a="1"/>
  <c r="K15" i="48" s="1"/>
  <c r="K21" i="48" a="1"/>
  <c r="K21" i="48" s="1"/>
  <c r="K32" i="48" a="1"/>
  <c r="K32" i="48" s="1"/>
  <c r="K20" i="48" a="1"/>
  <c r="K20" i="48" s="1"/>
  <c r="K8" i="48" a="1"/>
  <c r="K8" i="48" s="1"/>
  <c r="K40" i="48" a="1"/>
  <c r="K40" i="48" s="1"/>
  <c r="K46" i="48" a="1"/>
  <c r="K46" i="48" s="1"/>
  <c r="K13" i="48" a="1"/>
  <c r="K13" i="48" s="1"/>
  <c r="K22" i="48" a="1"/>
  <c r="K22" i="48" s="1"/>
  <c r="K33" i="48" a="1"/>
  <c r="K33" i="48" s="1"/>
  <c r="K11" i="48" a="1"/>
  <c r="K11" i="48" s="1"/>
  <c r="K35" i="48" a="1"/>
  <c r="K35" i="48" s="1"/>
  <c r="K41" i="48" a="1"/>
  <c r="K41" i="48" s="1"/>
  <c r="K48" i="48" a="1"/>
  <c r="K48" i="48" s="1"/>
  <c r="K16" i="48" a="1"/>
  <c r="K16" i="48" s="1"/>
  <c r="K19" i="48" a="1"/>
  <c r="K19" i="48" s="1"/>
  <c r="K9" i="48" a="1"/>
  <c r="K9" i="48" s="1"/>
  <c r="K30" i="48" a="1"/>
  <c r="K30" i="48" s="1"/>
  <c r="K38" i="48" a="1"/>
  <c r="K38" i="48" s="1"/>
  <c r="K45" i="48" a="1"/>
  <c r="K45" i="48" s="1"/>
  <c r="K14" i="48" a="1"/>
  <c r="K14" i="48" s="1"/>
  <c r="K43" i="48" a="1"/>
  <c r="K43" i="48" s="1"/>
  <c r="K7" i="48" a="1"/>
  <c r="K7" i="48" s="1"/>
  <c r="K26" i="48" a="1"/>
  <c r="K26" i="48" s="1"/>
  <c r="L1" i="48" a="1"/>
  <c r="L1" i="48" s="1"/>
  <c r="O2" i="35"/>
  <c r="E13" i="35" l="1"/>
  <c r="E9" i="35"/>
  <c r="E12" i="35"/>
  <c r="B2" i="48" a="1"/>
  <c r="B2" i="48" s="1"/>
  <c r="E10" i="35"/>
  <c r="E11" i="35"/>
  <c r="E4" i="35"/>
  <c r="E5" i="35" s="1"/>
  <c r="E14" i="35"/>
  <c r="E6" i="35"/>
  <c r="E3" i="35"/>
  <c r="E7" i="35"/>
  <c r="E8" i="35" s="1"/>
  <c r="G1" i="47" a="1"/>
  <c r="G1" i="47" s="1"/>
  <c r="L40" i="48" a="1"/>
  <c r="L40" i="48" s="1"/>
  <c r="L28" i="48" a="1"/>
  <c r="L28" i="48" s="1"/>
  <c r="L23" i="48" a="1"/>
  <c r="L23" i="48" s="1"/>
  <c r="L21" i="48" a="1"/>
  <c r="L21" i="48" s="1"/>
  <c r="L10" i="48" a="1"/>
  <c r="L10" i="48" s="1"/>
  <c r="L20" i="48" a="1"/>
  <c r="L20" i="48" s="1"/>
  <c r="L34" i="48" a="1"/>
  <c r="L34" i="48" s="1"/>
  <c r="L49" i="48" a="1"/>
  <c r="L49" i="48" s="1"/>
  <c r="L46" i="48" a="1"/>
  <c r="L46" i="48" s="1"/>
  <c r="L35" i="48" a="1"/>
  <c r="L35" i="48" s="1"/>
  <c r="L5" i="48" a="1"/>
  <c r="L5" i="48" s="1"/>
  <c r="L6" i="48" a="1"/>
  <c r="L6" i="48" s="1"/>
  <c r="L50" i="48" a="1"/>
  <c r="L50" i="48" s="1"/>
  <c r="L14" i="48" a="1"/>
  <c r="L14" i="48" s="1"/>
  <c r="L32" i="48" a="1"/>
  <c r="L32" i="48" s="1"/>
  <c r="L41" i="48" a="1"/>
  <c r="L41" i="48" s="1"/>
  <c r="L38" i="48" a="1"/>
  <c r="L38" i="48" s="1"/>
  <c r="L25" i="48" a="1"/>
  <c r="L25" i="48" s="1"/>
  <c r="L9" i="48" a="1"/>
  <c r="L9" i="48" s="1"/>
  <c r="L4" i="48" a="1"/>
  <c r="L4" i="48" s="1"/>
  <c r="L51" i="48" a="1"/>
  <c r="L51" i="48" s="1"/>
  <c r="L43" i="48" a="1"/>
  <c r="L43" i="48" s="1"/>
  <c r="L26" i="48" a="1"/>
  <c r="L26" i="48" s="1"/>
  <c r="L33" i="48" a="1"/>
  <c r="L33" i="48" s="1"/>
  <c r="L29" i="48" a="1"/>
  <c r="L29" i="48" s="1"/>
  <c r="L44" i="48" a="1"/>
  <c r="L44" i="48" s="1"/>
  <c r="L11" i="48" a="1"/>
  <c r="L11" i="48" s="1"/>
  <c r="L16" i="48" a="1"/>
  <c r="L16" i="48" s="1"/>
  <c r="L48" i="48" a="1"/>
  <c r="L48" i="48" s="1"/>
  <c r="L19" i="48" a="1"/>
  <c r="L19" i="48" s="1"/>
  <c r="L24" i="48" a="1"/>
  <c r="L24" i="48" s="1"/>
  <c r="L27" i="48" a="1"/>
  <c r="L27" i="48" s="1"/>
  <c r="L22" i="48" a="1"/>
  <c r="L22" i="48" s="1"/>
  <c r="L7" i="48" a="1"/>
  <c r="L7" i="48" s="1"/>
  <c r="L15" i="48" a="1"/>
  <c r="L15" i="48" s="1"/>
  <c r="L18" i="48" a="1"/>
  <c r="L18" i="48" s="1"/>
  <c r="L47" i="48" a="1"/>
  <c r="L47" i="48" s="1"/>
  <c r="L42" i="48" a="1"/>
  <c r="L42" i="48" s="1"/>
  <c r="L39" i="48" a="1"/>
  <c r="L39" i="48" s="1"/>
  <c r="L37" i="48" a="1"/>
  <c r="L37" i="48" s="1"/>
  <c r="L8" i="48" a="1"/>
  <c r="L8" i="48" s="1"/>
  <c r="L12" i="48" a="1"/>
  <c r="L12" i="48" s="1"/>
  <c r="L3" i="48" a="1"/>
  <c r="L3" i="48" s="1"/>
  <c r="L45" i="48" a="1"/>
  <c r="L45" i="48" s="1"/>
  <c r="L36" i="48" a="1"/>
  <c r="L36" i="48" s="1"/>
  <c r="L31" i="48" a="1"/>
  <c r="L31" i="48" s="1"/>
  <c r="L30" i="48" a="1"/>
  <c r="L30" i="48" s="1"/>
  <c r="L13" i="48" a="1"/>
  <c r="L13" i="48" s="1"/>
  <c r="L17" i="48" a="1"/>
  <c r="L17" i="48" s="1"/>
  <c r="F44" i="47" a="1"/>
  <c r="F44" i="47" s="1"/>
  <c r="F9" i="47" a="1"/>
  <c r="F9" i="47" s="1"/>
  <c r="F21" i="47" a="1"/>
  <c r="F21" i="47" s="1"/>
  <c r="F4" i="47" a="1"/>
  <c r="F4" i="47" s="1"/>
  <c r="F11" i="47" a="1"/>
  <c r="F11" i="47" s="1"/>
  <c r="F38" i="47" a="1"/>
  <c r="F38" i="47" s="1"/>
  <c r="F30" i="47" a="1"/>
  <c r="F30" i="47" s="1"/>
  <c r="F32" i="47" a="1"/>
  <c r="F32" i="47" s="1"/>
  <c r="F41" i="47" a="1"/>
  <c r="F41" i="47" s="1"/>
  <c r="F10" i="47" a="1"/>
  <c r="F10" i="47" s="1"/>
  <c r="F46" i="47" a="1"/>
  <c r="F46" i="47" s="1"/>
  <c r="F47" i="47" a="1"/>
  <c r="F47" i="47" s="1"/>
  <c r="F16" i="47" a="1"/>
  <c r="F16" i="47" s="1"/>
  <c r="F26" i="47" a="1"/>
  <c r="F26" i="47" s="1"/>
  <c r="F2" i="47" a="1"/>
  <c r="F2" i="47" s="1"/>
  <c r="F22" i="47" a="1"/>
  <c r="F22" i="47" s="1"/>
  <c r="F50" i="47" a="1"/>
  <c r="F50" i="47" s="1"/>
  <c r="F19" i="47" a="1"/>
  <c r="F19" i="47" s="1"/>
  <c r="F37" i="47" a="1"/>
  <c r="F37" i="47" s="1"/>
  <c r="F40" i="47" a="1"/>
  <c r="F40" i="47" s="1"/>
  <c r="F23" i="47" a="1"/>
  <c r="F23" i="47" s="1"/>
  <c r="F12" i="47" a="1"/>
  <c r="F12" i="47" s="1"/>
  <c r="F14" i="47" a="1"/>
  <c r="F14" i="47" s="1"/>
  <c r="F29" i="47" a="1"/>
  <c r="F29" i="47" s="1"/>
  <c r="F34" i="47" a="1"/>
  <c r="F34" i="47" s="1"/>
  <c r="F24" i="47" a="1"/>
  <c r="F24" i="47" s="1"/>
  <c r="F33" i="47" a="1"/>
  <c r="F33" i="47" s="1"/>
  <c r="F48" i="47" a="1"/>
  <c r="F48" i="47" s="1"/>
  <c r="F3" i="47" a="1"/>
  <c r="F3" i="47" s="1"/>
  <c r="F39" i="47" a="1"/>
  <c r="F39" i="47" s="1"/>
  <c r="F7" i="47" a="1"/>
  <c r="F7" i="47" s="1"/>
  <c r="F36" i="47" a="1"/>
  <c r="F36" i="47" s="1"/>
  <c r="F6" i="47" a="1"/>
  <c r="F6" i="47" s="1"/>
  <c r="F20" i="47" a="1"/>
  <c r="F20" i="47" s="1"/>
  <c r="F42" i="47" a="1"/>
  <c r="F42" i="47" s="1"/>
  <c r="F17" i="47" a="1"/>
  <c r="F17" i="47" s="1"/>
  <c r="F13" i="47" a="1"/>
  <c r="F13" i="47" s="1"/>
  <c r="F18" i="47" a="1"/>
  <c r="F18" i="47" s="1"/>
  <c r="F45" i="47" a="1"/>
  <c r="F45" i="47" s="1"/>
  <c r="F43" i="47" a="1"/>
  <c r="F43" i="47" s="1"/>
  <c r="F28" i="47" a="1"/>
  <c r="F28" i="47" s="1"/>
  <c r="F49" i="47" a="1"/>
  <c r="F49" i="47" s="1"/>
  <c r="F27" i="47" a="1"/>
  <c r="F27" i="47" s="1"/>
  <c r="F15" i="47" a="1"/>
  <c r="F15" i="47" s="1"/>
  <c r="F31" i="47" a="1"/>
  <c r="F31" i="47" s="1"/>
  <c r="F25" i="47" a="1"/>
  <c r="F25" i="47" s="1"/>
  <c r="F8" i="47" a="1"/>
  <c r="F8" i="47" s="1"/>
  <c r="F35" i="47" a="1"/>
  <c r="F35" i="47" s="1"/>
  <c r="F5" i="47" a="1"/>
  <c r="F5" i="47" s="1"/>
  <c r="M1" i="48" a="1"/>
  <c r="M1" i="48" s="1"/>
  <c r="N1" i="48" s="1" a="1"/>
  <c r="N1" i="48" s="1"/>
  <c r="N41" i="48" s="1" a="1"/>
  <c r="N41" i="48" s="1"/>
  <c r="O9" i="35"/>
  <c r="O4" i="35"/>
  <c r="O10" i="35"/>
  <c r="O3" i="35"/>
  <c r="O12" i="35"/>
  <c r="O6" i="35"/>
  <c r="O13" i="35"/>
  <c r="O8" i="35"/>
  <c r="O14" i="35"/>
  <c r="O5" i="35"/>
  <c r="O7" i="35"/>
  <c r="O11" i="35"/>
  <c r="E9" i="36" l="1"/>
  <c r="E7" i="36"/>
  <c r="K2" i="48" a="1"/>
  <c r="K2" i="48" s="1"/>
  <c r="J2" i="48" a="1"/>
  <c r="J2" i="48" s="1"/>
  <c r="I2" i="48" a="1"/>
  <c r="I2" i="48" s="1"/>
  <c r="H2" i="48" a="1"/>
  <c r="H2" i="48" s="1"/>
  <c r="G2" i="48" a="1"/>
  <c r="G2" i="48" s="1"/>
  <c r="F3" i="48" a="1"/>
  <c r="F3" i="48" s="1"/>
  <c r="F2" i="48" a="1"/>
  <c r="F2" i="48" s="1"/>
  <c r="E2" i="48" a="1"/>
  <c r="E2" i="48" s="1"/>
  <c r="D3" i="48" a="1"/>
  <c r="D3" i="48" s="1"/>
  <c r="D2" i="48" a="1"/>
  <c r="D2" i="48" s="1"/>
  <c r="L2" i="48" a="1"/>
  <c r="L2" i="48" s="1"/>
  <c r="C2" i="48" a="1"/>
  <c r="C2" i="48" s="1"/>
  <c r="N9" i="48" a="1"/>
  <c r="N9" i="48" s="1"/>
  <c r="N29" i="48" a="1"/>
  <c r="N29" i="48" s="1"/>
  <c r="N3" i="48" a="1"/>
  <c r="N3" i="48" s="1"/>
  <c r="N15" i="48" a="1"/>
  <c r="N15" i="48" s="1"/>
  <c r="N14" i="48" a="1"/>
  <c r="N14" i="48" s="1"/>
  <c r="N49" i="48" a="1"/>
  <c r="N49" i="48" s="1"/>
  <c r="N32" i="48" a="1"/>
  <c r="N32" i="48" s="1"/>
  <c r="N17" i="48" a="1"/>
  <c r="N17" i="48" s="1"/>
  <c r="N50" i="48" a="1"/>
  <c r="N50" i="48" s="1"/>
  <c r="N4" i="48" a="1"/>
  <c r="N4" i="48" s="1"/>
  <c r="N24" i="48" a="1"/>
  <c r="N24" i="48" s="1"/>
  <c r="N20" i="48" a="1"/>
  <c r="N20" i="48" s="1"/>
  <c r="N6" i="48" a="1"/>
  <c r="N6" i="48" s="1"/>
  <c r="N37" i="48" a="1"/>
  <c r="N37" i="48" s="1"/>
  <c r="N22" i="48" a="1"/>
  <c r="N22" i="48" s="1"/>
  <c r="N38" i="48" a="1"/>
  <c r="N38" i="48" s="1"/>
  <c r="N10" i="48" a="1"/>
  <c r="N10" i="48" s="1"/>
  <c r="N35" i="48" a="1"/>
  <c r="N35" i="48" s="1"/>
  <c r="N44" i="48" a="1"/>
  <c r="N44" i="48" s="1"/>
  <c r="N27" i="48" a="1"/>
  <c r="N27" i="48" s="1"/>
  <c r="N11" i="48" a="1"/>
  <c r="N11" i="48" s="1"/>
  <c r="N42" i="48" a="1"/>
  <c r="N42" i="48" s="1"/>
  <c r="N25" i="48" a="1"/>
  <c r="N25" i="48" s="1"/>
  <c r="N51" i="48" a="1"/>
  <c r="N51" i="48" s="1"/>
  <c r="N12" i="48" a="1"/>
  <c r="N12" i="48" s="1"/>
  <c r="N28" i="48" a="1"/>
  <c r="N28" i="48" s="1"/>
  <c r="N16" i="48" a="1"/>
  <c r="N16" i="48" s="1"/>
  <c r="N45" i="48" a="1"/>
  <c r="N45" i="48" s="1"/>
  <c r="N33" i="48" a="1"/>
  <c r="N33" i="48" s="1"/>
  <c r="N2" i="48" a="1"/>
  <c r="N2" i="48" s="1"/>
  <c r="N43" i="48" a="1"/>
  <c r="N43" i="48" s="1"/>
  <c r="N46" i="48" a="1"/>
  <c r="N46" i="48" s="1"/>
  <c r="N19" i="48" a="1"/>
  <c r="N19" i="48" s="1"/>
  <c r="N31" i="48" a="1"/>
  <c r="N31" i="48" s="1"/>
  <c r="N30" i="48" a="1"/>
  <c r="N30" i="48" s="1"/>
  <c r="N18" i="48" a="1"/>
  <c r="N18" i="48" s="1"/>
  <c r="N48" i="48" a="1"/>
  <c r="N48" i="48" s="1"/>
  <c r="N34" i="48" a="1"/>
  <c r="N34" i="48" s="1"/>
  <c r="N5" i="48" a="1"/>
  <c r="N5" i="48" s="1"/>
  <c r="N47" i="48" a="1"/>
  <c r="N47" i="48" s="1"/>
  <c r="N36" i="48" a="1"/>
  <c r="N36" i="48" s="1"/>
  <c r="N21" i="48" a="1"/>
  <c r="N21" i="48" s="1"/>
  <c r="N7" i="48" a="1"/>
  <c r="N7" i="48" s="1"/>
  <c r="N39" i="48" a="1"/>
  <c r="N39" i="48" s="1"/>
  <c r="M50" i="48" a="1"/>
  <c r="M50" i="48" s="1"/>
  <c r="M17" i="48" a="1"/>
  <c r="M17" i="48" s="1"/>
  <c r="M32" i="48" a="1"/>
  <c r="M32" i="48" s="1"/>
  <c r="M51" i="48" a="1"/>
  <c r="M51" i="48" s="1"/>
  <c r="M20" i="48" a="1"/>
  <c r="M20" i="48" s="1"/>
  <c r="M26" i="48" a="1"/>
  <c r="M26" i="48" s="1"/>
  <c r="M4" i="48" a="1"/>
  <c r="M4" i="48" s="1"/>
  <c r="M40" i="48" a="1"/>
  <c r="M40" i="48" s="1"/>
  <c r="M30" i="48" a="1"/>
  <c r="M30" i="48" s="1"/>
  <c r="M48" i="48" a="1"/>
  <c r="M48" i="48" s="1"/>
  <c r="M12" i="48" a="1"/>
  <c r="M12" i="48" s="1"/>
  <c r="M31" i="48" a="1"/>
  <c r="M31" i="48" s="1"/>
  <c r="M39" i="48" a="1"/>
  <c r="M39" i="48" s="1"/>
  <c r="M18" i="48" a="1"/>
  <c r="M18" i="48" s="1"/>
  <c r="M7" i="48" a="1"/>
  <c r="M7" i="48" s="1"/>
  <c r="M3" i="48" a="1"/>
  <c r="M3" i="48" s="1"/>
  <c r="M33" i="48" a="1"/>
  <c r="M33" i="48" s="1"/>
  <c r="M10" i="48" a="1"/>
  <c r="M10" i="48" s="1"/>
  <c r="M13" i="48" a="1"/>
  <c r="M13" i="48" s="1"/>
  <c r="M37" i="48" a="1"/>
  <c r="M37" i="48" s="1"/>
  <c r="M11" i="48" a="1"/>
  <c r="M11" i="48" s="1"/>
  <c r="M24" i="48" a="1"/>
  <c r="M24" i="48" s="1"/>
  <c r="M49" i="48" a="1"/>
  <c r="M49" i="48" s="1"/>
  <c r="M15" i="48" a="1"/>
  <c r="M15" i="48" s="1"/>
  <c r="M34" i="48" a="1"/>
  <c r="M34" i="48" s="1"/>
  <c r="M47" i="48" a="1"/>
  <c r="M47" i="48" s="1"/>
  <c r="M6" i="48" a="1"/>
  <c r="M6" i="48" s="1"/>
  <c r="M22" i="48" a="1"/>
  <c r="M22" i="48" s="1"/>
  <c r="M43" i="48" a="1"/>
  <c r="M43" i="48" s="1"/>
  <c r="M8" i="48" a="1"/>
  <c r="M8" i="48" s="1"/>
  <c r="M19" i="48" a="1"/>
  <c r="M19" i="48" s="1"/>
  <c r="M35" i="48" a="1"/>
  <c r="M35" i="48" s="1"/>
  <c r="M44" i="48" a="1"/>
  <c r="M44" i="48" s="1"/>
  <c r="M16" i="48" a="1"/>
  <c r="M16" i="48" s="1"/>
  <c r="M36" i="48" a="1"/>
  <c r="M36" i="48" s="1"/>
  <c r="M23" i="48" a="1"/>
  <c r="M23" i="48" s="1"/>
  <c r="M46" i="48" a="1"/>
  <c r="M46" i="48" s="1"/>
  <c r="M28" i="48" a="1"/>
  <c r="M28" i="48" s="1"/>
  <c r="M45" i="48" a="1"/>
  <c r="M45" i="48" s="1"/>
  <c r="M9" i="48" a="1"/>
  <c r="M9" i="48" s="1"/>
  <c r="M27" i="48" a="1"/>
  <c r="M27" i="48" s="1"/>
  <c r="M42" i="48" a="1"/>
  <c r="M42" i="48" s="1"/>
  <c r="M14" i="48" a="1"/>
  <c r="M14" i="48" s="1"/>
  <c r="M21" i="48" a="1"/>
  <c r="M21" i="48" s="1"/>
  <c r="M38" i="48" a="1"/>
  <c r="M38" i="48" s="1"/>
  <c r="M5" i="48" a="1"/>
  <c r="M5" i="48" s="1"/>
  <c r="M25" i="48" a="1"/>
  <c r="M25" i="48" s="1"/>
  <c r="M41" i="48" a="1"/>
  <c r="M41" i="48" s="1"/>
  <c r="M2" i="48" a="1"/>
  <c r="M2" i="48" s="1"/>
  <c r="M29" i="48" a="1"/>
  <c r="M29" i="48" s="1"/>
  <c r="H1" i="47" a="1"/>
  <c r="H1" i="47" s="1"/>
  <c r="I1" i="47" s="1" a="1"/>
  <c r="I1" i="47" s="1"/>
  <c r="G12" i="47" a="1"/>
  <c r="G12" i="47" s="1"/>
  <c r="G21" i="47" a="1"/>
  <c r="G21" i="47" s="1"/>
  <c r="G28" i="47" a="1"/>
  <c r="G28" i="47" s="1"/>
  <c r="G9" i="47" a="1"/>
  <c r="G9" i="47" s="1"/>
  <c r="G6" i="47" a="1"/>
  <c r="G6" i="47" s="1"/>
  <c r="G15" i="47" a="1"/>
  <c r="G15" i="47" s="1"/>
  <c r="G43" i="47" a="1"/>
  <c r="G43" i="47" s="1"/>
  <c r="G7" i="47" a="1"/>
  <c r="G7" i="47" s="1"/>
  <c r="G20" i="47" a="1"/>
  <c r="G20" i="47" s="1"/>
  <c r="G11" i="47" a="1"/>
  <c r="G11" i="47" s="1"/>
  <c r="G16" i="47" a="1"/>
  <c r="G16" i="47" s="1"/>
  <c r="G30" i="47" a="1"/>
  <c r="G30" i="47" s="1"/>
  <c r="G24" i="47" a="1"/>
  <c r="G24" i="47" s="1"/>
  <c r="G29" i="47" a="1"/>
  <c r="G29" i="47" s="1"/>
  <c r="G4" i="47" a="1"/>
  <c r="G4" i="47" s="1"/>
  <c r="G31" i="47" a="1"/>
  <c r="G31" i="47" s="1"/>
  <c r="G32" i="47" a="1"/>
  <c r="G32" i="47" s="1"/>
  <c r="G25" i="47" a="1"/>
  <c r="G25" i="47" s="1"/>
  <c r="G5" i="47" a="1"/>
  <c r="G5" i="47" s="1"/>
  <c r="G18" i="47" a="1"/>
  <c r="G18" i="47" s="1"/>
  <c r="G14" i="47" a="1"/>
  <c r="G14" i="47" s="1"/>
  <c r="G27" i="47" a="1"/>
  <c r="G27" i="47" s="1"/>
  <c r="G2" i="47" a="1"/>
  <c r="G2" i="47" s="1"/>
  <c r="G36" i="47" a="1"/>
  <c r="G36" i="47" s="1"/>
  <c r="G19" i="47" a="1"/>
  <c r="G19" i="47" s="1"/>
  <c r="G33" i="47" a="1"/>
  <c r="G33" i="47" s="1"/>
  <c r="G37" i="47" a="1"/>
  <c r="G37" i="47" s="1"/>
  <c r="G38" i="47" a="1"/>
  <c r="G38" i="47" s="1"/>
  <c r="G49" i="47" a="1"/>
  <c r="G49" i="47" s="1"/>
  <c r="G26" i="47" a="1"/>
  <c r="G26" i="47" s="1"/>
  <c r="G17" i="47" a="1"/>
  <c r="G17" i="47" s="1"/>
  <c r="G34" i="47" a="1"/>
  <c r="G34" i="47" s="1"/>
  <c r="G13" i="47" a="1"/>
  <c r="G13" i="47" s="1"/>
  <c r="G48" i="47" a="1"/>
  <c r="G48" i="47" s="1"/>
  <c r="G44" i="47" a="1"/>
  <c r="G44" i="47" s="1"/>
  <c r="G22" i="47" a="1"/>
  <c r="G22" i="47" s="1"/>
  <c r="G46" i="47" a="1"/>
  <c r="G46" i="47" s="1"/>
  <c r="G3" i="47" a="1"/>
  <c r="G3" i="47" s="1"/>
  <c r="G8" i="47" a="1"/>
  <c r="G8" i="47" s="1"/>
  <c r="G39" i="47" a="1"/>
  <c r="G39" i="47" s="1"/>
  <c r="G42" i="47" a="1"/>
  <c r="G42" i="47" s="1"/>
  <c r="G50" i="47" a="1"/>
  <c r="G50" i="47" s="1"/>
  <c r="G47" i="47" a="1"/>
  <c r="G47" i="47" s="1"/>
  <c r="G35" i="47" a="1"/>
  <c r="G35" i="47" s="1"/>
  <c r="G41" i="47" a="1"/>
  <c r="G41" i="47" s="1"/>
  <c r="G10" i="47" a="1"/>
  <c r="G10" i="47" s="1"/>
  <c r="G40" i="47" a="1"/>
  <c r="G40" i="47" s="1"/>
  <c r="G23" i="47" a="1"/>
  <c r="G23" i="47" s="1"/>
  <c r="G45" i="47" a="1"/>
  <c r="G45" i="47" s="1"/>
  <c r="O1" i="48" a="1"/>
  <c r="O1" i="48" s="1"/>
  <c r="O49" i="48" s="1" a="1"/>
  <c r="O49" i="48" s="1"/>
  <c r="N23" i="48" a="1"/>
  <c r="N23" i="48" s="1"/>
  <c r="N8" i="48" a="1"/>
  <c r="N8" i="48" s="1"/>
  <c r="N40" i="48" a="1"/>
  <c r="N40" i="48" s="1"/>
  <c r="N26" i="48" a="1"/>
  <c r="N26" i="48" s="1"/>
  <c r="N13" i="48" a="1"/>
  <c r="N13" i="48" s="1"/>
  <c r="E2" i="36" l="1"/>
  <c r="E5" i="36"/>
  <c r="E10" i="36"/>
  <c r="E4" i="36"/>
  <c r="E3" i="36"/>
  <c r="E6" i="36"/>
  <c r="E8" i="36"/>
  <c r="O35" i="48" a="1"/>
  <c r="O35" i="48" s="1"/>
  <c r="O46" i="48" a="1"/>
  <c r="O46" i="48" s="1"/>
  <c r="O2" i="48" a="1"/>
  <c r="O2" i="48" s="1"/>
  <c r="O36" i="48" a="1"/>
  <c r="O36" i="48" s="1"/>
  <c r="O8" i="48" a="1"/>
  <c r="O8" i="48" s="1"/>
  <c r="O5" i="48" a="1"/>
  <c r="O5" i="48" s="1"/>
  <c r="O14" i="48" a="1"/>
  <c r="O14" i="48" s="1"/>
  <c r="O50" i="48" a="1"/>
  <c r="O50" i="48" s="1"/>
  <c r="O10" i="48" a="1"/>
  <c r="O10" i="48" s="1"/>
  <c r="O39" i="48" a="1"/>
  <c r="O39" i="48" s="1"/>
  <c r="O13" i="48" a="1"/>
  <c r="O13" i="48" s="1"/>
  <c r="O44" i="48" a="1"/>
  <c r="O44" i="48" s="1"/>
  <c r="O34" i="48" a="1"/>
  <c r="O34" i="48" s="1"/>
  <c r="O21" i="48" a="1"/>
  <c r="O21" i="48" s="1"/>
  <c r="O4" i="48" a="1"/>
  <c r="O4" i="48" s="1"/>
  <c r="O47" i="48" a="1"/>
  <c r="O47" i="48" s="1"/>
  <c r="O24" i="48" a="1"/>
  <c r="O24" i="48" s="1"/>
  <c r="O3" i="48" a="1"/>
  <c r="O3" i="48" s="1"/>
  <c r="O51" i="48" a="1"/>
  <c r="O51" i="48" s="1"/>
  <c r="O30" i="48" a="1"/>
  <c r="O30" i="48" s="1"/>
  <c r="I5" i="47" a="1"/>
  <c r="I5" i="47" s="1"/>
  <c r="I38" i="47" a="1"/>
  <c r="I38" i="47" s="1"/>
  <c r="I19" i="47" a="1"/>
  <c r="I19" i="47" s="1"/>
  <c r="I23" i="47" a="1"/>
  <c r="I23" i="47" s="1"/>
  <c r="I43" i="47" a="1"/>
  <c r="I43" i="47" s="1"/>
  <c r="I35" i="47" a="1"/>
  <c r="I35" i="47" s="1"/>
  <c r="I45" i="47" a="1"/>
  <c r="I45" i="47" s="1"/>
  <c r="I14" i="47" a="1"/>
  <c r="I14" i="47" s="1"/>
  <c r="I49" i="47" a="1"/>
  <c r="I49" i="47" s="1"/>
  <c r="I15" i="47" a="1"/>
  <c r="I15" i="47" s="1"/>
  <c r="I30" i="47" a="1"/>
  <c r="I30" i="47" s="1"/>
  <c r="I39" i="47" a="1"/>
  <c r="I39" i="47" s="1"/>
  <c r="I33" i="47" a="1"/>
  <c r="I33" i="47" s="1"/>
  <c r="I29" i="47" a="1"/>
  <c r="I29" i="47" s="1"/>
  <c r="I12" i="47" a="1"/>
  <c r="I12" i="47" s="1"/>
  <c r="I8" i="47" a="1"/>
  <c r="I8" i="47" s="1"/>
  <c r="I26" i="47" a="1"/>
  <c r="I26" i="47" s="1"/>
  <c r="I46" i="47" a="1"/>
  <c r="I46" i="47" s="1"/>
  <c r="I6" i="47" a="1"/>
  <c r="I6" i="47" s="1"/>
  <c r="I7" i="47" a="1"/>
  <c r="I7" i="47" s="1"/>
  <c r="I2" i="47" a="1"/>
  <c r="I2" i="47" s="1"/>
  <c r="I44" i="47" a="1"/>
  <c r="I44" i="47" s="1"/>
  <c r="I36" i="47" a="1"/>
  <c r="I36" i="47" s="1"/>
  <c r="I17" i="47" a="1"/>
  <c r="I17" i="47" s="1"/>
  <c r="I16" i="47" a="1"/>
  <c r="I16" i="47" s="1"/>
  <c r="I34" i="47" a="1"/>
  <c r="I34" i="47" s="1"/>
  <c r="I31" i="47" a="1"/>
  <c r="I31" i="47" s="1"/>
  <c r="I28" i="47" a="1"/>
  <c r="I28" i="47" s="1"/>
  <c r="I32" i="47" a="1"/>
  <c r="I32" i="47" s="1"/>
  <c r="I3" i="47" a="1"/>
  <c r="I3" i="47" s="1"/>
  <c r="I22" i="47" a="1"/>
  <c r="I22" i="47" s="1"/>
  <c r="I4" i="47" a="1"/>
  <c r="I4" i="47" s="1"/>
  <c r="I18" i="47" a="1"/>
  <c r="I18" i="47" s="1"/>
  <c r="I9" i="47" a="1"/>
  <c r="I9" i="47" s="1"/>
  <c r="I42" i="47" a="1"/>
  <c r="I42" i="47" s="1"/>
  <c r="I41" i="47" a="1"/>
  <c r="I41" i="47" s="1"/>
  <c r="I40" i="47" a="1"/>
  <c r="I40" i="47" s="1"/>
  <c r="I48" i="47" a="1"/>
  <c r="I48" i="47" s="1"/>
  <c r="I20" i="47" a="1"/>
  <c r="I20" i="47" s="1"/>
  <c r="I47" i="47" a="1"/>
  <c r="I47" i="47" s="1"/>
  <c r="I37" i="47" a="1"/>
  <c r="I37" i="47" s="1"/>
  <c r="I27" i="47" a="1"/>
  <c r="I27" i="47" s="1"/>
  <c r="I21" i="47" a="1"/>
  <c r="I21" i="47" s="1"/>
  <c r="I11" i="47" a="1"/>
  <c r="I11" i="47" s="1"/>
  <c r="I24" i="47" a="1"/>
  <c r="I24" i="47" s="1"/>
  <c r="I50" i="47" a="1"/>
  <c r="I50" i="47" s="1"/>
  <c r="I10" i="47" a="1"/>
  <c r="I10" i="47" s="1"/>
  <c r="I25" i="47" a="1"/>
  <c r="I25" i="47" s="1"/>
  <c r="I13" i="47" a="1"/>
  <c r="I13" i="47" s="1"/>
  <c r="H11" i="47" a="1"/>
  <c r="H11" i="47" s="1"/>
  <c r="H18" i="47" a="1"/>
  <c r="H18" i="47" s="1"/>
  <c r="H20" i="47" a="1"/>
  <c r="H20" i="47" s="1"/>
  <c r="H30" i="47" a="1"/>
  <c r="H30" i="47" s="1"/>
  <c r="H36" i="47" a="1"/>
  <c r="H36" i="47" s="1"/>
  <c r="H38" i="47" a="1"/>
  <c r="H38" i="47" s="1"/>
  <c r="H7" i="47" a="1"/>
  <c r="H7" i="47" s="1"/>
  <c r="H28" i="47" a="1"/>
  <c r="H28" i="47" s="1"/>
  <c r="H46" i="47" a="1"/>
  <c r="H46" i="47" s="1"/>
  <c r="H19" i="47" a="1"/>
  <c r="H19" i="47" s="1"/>
  <c r="H16" i="47" a="1"/>
  <c r="H16" i="47" s="1"/>
  <c r="H33" i="47" a="1"/>
  <c r="H33" i="47" s="1"/>
  <c r="H23" i="47" a="1"/>
  <c r="H23" i="47" s="1"/>
  <c r="H50" i="47" a="1"/>
  <c r="H50" i="47" s="1"/>
  <c r="H41" i="47" a="1"/>
  <c r="H41" i="47" s="1"/>
  <c r="H48" i="47" a="1"/>
  <c r="H48" i="47" s="1"/>
  <c r="H12" i="47" a="1"/>
  <c r="H12" i="47" s="1"/>
  <c r="H32" i="47" a="1"/>
  <c r="H32" i="47" s="1"/>
  <c r="H42" i="47" a="1"/>
  <c r="H42" i="47" s="1"/>
  <c r="H37" i="47" a="1"/>
  <c r="H37" i="47" s="1"/>
  <c r="H40" i="47" a="1"/>
  <c r="H40" i="47" s="1"/>
  <c r="H3" i="47" a="1"/>
  <c r="H3" i="47" s="1"/>
  <c r="H35" i="47" a="1"/>
  <c r="H35" i="47" s="1"/>
  <c r="H26" i="47" a="1"/>
  <c r="H26" i="47" s="1"/>
  <c r="H10" i="47" a="1"/>
  <c r="H10" i="47" s="1"/>
  <c r="H13" i="47" a="1"/>
  <c r="H13" i="47" s="1"/>
  <c r="H14" i="47" a="1"/>
  <c r="H14" i="47" s="1"/>
  <c r="H22" i="47" a="1"/>
  <c r="H22" i="47" s="1"/>
  <c r="H2" i="47" a="1"/>
  <c r="H2" i="47" s="1"/>
  <c r="H27" i="47" a="1"/>
  <c r="H27" i="47" s="1"/>
  <c r="H39" i="47" a="1"/>
  <c r="H39" i="47" s="1"/>
  <c r="H44" i="47" a="1"/>
  <c r="H44" i="47" s="1"/>
  <c r="H43" i="47" a="1"/>
  <c r="H43" i="47" s="1"/>
  <c r="H8" i="47" a="1"/>
  <c r="H8" i="47" s="1"/>
  <c r="H49" i="47" a="1"/>
  <c r="H49" i="47" s="1"/>
  <c r="H6" i="47" a="1"/>
  <c r="H6" i="47" s="1"/>
  <c r="H9" i="47" a="1"/>
  <c r="H9" i="47" s="1"/>
  <c r="H29" i="47" a="1"/>
  <c r="H29" i="47" s="1"/>
  <c r="H25" i="47" a="1"/>
  <c r="H25" i="47" s="1"/>
  <c r="H15" i="47" a="1"/>
  <c r="H15" i="47" s="1"/>
  <c r="H47" i="47" a="1"/>
  <c r="H47" i="47" s="1"/>
  <c r="H24" i="47" a="1"/>
  <c r="H24" i="47" s="1"/>
  <c r="H45" i="47" a="1"/>
  <c r="H45" i="47" s="1"/>
  <c r="H34" i="47" a="1"/>
  <c r="H34" i="47" s="1"/>
  <c r="H17" i="47" a="1"/>
  <c r="H17" i="47" s="1"/>
  <c r="H5" i="47" a="1"/>
  <c r="H5" i="47" s="1"/>
  <c r="H31" i="47" a="1"/>
  <c r="H31" i="47" s="1"/>
  <c r="H21" i="47" a="1"/>
  <c r="H21" i="47" s="1"/>
  <c r="H4" i="47" a="1"/>
  <c r="H4" i="47" s="1"/>
  <c r="J1" i="47" a="1"/>
  <c r="J1" i="47" s="1"/>
  <c r="O17" i="48" a="1"/>
  <c r="O17" i="48" s="1"/>
  <c r="O29" i="48" a="1"/>
  <c r="O29" i="48" s="1"/>
  <c r="O15" i="48" a="1"/>
  <c r="O15" i="48" s="1"/>
  <c r="O19" i="48" a="1"/>
  <c r="O19" i="48" s="1"/>
  <c r="O48" i="48" a="1"/>
  <c r="O48" i="48" s="1"/>
  <c r="O31" i="48" a="1"/>
  <c r="O31" i="48" s="1"/>
  <c r="O18" i="48" a="1"/>
  <c r="O18" i="48" s="1"/>
  <c r="O42" i="48" a="1"/>
  <c r="O42" i="48" s="1"/>
  <c r="O23" i="48" a="1"/>
  <c r="O23" i="48" s="1"/>
  <c r="O20" i="48" a="1"/>
  <c r="O20" i="48" s="1"/>
  <c r="O7" i="48" a="1"/>
  <c r="O7" i="48" s="1"/>
  <c r="O38" i="48" a="1"/>
  <c r="O38" i="48" s="1"/>
  <c r="O37" i="48" a="1"/>
  <c r="O37" i="48" s="1"/>
  <c r="O12" i="48" a="1"/>
  <c r="O12" i="48" s="1"/>
  <c r="O6" i="48" a="1"/>
  <c r="O6" i="48" s="1"/>
  <c r="O28" i="48" a="1"/>
  <c r="O28" i="48" s="1"/>
  <c r="O9" i="48" a="1"/>
  <c r="O9" i="48" s="1"/>
  <c r="O41" i="48" a="1"/>
  <c r="O41" i="48" s="1"/>
  <c r="O25" i="48" a="1"/>
  <c r="O25" i="48" s="1"/>
  <c r="O22" i="48" a="1"/>
  <c r="O22" i="48" s="1"/>
  <c r="O27" i="48" a="1"/>
  <c r="O27" i="48" s="1"/>
  <c r="O26" i="48" a="1"/>
  <c r="O26" i="48" s="1"/>
  <c r="O11" i="48" a="1"/>
  <c r="O11" i="48" s="1"/>
  <c r="O43" i="48" a="1"/>
  <c r="O43" i="48" s="1"/>
  <c r="P1" i="48" a="1"/>
  <c r="P1" i="48" s="1"/>
  <c r="P25" i="48" s="1" a="1"/>
  <c r="P25" i="48" s="1"/>
  <c r="O32" i="48" a="1"/>
  <c r="O32" i="48" s="1"/>
  <c r="O45" i="48" a="1"/>
  <c r="O45" i="48" s="1"/>
  <c r="O40" i="48" a="1"/>
  <c r="O40" i="48" s="1"/>
  <c r="O33" i="48" a="1"/>
  <c r="O33" i="48" s="1"/>
  <c r="O16" i="48" a="1"/>
  <c r="O16" i="48" s="1"/>
  <c r="P11" i="48" l="1" a="1"/>
  <c r="P11" i="48" s="1"/>
  <c r="P16" i="48" a="1"/>
  <c r="P16" i="48" s="1"/>
  <c r="P22" i="48" a="1"/>
  <c r="P22" i="48" s="1"/>
  <c r="P19" i="48" a="1"/>
  <c r="P19" i="48" s="1"/>
  <c r="P12" i="48" a="1"/>
  <c r="P12" i="48" s="1"/>
  <c r="P2" i="48" a="1"/>
  <c r="P2" i="48" s="1"/>
  <c r="P47" i="48" a="1"/>
  <c r="P47" i="48" s="1"/>
  <c r="P40" i="48" a="1"/>
  <c r="P40" i="48" s="1"/>
  <c r="P43" i="48" a="1"/>
  <c r="P43" i="48" s="1"/>
  <c r="P26" i="48" a="1"/>
  <c r="P26" i="48" s="1"/>
  <c r="P28" i="48" a="1"/>
  <c r="P28" i="48" s="1"/>
  <c r="P31" i="48" a="1"/>
  <c r="P31" i="48" s="1"/>
  <c r="P49" i="48" a="1"/>
  <c r="P49" i="48" s="1"/>
  <c r="P42" i="48" a="1"/>
  <c r="P42" i="48" s="1"/>
  <c r="P48" i="48" a="1"/>
  <c r="P48" i="48" s="1"/>
  <c r="P32" i="48" a="1"/>
  <c r="P32" i="48" s="1"/>
  <c r="P17" i="48" a="1"/>
  <c r="P17" i="48" s="1"/>
  <c r="P46" i="48" a="1"/>
  <c r="P46" i="48" s="1"/>
  <c r="P29" i="48" a="1"/>
  <c r="P29" i="48" s="1"/>
  <c r="P30" i="48" a="1"/>
  <c r="P30" i="48" s="1"/>
  <c r="P5" i="48" a="1"/>
  <c r="P5" i="48" s="1"/>
  <c r="P50" i="48" a="1"/>
  <c r="P50" i="48" s="1"/>
  <c r="P23" i="48" a="1"/>
  <c r="P23" i="48" s="1"/>
  <c r="P51" i="48" a="1"/>
  <c r="P51" i="48" s="1"/>
  <c r="P36" i="48" a="1"/>
  <c r="P36" i="48" s="1"/>
  <c r="K1" i="47" a="1"/>
  <c r="K1" i="47" s="1"/>
  <c r="L1" i="47" s="1" a="1"/>
  <c r="L1" i="47" s="1"/>
  <c r="J19" i="47" a="1"/>
  <c r="J19" i="47" s="1"/>
  <c r="J27" i="47" a="1"/>
  <c r="J27" i="47" s="1"/>
  <c r="J38" i="47" a="1"/>
  <c r="J38" i="47" s="1"/>
  <c r="J10" i="47" a="1"/>
  <c r="J10" i="47" s="1"/>
  <c r="J44" i="47" a="1"/>
  <c r="J44" i="47" s="1"/>
  <c r="J25" i="47" a="1"/>
  <c r="J25" i="47" s="1"/>
  <c r="J50" i="47" a="1"/>
  <c r="J50" i="47" s="1"/>
  <c r="J26" i="47" a="1"/>
  <c r="J26" i="47" s="1"/>
  <c r="J48" i="47" a="1"/>
  <c r="J48" i="47" s="1"/>
  <c r="J37" i="47" a="1"/>
  <c r="J37" i="47" s="1"/>
  <c r="J18" i="47" a="1"/>
  <c r="J18" i="47" s="1"/>
  <c r="J17" i="47" a="1"/>
  <c r="J17" i="47" s="1"/>
  <c r="J40" i="47" a="1"/>
  <c r="J40" i="47" s="1"/>
  <c r="J41" i="47" a="1"/>
  <c r="J41" i="47" s="1"/>
  <c r="J29" i="47" a="1"/>
  <c r="J29" i="47" s="1"/>
  <c r="J3" i="47" a="1"/>
  <c r="J3" i="47" s="1"/>
  <c r="J15" i="47" a="1"/>
  <c r="J15" i="47" s="1"/>
  <c r="J14" i="47" a="1"/>
  <c r="J14" i="47" s="1"/>
  <c r="J23" i="47" a="1"/>
  <c r="J23" i="47" s="1"/>
  <c r="J39" i="47" a="1"/>
  <c r="J39" i="47" s="1"/>
  <c r="J32" i="47" a="1"/>
  <c r="J32" i="47" s="1"/>
  <c r="J36" i="47" a="1"/>
  <c r="J36" i="47" s="1"/>
  <c r="J4" i="47" a="1"/>
  <c r="J4" i="47" s="1"/>
  <c r="J42" i="47" a="1"/>
  <c r="J42" i="47" s="1"/>
  <c r="J2" i="47" a="1"/>
  <c r="J2" i="47" s="1"/>
  <c r="J21" i="47" a="1"/>
  <c r="J21" i="47" s="1"/>
  <c r="J45" i="47" a="1"/>
  <c r="J45" i="47" s="1"/>
  <c r="J9" i="47" a="1"/>
  <c r="J9" i="47" s="1"/>
  <c r="J8" i="47" a="1"/>
  <c r="J8" i="47" s="1"/>
  <c r="J43" i="47" a="1"/>
  <c r="J43" i="47" s="1"/>
  <c r="J22" i="47" a="1"/>
  <c r="J22" i="47" s="1"/>
  <c r="J49" i="47" a="1"/>
  <c r="J49" i="47" s="1"/>
  <c r="J6" i="47" a="1"/>
  <c r="J6" i="47" s="1"/>
  <c r="J31" i="47" a="1"/>
  <c r="J31" i="47" s="1"/>
  <c r="J24" i="47" a="1"/>
  <c r="J24" i="47" s="1"/>
  <c r="J35" i="47" a="1"/>
  <c r="J35" i="47" s="1"/>
  <c r="J46" i="47" a="1"/>
  <c r="J46" i="47" s="1"/>
  <c r="J7" i="47" a="1"/>
  <c r="J7" i="47" s="1"/>
  <c r="J12" i="47" a="1"/>
  <c r="J12" i="47" s="1"/>
  <c r="J47" i="47" a="1"/>
  <c r="J47" i="47" s="1"/>
  <c r="J11" i="47" a="1"/>
  <c r="J11" i="47" s="1"/>
  <c r="J16" i="47" a="1"/>
  <c r="J16" i="47" s="1"/>
  <c r="J5" i="47" a="1"/>
  <c r="J5" i="47" s="1"/>
  <c r="J33" i="47" a="1"/>
  <c r="J33" i="47" s="1"/>
  <c r="J34" i="47" a="1"/>
  <c r="J34" i="47" s="1"/>
  <c r="J28" i="47" a="1"/>
  <c r="J28" i="47" s="1"/>
  <c r="J30" i="47" a="1"/>
  <c r="J30" i="47" s="1"/>
  <c r="J13" i="47" a="1"/>
  <c r="J13" i="47" s="1"/>
  <c r="J20" i="47" a="1"/>
  <c r="J20" i="47" s="1"/>
  <c r="Q1" i="48" a="1"/>
  <c r="Q1" i="48" s="1"/>
  <c r="Q14" i="48" s="1" a="1"/>
  <c r="Q14" i="48" s="1"/>
  <c r="P14" i="48" a="1"/>
  <c r="P14" i="48" s="1"/>
  <c r="P27" i="48" a="1"/>
  <c r="P27" i="48" s="1"/>
  <c r="P41" i="48" a="1"/>
  <c r="P41" i="48" s="1"/>
  <c r="P34" i="48" a="1"/>
  <c r="P34" i="48" s="1"/>
  <c r="P6" i="48" a="1"/>
  <c r="P6" i="48" s="1"/>
  <c r="P39" i="48" a="1"/>
  <c r="P39" i="48" s="1"/>
  <c r="P3" i="48" a="1"/>
  <c r="P3" i="48" s="1"/>
  <c r="P15" i="48" a="1"/>
  <c r="P15" i="48" s="1"/>
  <c r="P8" i="48" a="1"/>
  <c r="P8" i="48" s="1"/>
  <c r="P10" i="48" a="1"/>
  <c r="P10" i="48" s="1"/>
  <c r="P44" i="48" a="1"/>
  <c r="P44" i="48" s="1"/>
  <c r="P9" i="48" a="1"/>
  <c r="P9" i="48" s="1"/>
  <c r="P45" i="48" a="1"/>
  <c r="P45" i="48" s="1"/>
  <c r="P4" i="48" a="1"/>
  <c r="P4" i="48" s="1"/>
  <c r="P38" i="48" a="1"/>
  <c r="P38" i="48" s="1"/>
  <c r="P7" i="48" a="1"/>
  <c r="P7" i="48" s="1"/>
  <c r="P24" i="48" a="1"/>
  <c r="P24" i="48" s="1"/>
  <c r="P35" i="48" a="1"/>
  <c r="P35" i="48" s="1"/>
  <c r="P20" i="48" a="1"/>
  <c r="P20" i="48" s="1"/>
  <c r="P18" i="48" a="1"/>
  <c r="P18" i="48" s="1"/>
  <c r="P21" i="48" a="1"/>
  <c r="P21" i="48" s="1"/>
  <c r="P13" i="48" a="1"/>
  <c r="P13" i="48" s="1"/>
  <c r="P33" i="48" a="1"/>
  <c r="P33" i="48" s="1"/>
  <c r="P37" i="48" a="1"/>
  <c r="P37" i="48" s="1"/>
  <c r="M1" i="47" l="1" a="1"/>
  <c r="M1" i="47" s="1"/>
  <c r="N1" i="47" s="1" a="1"/>
  <c r="N1" i="47" s="1"/>
  <c r="N15" i="47" s="1" a="1"/>
  <c r="N15" i="47" s="1"/>
  <c r="R1" i="48" a="1"/>
  <c r="R1" i="48" s="1"/>
  <c r="R29" i="48" s="1" a="1"/>
  <c r="R29" i="48" s="1"/>
  <c r="Q10" i="48" a="1"/>
  <c r="Q10" i="48" s="1"/>
  <c r="Q19" i="48" a="1"/>
  <c r="Q19" i="48" s="1"/>
  <c r="Q23" i="48" a="1"/>
  <c r="Q23" i="48" s="1"/>
  <c r="Q44" i="48" a="1"/>
  <c r="Q44" i="48" s="1"/>
  <c r="Q12" i="48" a="1"/>
  <c r="Q12" i="48" s="1"/>
  <c r="Q34" i="48" a="1"/>
  <c r="Q34" i="48" s="1"/>
  <c r="L14" i="47" a="1"/>
  <c r="L14" i="47" s="1"/>
  <c r="L27" i="47" a="1"/>
  <c r="L27" i="47" s="1"/>
  <c r="L44" i="47" a="1"/>
  <c r="L44" i="47" s="1"/>
  <c r="L2" i="47" a="1"/>
  <c r="L2" i="47" s="1"/>
  <c r="L10" i="47" a="1"/>
  <c r="L10" i="47" s="1"/>
  <c r="L49" i="47" a="1"/>
  <c r="L49" i="47" s="1"/>
  <c r="L31" i="47" a="1"/>
  <c r="L31" i="47" s="1"/>
  <c r="L20" i="47" a="1"/>
  <c r="L20" i="47" s="1"/>
  <c r="L48" i="47" a="1"/>
  <c r="L48" i="47" s="1"/>
  <c r="L34" i="47" a="1"/>
  <c r="L34" i="47" s="1"/>
  <c r="L3" i="47" a="1"/>
  <c r="L3" i="47" s="1"/>
  <c r="L4" i="47" a="1"/>
  <c r="L4" i="47" s="1"/>
  <c r="L24" i="47" a="1"/>
  <c r="L24" i="47" s="1"/>
  <c r="L8" i="47" a="1"/>
  <c r="L8" i="47" s="1"/>
  <c r="L32" i="47" a="1"/>
  <c r="L32" i="47" s="1"/>
  <c r="L45" i="47" a="1"/>
  <c r="L45" i="47" s="1"/>
  <c r="L11" i="47" a="1"/>
  <c r="L11" i="47" s="1"/>
  <c r="L21" i="47" a="1"/>
  <c r="L21" i="47" s="1"/>
  <c r="L50" i="47" a="1"/>
  <c r="L50" i="47" s="1"/>
  <c r="L5" i="47" a="1"/>
  <c r="L5" i="47" s="1"/>
  <c r="L15" i="47" a="1"/>
  <c r="L15" i="47" s="1"/>
  <c r="L46" i="47" a="1"/>
  <c r="L46" i="47" s="1"/>
  <c r="L22" i="47" a="1"/>
  <c r="L22" i="47" s="1"/>
  <c r="L33" i="47" a="1"/>
  <c r="L33" i="47" s="1"/>
  <c r="L12" i="47" a="1"/>
  <c r="L12" i="47" s="1"/>
  <c r="L47" i="47" a="1"/>
  <c r="L47" i="47" s="1"/>
  <c r="L38" i="47" a="1"/>
  <c r="L38" i="47" s="1"/>
  <c r="L25" i="47" a="1"/>
  <c r="L25" i="47" s="1"/>
  <c r="L18" i="47" a="1"/>
  <c r="L18" i="47" s="1"/>
  <c r="L40" i="47" a="1"/>
  <c r="L40" i="47" s="1"/>
  <c r="L39" i="47" a="1"/>
  <c r="L39" i="47" s="1"/>
  <c r="L26" i="47" a="1"/>
  <c r="L26" i="47" s="1"/>
  <c r="L29" i="47" a="1"/>
  <c r="L29" i="47" s="1"/>
  <c r="L16" i="47" a="1"/>
  <c r="L16" i="47" s="1"/>
  <c r="L19" i="47" a="1"/>
  <c r="L19" i="47" s="1"/>
  <c r="L13" i="47" a="1"/>
  <c r="L13" i="47" s="1"/>
  <c r="L30" i="47" a="1"/>
  <c r="L30" i="47" s="1"/>
  <c r="L28" i="47" a="1"/>
  <c r="L28" i="47" s="1"/>
  <c r="L9" i="47" a="1"/>
  <c r="L9" i="47" s="1"/>
  <c r="L35" i="47" a="1"/>
  <c r="L35" i="47" s="1"/>
  <c r="L7" i="47" a="1"/>
  <c r="L7" i="47" s="1"/>
  <c r="L17" i="47" a="1"/>
  <c r="L17" i="47" s="1"/>
  <c r="L43" i="47" a="1"/>
  <c r="L43" i="47" s="1"/>
  <c r="L42" i="47" a="1"/>
  <c r="L42" i="47" s="1"/>
  <c r="L36" i="47" a="1"/>
  <c r="L36" i="47" s="1"/>
  <c r="L6" i="47" a="1"/>
  <c r="L6" i="47" s="1"/>
  <c r="L23" i="47" a="1"/>
  <c r="L23" i="47" s="1"/>
  <c r="L41" i="47" a="1"/>
  <c r="L41" i="47" s="1"/>
  <c r="L37" i="47" a="1"/>
  <c r="L37" i="47" s="1"/>
  <c r="Q13" i="48" a="1"/>
  <c r="Q13" i="48" s="1"/>
  <c r="Q2" i="48" a="1"/>
  <c r="Q2" i="48" s="1"/>
  <c r="Q18" i="48" a="1"/>
  <c r="Q18" i="48" s="1"/>
  <c r="Q36" i="48" a="1"/>
  <c r="Q36" i="48" s="1"/>
  <c r="Q33" i="48" a="1"/>
  <c r="Q33" i="48" s="1"/>
  <c r="Q50" i="48" a="1"/>
  <c r="Q50" i="48" s="1"/>
  <c r="Q22" i="48" a="1"/>
  <c r="Q22" i="48" s="1"/>
  <c r="Q42" i="48" a="1"/>
  <c r="Q42" i="48" s="1"/>
  <c r="K11" i="47" a="1"/>
  <c r="K11" i="47" s="1"/>
  <c r="K38" i="47" a="1"/>
  <c r="K38" i="47" s="1"/>
  <c r="K26" i="47" a="1"/>
  <c r="K26" i="47" s="1"/>
  <c r="K5" i="47" a="1"/>
  <c r="K5" i="47" s="1"/>
  <c r="K47" i="47" a="1"/>
  <c r="K47" i="47" s="1"/>
  <c r="K15" i="47" a="1"/>
  <c r="K15" i="47" s="1"/>
  <c r="K20" i="47" a="1"/>
  <c r="K20" i="47" s="1"/>
  <c r="K19" i="47" a="1"/>
  <c r="K19" i="47" s="1"/>
  <c r="K29" i="47" a="1"/>
  <c r="K29" i="47" s="1"/>
  <c r="K7" i="47" a="1"/>
  <c r="K7" i="47" s="1"/>
  <c r="K17" i="47" a="1"/>
  <c r="K17" i="47" s="1"/>
  <c r="K6" i="47" a="1"/>
  <c r="K6" i="47" s="1"/>
  <c r="K23" i="47" a="1"/>
  <c r="K23" i="47" s="1"/>
  <c r="K10" i="47" a="1"/>
  <c r="K10" i="47" s="1"/>
  <c r="K43" i="47" a="1"/>
  <c r="K43" i="47" s="1"/>
  <c r="K49" i="47" a="1"/>
  <c r="K49" i="47" s="1"/>
  <c r="K3" i="47" a="1"/>
  <c r="K3" i="47" s="1"/>
  <c r="K45" i="47" a="1"/>
  <c r="K45" i="47" s="1"/>
  <c r="K21" i="47" a="1"/>
  <c r="K21" i="47" s="1"/>
  <c r="K4" i="47" a="1"/>
  <c r="K4" i="47" s="1"/>
  <c r="K8" i="47" a="1"/>
  <c r="K8" i="47" s="1"/>
  <c r="K13" i="47" a="1"/>
  <c r="K13" i="47" s="1"/>
  <c r="K41" i="47" a="1"/>
  <c r="K41" i="47" s="1"/>
  <c r="K39" i="47" a="1"/>
  <c r="K39" i="47" s="1"/>
  <c r="K35" i="47" a="1"/>
  <c r="K35" i="47" s="1"/>
  <c r="K46" i="47" a="1"/>
  <c r="K46" i="47" s="1"/>
  <c r="K25" i="47" a="1"/>
  <c r="K25" i="47" s="1"/>
  <c r="K36" i="47" a="1"/>
  <c r="K36" i="47" s="1"/>
  <c r="K40" i="47" a="1"/>
  <c r="K40" i="47" s="1"/>
  <c r="K12" i="47" a="1"/>
  <c r="K12" i="47" s="1"/>
  <c r="K16" i="47" a="1"/>
  <c r="K16" i="47" s="1"/>
  <c r="K24" i="47" a="1"/>
  <c r="K24" i="47" s="1"/>
  <c r="K27" i="47" a="1"/>
  <c r="K27" i="47" s="1"/>
  <c r="K34" i="47" a="1"/>
  <c r="K34" i="47" s="1"/>
  <c r="K37" i="47" a="1"/>
  <c r="K37" i="47" s="1"/>
  <c r="K30" i="47" a="1"/>
  <c r="K30" i="47" s="1"/>
  <c r="K14" i="47" a="1"/>
  <c r="K14" i="47" s="1"/>
  <c r="K18" i="47" a="1"/>
  <c r="K18" i="47" s="1"/>
  <c r="K22" i="47" a="1"/>
  <c r="K22" i="47" s="1"/>
  <c r="K31" i="47" a="1"/>
  <c r="K31" i="47" s="1"/>
  <c r="K50" i="47" a="1"/>
  <c r="K50" i="47" s="1"/>
  <c r="K9" i="47" a="1"/>
  <c r="K9" i="47" s="1"/>
  <c r="K44" i="47" a="1"/>
  <c r="K44" i="47" s="1"/>
  <c r="K2" i="47" a="1"/>
  <c r="K2" i="47" s="1"/>
  <c r="K28" i="47" a="1"/>
  <c r="K28" i="47" s="1"/>
  <c r="K32" i="47" a="1"/>
  <c r="K32" i="47" s="1"/>
  <c r="K33" i="47" a="1"/>
  <c r="K33" i="47" s="1"/>
  <c r="K48" i="47" a="1"/>
  <c r="K48" i="47" s="1"/>
  <c r="K42" i="47" a="1"/>
  <c r="K42" i="47" s="1"/>
  <c r="Q4" i="48" a="1"/>
  <c r="Q4" i="48" s="1"/>
  <c r="Q11" i="48" a="1"/>
  <c r="Q11" i="48" s="1"/>
  <c r="Q21" i="48" a="1"/>
  <c r="Q21" i="48" s="1"/>
  <c r="Q39" i="48" a="1"/>
  <c r="Q39" i="48" s="1"/>
  <c r="Q7" i="48" a="1"/>
  <c r="Q7" i="48" s="1"/>
  <c r="Q28" i="48" a="1"/>
  <c r="Q28" i="48" s="1"/>
  <c r="Q47" i="48" a="1"/>
  <c r="Q47" i="48" s="1"/>
  <c r="Q3" i="48" a="1"/>
  <c r="Q3" i="48" s="1"/>
  <c r="Q29" i="48" a="1"/>
  <c r="Q29" i="48" s="1"/>
  <c r="Q37" i="48" a="1"/>
  <c r="Q37" i="48" s="1"/>
  <c r="Q45" i="48" a="1"/>
  <c r="Q45" i="48" s="1"/>
  <c r="Q20" i="48" a="1"/>
  <c r="Q20" i="48" s="1"/>
  <c r="Q40" i="48" a="1"/>
  <c r="Q40" i="48" s="1"/>
  <c r="Q51" i="48" a="1"/>
  <c r="Q51" i="48" s="1"/>
  <c r="Q8" i="48" a="1"/>
  <c r="Q8" i="48" s="1"/>
  <c r="Q25" i="48" a="1"/>
  <c r="Q25" i="48" s="1"/>
  <c r="Q32" i="48" a="1"/>
  <c r="Q32" i="48" s="1"/>
  <c r="Q43" i="48" a="1"/>
  <c r="Q43" i="48" s="1"/>
  <c r="Q5" i="48" a="1"/>
  <c r="Q5" i="48" s="1"/>
  <c r="Q15" i="48" a="1"/>
  <c r="Q15" i="48" s="1"/>
  <c r="Q26" i="48" a="1"/>
  <c r="Q26" i="48" s="1"/>
  <c r="Q46" i="48" a="1"/>
  <c r="Q46" i="48" s="1"/>
  <c r="Q49" i="48" a="1"/>
  <c r="Q49" i="48" s="1"/>
  <c r="Q31" i="48" a="1"/>
  <c r="Q31" i="48" s="1"/>
  <c r="Q41" i="48" a="1"/>
  <c r="Q41" i="48" s="1"/>
  <c r="Q16" i="48" a="1"/>
  <c r="Q16" i="48" s="1"/>
  <c r="Q24" i="48" a="1"/>
  <c r="Q24" i="48" s="1"/>
  <c r="Q17" i="48" a="1"/>
  <c r="Q17" i="48" s="1"/>
  <c r="Q30" i="48" a="1"/>
  <c r="Q30" i="48" s="1"/>
  <c r="Q9" i="48" a="1"/>
  <c r="Q9" i="48" s="1"/>
  <c r="Q48" i="48" a="1"/>
  <c r="Q48" i="48" s="1"/>
  <c r="Q35" i="48" a="1"/>
  <c r="Q35" i="48" s="1"/>
  <c r="Q6" i="48" a="1"/>
  <c r="Q6" i="48" s="1"/>
  <c r="Q27" i="48" a="1"/>
  <c r="Q27" i="48" s="1"/>
  <c r="Q38" i="48" a="1"/>
  <c r="Q38" i="48" s="1"/>
  <c r="R25" i="48" l="1" a="1"/>
  <c r="R25" i="48" s="1"/>
  <c r="R2" i="48" a="1"/>
  <c r="R2" i="48" s="1"/>
  <c r="R6" i="48" a="1"/>
  <c r="R6" i="48" s="1"/>
  <c r="R27" i="48" a="1"/>
  <c r="R27" i="48" s="1"/>
  <c r="R51" i="48" a="1"/>
  <c r="R51" i="48" s="1"/>
  <c r="R40" i="48" a="1"/>
  <c r="R40" i="48" s="1"/>
  <c r="S1" i="48" a="1"/>
  <c r="S1" i="48" s="1"/>
  <c r="R49" i="48" a="1"/>
  <c r="R49" i="48" s="1"/>
  <c r="R44" i="48" a="1"/>
  <c r="R44" i="48" s="1"/>
  <c r="R11" i="48" a="1"/>
  <c r="R11" i="48" s="1"/>
  <c r="R34" i="48" a="1"/>
  <c r="R34" i="48" s="1"/>
  <c r="O1" i="47" a="1"/>
  <c r="O1" i="47" s="1"/>
  <c r="P1" i="47" s="1" a="1"/>
  <c r="P1" i="47" s="1"/>
  <c r="P38" i="47" s="1" a="1"/>
  <c r="P38" i="47" s="1"/>
  <c r="M33" i="47" a="1"/>
  <c r="M33" i="47" s="1"/>
  <c r="R3" i="48" a="1"/>
  <c r="R3" i="48" s="1"/>
  <c r="R10" i="48" a="1"/>
  <c r="R10" i="48" s="1"/>
  <c r="R33" i="48" a="1"/>
  <c r="R33" i="48" s="1"/>
  <c r="R48" i="48" a="1"/>
  <c r="R48" i="48" s="1"/>
  <c r="R32" i="48" a="1"/>
  <c r="R32" i="48" s="1"/>
  <c r="R37" i="48" a="1"/>
  <c r="R37" i="48" s="1"/>
  <c r="R8" i="48" a="1"/>
  <c r="R8" i="48" s="1"/>
  <c r="R9" i="48" a="1"/>
  <c r="R9" i="48" s="1"/>
  <c r="R42" i="48" a="1"/>
  <c r="R42" i="48" s="1"/>
  <c r="R15" i="48" a="1"/>
  <c r="R15" i="48" s="1"/>
  <c r="R39" i="48" a="1"/>
  <c r="R39" i="48" s="1"/>
  <c r="R46" i="48" a="1"/>
  <c r="R46" i="48" s="1"/>
  <c r="R14" i="48" a="1"/>
  <c r="R14" i="48" s="1"/>
  <c r="R21" i="48" a="1"/>
  <c r="R21" i="48" s="1"/>
  <c r="R19" i="48" a="1"/>
  <c r="R19" i="48" s="1"/>
  <c r="R35" i="48" a="1"/>
  <c r="R35" i="48" s="1"/>
  <c r="R4" i="48" a="1"/>
  <c r="R4" i="48" s="1"/>
  <c r="R24" i="48" a="1"/>
  <c r="R24" i="48" s="1"/>
  <c r="R17" i="48" a="1"/>
  <c r="R17" i="48" s="1"/>
  <c r="R50" i="48" a="1"/>
  <c r="R50" i="48" s="1"/>
  <c r="R36" i="48" a="1"/>
  <c r="R36" i="48" s="1"/>
  <c r="R20" i="48" a="1"/>
  <c r="R20" i="48" s="1"/>
  <c r="R43" i="48" a="1"/>
  <c r="R43" i="48" s="1"/>
  <c r="R31" i="48" a="1"/>
  <c r="R31" i="48" s="1"/>
  <c r="R22" i="48" a="1"/>
  <c r="R22" i="48" s="1"/>
  <c r="R5" i="48" a="1"/>
  <c r="R5" i="48" s="1"/>
  <c r="R38" i="48" a="1"/>
  <c r="R38" i="48" s="1"/>
  <c r="R28" i="48" a="1"/>
  <c r="R28" i="48" s="1"/>
  <c r="R7" i="48" a="1"/>
  <c r="R7" i="48" s="1"/>
  <c r="R16" i="48" a="1"/>
  <c r="R16" i="48" s="1"/>
  <c r="R23" i="48" a="1"/>
  <c r="R23" i="48" s="1"/>
  <c r="R13" i="48" a="1"/>
  <c r="R13" i="48" s="1"/>
  <c r="R45" i="48" a="1"/>
  <c r="R45" i="48" s="1"/>
  <c r="R26" i="48" a="1"/>
  <c r="R26" i="48" s="1"/>
  <c r="R18" i="48" a="1"/>
  <c r="R18" i="48" s="1"/>
  <c r="R41" i="48" a="1"/>
  <c r="R41" i="48" s="1"/>
  <c r="R30" i="48" a="1"/>
  <c r="R30" i="48" s="1"/>
  <c r="R12" i="48" a="1"/>
  <c r="R12" i="48" s="1"/>
  <c r="R47" i="48" a="1"/>
  <c r="R47" i="48" s="1"/>
  <c r="M10" i="47" a="1"/>
  <c r="M10" i="47" s="1"/>
  <c r="N6" i="47" a="1"/>
  <c r="N6" i="47" s="1"/>
  <c r="N4" i="47" a="1"/>
  <c r="N4" i="47" s="1"/>
  <c r="N14" i="47" a="1"/>
  <c r="N14" i="47" s="1"/>
  <c r="N40" i="47" a="1"/>
  <c r="N40" i="47" s="1"/>
  <c r="N42" i="47" a="1"/>
  <c r="N42" i="47" s="1"/>
  <c r="N18" i="47" a="1"/>
  <c r="N18" i="47" s="1"/>
  <c r="N3" i="47" a="1"/>
  <c r="N3" i="47" s="1"/>
  <c r="N45" i="47" a="1"/>
  <c r="N45" i="47" s="1"/>
  <c r="M31" i="47" a="1"/>
  <c r="M31" i="47" s="1"/>
  <c r="N10" i="47" a="1"/>
  <c r="N10" i="47" s="1"/>
  <c r="N13" i="47" a="1"/>
  <c r="N13" i="47" s="1"/>
  <c r="M34" i="47" a="1"/>
  <c r="M34" i="47" s="1"/>
  <c r="N26" i="47" a="1"/>
  <c r="N26" i="47" s="1"/>
  <c r="M49" i="47" a="1"/>
  <c r="M49" i="47" s="1"/>
  <c r="N25" i="47" a="1"/>
  <c r="N25" i="47" s="1"/>
  <c r="N37" i="47" a="1"/>
  <c r="N37" i="47" s="1"/>
  <c r="M12" i="47" a="1"/>
  <c r="M12" i="47" s="1"/>
  <c r="N27" i="47" a="1"/>
  <c r="N27" i="47" s="1"/>
  <c r="N31" i="47" a="1"/>
  <c r="N31" i="47" s="1"/>
  <c r="N39" i="47" a="1"/>
  <c r="N39" i="47" s="1"/>
  <c r="M27" i="47" a="1"/>
  <c r="M27" i="47" s="1"/>
  <c r="N35" i="47" a="1"/>
  <c r="N35" i="47" s="1"/>
  <c r="N34" i="47" a="1"/>
  <c r="N34" i="47" s="1"/>
  <c r="N36" i="47" a="1"/>
  <c r="N36" i="47" s="1"/>
  <c r="M14" i="47" a="1"/>
  <c r="M14" i="47" s="1"/>
  <c r="N46" i="47" a="1"/>
  <c r="N46" i="47" s="1"/>
  <c r="N2" i="47" a="1"/>
  <c r="N2" i="47" s="1"/>
  <c r="N12" i="47" a="1"/>
  <c r="N12" i="47" s="1"/>
  <c r="N49" i="47" a="1"/>
  <c r="N49" i="47" s="1"/>
  <c r="M8" i="47" a="1"/>
  <c r="M8" i="47" s="1"/>
  <c r="M29" i="47" a="1"/>
  <c r="M29" i="47" s="1"/>
  <c r="M35" i="47" a="1"/>
  <c r="M35" i="47" s="1"/>
  <c r="M36" i="47" a="1"/>
  <c r="M36" i="47" s="1"/>
  <c r="N9" i="47" a="1"/>
  <c r="N9" i="47" s="1"/>
  <c r="N24" i="47" a="1"/>
  <c r="N24" i="47" s="1"/>
  <c r="N17" i="47" a="1"/>
  <c r="N17" i="47" s="1"/>
  <c r="N28" i="47" a="1"/>
  <c r="N28" i="47" s="1"/>
  <c r="M21" i="47" a="1"/>
  <c r="M21" i="47" s="1"/>
  <c r="M22" i="47" a="1"/>
  <c r="M22" i="47" s="1"/>
  <c r="M4" i="47" a="1"/>
  <c r="M4" i="47" s="1"/>
  <c r="M43" i="47" a="1"/>
  <c r="M43" i="47" s="1"/>
  <c r="N23" i="47" a="1"/>
  <c r="N23" i="47" s="1"/>
  <c r="N21" i="47" a="1"/>
  <c r="N21" i="47" s="1"/>
  <c r="N38" i="47" a="1"/>
  <c r="N38" i="47" s="1"/>
  <c r="N22" i="47" a="1"/>
  <c r="N22" i="47" s="1"/>
  <c r="M15" i="47" a="1"/>
  <c r="M15" i="47" s="1"/>
  <c r="M41" i="47" a="1"/>
  <c r="M41" i="47" s="1"/>
  <c r="M48" i="47" a="1"/>
  <c r="M48" i="47" s="1"/>
  <c r="N41" i="47" a="1"/>
  <c r="N41" i="47" s="1"/>
  <c r="N8" i="47" a="1"/>
  <c r="N8" i="47" s="1"/>
  <c r="N43" i="47" a="1"/>
  <c r="N43" i="47" s="1"/>
  <c r="N33" i="47" a="1"/>
  <c r="N33" i="47" s="1"/>
  <c r="N20" i="47" a="1"/>
  <c r="N20" i="47" s="1"/>
  <c r="N47" i="47" a="1"/>
  <c r="N47" i="47" s="1"/>
  <c r="M18" i="47" a="1"/>
  <c r="M18" i="47" s="1"/>
  <c r="M38" i="47" a="1"/>
  <c r="M38" i="47" s="1"/>
  <c r="M42" i="47" a="1"/>
  <c r="M42" i="47" s="1"/>
  <c r="M9" i="47" a="1"/>
  <c r="M9" i="47" s="1"/>
  <c r="M17" i="47" a="1"/>
  <c r="M17" i="47" s="1"/>
  <c r="M16" i="47" a="1"/>
  <c r="M16" i="47" s="1"/>
  <c r="N44" i="47" a="1"/>
  <c r="N44" i="47" s="1"/>
  <c r="N50" i="47" a="1"/>
  <c r="N50" i="47" s="1"/>
  <c r="N29" i="47" a="1"/>
  <c r="N29" i="47" s="1"/>
  <c r="N30" i="47" a="1"/>
  <c r="N30" i="47" s="1"/>
  <c r="N16" i="47" a="1"/>
  <c r="N16" i="47" s="1"/>
  <c r="N19" i="47" a="1"/>
  <c r="N19" i="47" s="1"/>
  <c r="M2" i="47" a="1"/>
  <c r="M2" i="47" s="1"/>
  <c r="M32" i="47" a="1"/>
  <c r="M32" i="47" s="1"/>
  <c r="M23" i="47" a="1"/>
  <c r="M23" i="47" s="1"/>
  <c r="M26" i="47" a="1"/>
  <c r="M26" i="47" s="1"/>
  <c r="M25" i="47" a="1"/>
  <c r="M25" i="47" s="1"/>
  <c r="M20" i="47" a="1"/>
  <c r="M20" i="47" s="1"/>
  <c r="M11" i="47" a="1"/>
  <c r="M11" i="47" s="1"/>
  <c r="M46" i="47" a="1"/>
  <c r="M46" i="47" s="1"/>
  <c r="M39" i="47" a="1"/>
  <c r="M39" i="47" s="1"/>
  <c r="M28" i="47" a="1"/>
  <c r="M28" i="47" s="1"/>
  <c r="M45" i="47" a="1"/>
  <c r="M45" i="47" s="1"/>
  <c r="M5" i="47" a="1"/>
  <c r="M5" i="47" s="1"/>
  <c r="N48" i="47" a="1"/>
  <c r="N48" i="47" s="1"/>
  <c r="N11" i="47" a="1"/>
  <c r="N11" i="47" s="1"/>
  <c r="N5" i="47" a="1"/>
  <c r="N5" i="47" s="1"/>
  <c r="N7" i="47" a="1"/>
  <c r="N7" i="47" s="1"/>
  <c r="N32" i="47" a="1"/>
  <c r="N32" i="47" s="1"/>
  <c r="M44" i="47" a="1"/>
  <c r="M44" i="47" s="1"/>
  <c r="M50" i="47" a="1"/>
  <c r="M50" i="47" s="1"/>
  <c r="M37" i="47" a="1"/>
  <c r="M37" i="47" s="1"/>
  <c r="M3" i="47" a="1"/>
  <c r="M3" i="47" s="1"/>
  <c r="M47" i="47" a="1"/>
  <c r="M47" i="47" s="1"/>
  <c r="M13" i="47" a="1"/>
  <c r="M13" i="47" s="1"/>
  <c r="M24" i="47" a="1"/>
  <c r="M24" i="47" s="1"/>
  <c r="M30" i="47" a="1"/>
  <c r="M30" i="47" s="1"/>
  <c r="M7" i="47" a="1"/>
  <c r="M7" i="47" s="1"/>
  <c r="M40" i="47" a="1"/>
  <c r="M40" i="47" s="1"/>
  <c r="M19" i="47" a="1"/>
  <c r="M19" i="47" s="1"/>
  <c r="M6" i="47" a="1"/>
  <c r="M6" i="47" s="1"/>
  <c r="S49" i="48" a="1"/>
  <c r="S49" i="48" s="1"/>
  <c r="S45" i="48" a="1"/>
  <c r="S45" i="48" s="1"/>
  <c r="S42" i="48" a="1"/>
  <c r="S42" i="48" s="1"/>
  <c r="S37" i="48" a="1"/>
  <c r="S37" i="48" s="1"/>
  <c r="S29" i="48" a="1"/>
  <c r="S29" i="48" s="1"/>
  <c r="S32" i="48" a="1"/>
  <c r="S32" i="48" s="1"/>
  <c r="S26" i="48" a="1"/>
  <c r="S26" i="48" s="1"/>
  <c r="S22" i="48" a="1"/>
  <c r="S22" i="48" s="1"/>
  <c r="S16" i="48" a="1"/>
  <c r="S16" i="48" s="1"/>
  <c r="S11" i="48" a="1"/>
  <c r="S11" i="48" s="1"/>
  <c r="S9" i="48" a="1"/>
  <c r="S9" i="48" s="1"/>
  <c r="S6" i="48" a="1"/>
  <c r="S6" i="48" s="1"/>
  <c r="S48" i="48" a="1"/>
  <c r="S48" i="48" s="1"/>
  <c r="S43" i="48" a="1"/>
  <c r="S43" i="48" s="1"/>
  <c r="S39" i="48" a="1"/>
  <c r="S39" i="48" s="1"/>
  <c r="S35" i="48" a="1"/>
  <c r="S35" i="48" s="1"/>
  <c r="S33" i="48" a="1"/>
  <c r="S33" i="48" s="1"/>
  <c r="S28" i="48" a="1"/>
  <c r="S28" i="48" s="1"/>
  <c r="S51" i="48" a="1"/>
  <c r="S51" i="48" s="1"/>
  <c r="S47" i="48" a="1"/>
  <c r="S47" i="48" s="1"/>
  <c r="S44" i="48" a="1"/>
  <c r="S44" i="48" s="1"/>
  <c r="S40" i="48" a="1"/>
  <c r="S40" i="48" s="1"/>
  <c r="S36" i="48" a="1"/>
  <c r="S36" i="48" s="1"/>
  <c r="S30" i="48" a="1"/>
  <c r="S30" i="48" s="1"/>
  <c r="S24" i="48" a="1"/>
  <c r="S24" i="48" s="1"/>
  <c r="S23" i="48" a="1"/>
  <c r="S23" i="48" s="1"/>
  <c r="S18" i="48" a="1"/>
  <c r="S18" i="48" s="1"/>
  <c r="S15" i="48" a="1"/>
  <c r="S15" i="48" s="1"/>
  <c r="S12" i="48" a="1"/>
  <c r="S12" i="48" s="1"/>
  <c r="S7" i="48" a="1"/>
  <c r="S7" i="48" s="1"/>
  <c r="S38" i="48" a="1"/>
  <c r="S38" i="48" s="1"/>
  <c r="S25" i="48" a="1"/>
  <c r="S25" i="48" s="1"/>
  <c r="S17" i="48" a="1"/>
  <c r="S17" i="48" s="1"/>
  <c r="S10" i="48" a="1"/>
  <c r="S10" i="48" s="1"/>
  <c r="S46" i="48" a="1"/>
  <c r="S46" i="48" s="1"/>
  <c r="S41" i="48" a="1"/>
  <c r="S41" i="48" s="1"/>
  <c r="S21" i="48" a="1"/>
  <c r="S21" i="48" s="1"/>
  <c r="S13" i="48" a="1"/>
  <c r="S13" i="48" s="1"/>
  <c r="S5" i="48" a="1"/>
  <c r="S5" i="48" s="1"/>
  <c r="S20" i="48" a="1"/>
  <c r="S20" i="48" s="1"/>
  <c r="S34" i="48" a="1"/>
  <c r="S34" i="48" s="1"/>
  <c r="S19" i="48" a="1"/>
  <c r="S19" i="48" s="1"/>
  <c r="S50" i="48" a="1"/>
  <c r="S50" i="48" s="1"/>
  <c r="S14" i="48" a="1"/>
  <c r="S14" i="48" s="1"/>
  <c r="S31" i="48" a="1"/>
  <c r="S31" i="48" s="1"/>
  <c r="S27" i="48" a="1"/>
  <c r="S27" i="48" s="1"/>
  <c r="S8" i="48" a="1"/>
  <c r="S8" i="48" s="1"/>
  <c r="S3" i="48" a="1"/>
  <c r="S3" i="48" s="1"/>
  <c r="S2" i="48" a="1"/>
  <c r="S2" i="48" s="1"/>
  <c r="S4" i="48" a="1"/>
  <c r="S4" i="48" s="1"/>
  <c r="T1" i="48" a="1"/>
  <c r="T1" i="48" s="1"/>
  <c r="O43" i="47" l="1" a="1"/>
  <c r="O43" i="47" s="1"/>
  <c r="O19" i="47" a="1"/>
  <c r="O19" i="47" s="1"/>
  <c r="O2" i="47" a="1"/>
  <c r="O2" i="47" s="1"/>
  <c r="O9" i="47" a="1"/>
  <c r="O9" i="47" s="1"/>
  <c r="O25" i="47" a="1"/>
  <c r="O25" i="47" s="1"/>
  <c r="O13" i="47" a="1"/>
  <c r="O13" i="47" s="1"/>
  <c r="O49" i="47" a="1"/>
  <c r="O49" i="47" s="1"/>
  <c r="O21" i="47" a="1"/>
  <c r="O21" i="47" s="1"/>
  <c r="O29" i="47" a="1"/>
  <c r="O29" i="47" s="1"/>
  <c r="O10" i="47" a="1"/>
  <c r="O10" i="47" s="1"/>
  <c r="O24" i="47" a="1"/>
  <c r="O24" i="47" s="1"/>
  <c r="O4" i="47" a="1"/>
  <c r="O4" i="47" s="1"/>
  <c r="O3" i="47" a="1"/>
  <c r="O3" i="47" s="1"/>
  <c r="O11" i="47" a="1"/>
  <c r="O11" i="47" s="1"/>
  <c r="O30" i="47" a="1"/>
  <c r="O30" i="47" s="1"/>
  <c r="O42" i="47" a="1"/>
  <c r="O42" i="47" s="1"/>
  <c r="O38" i="47" a="1"/>
  <c r="O38" i="47" s="1"/>
  <c r="O32" i="47" a="1"/>
  <c r="O32" i="47" s="1"/>
  <c r="O35" i="47" a="1"/>
  <c r="O35" i="47" s="1"/>
  <c r="O22" i="47" a="1"/>
  <c r="O22" i="47" s="1"/>
  <c r="O27" i="47" a="1"/>
  <c r="O27" i="47" s="1"/>
  <c r="O50" i="47" a="1"/>
  <c r="O50" i="47" s="1"/>
  <c r="O34" i="47" a="1"/>
  <c r="O34" i="47" s="1"/>
  <c r="O26" i="47" a="1"/>
  <c r="O26" i="47" s="1"/>
  <c r="O48" i="47" a="1"/>
  <c r="O48" i="47" s="1"/>
  <c r="O5" i="47" a="1"/>
  <c r="O5" i="47" s="1"/>
  <c r="O40" i="47" a="1"/>
  <c r="O40" i="47" s="1"/>
  <c r="O17" i="47" a="1"/>
  <c r="O17" i="47" s="1"/>
  <c r="O14" i="47" a="1"/>
  <c r="O14" i="47" s="1"/>
  <c r="O33" i="47" a="1"/>
  <c r="O33" i="47" s="1"/>
  <c r="O46" i="47" a="1"/>
  <c r="O46" i="47" s="1"/>
  <c r="O28" i="47" a="1"/>
  <c r="O28" i="47" s="1"/>
  <c r="O8" i="47" a="1"/>
  <c r="O8" i="47" s="1"/>
  <c r="O18" i="47" a="1"/>
  <c r="O18" i="47" s="1"/>
  <c r="O12" i="47" a="1"/>
  <c r="O12" i="47" s="1"/>
  <c r="O37" i="47" a="1"/>
  <c r="O37" i="47" s="1"/>
  <c r="O36" i="47" a="1"/>
  <c r="O36" i="47" s="1"/>
  <c r="O31" i="47" a="1"/>
  <c r="O31" i="47" s="1"/>
  <c r="O15" i="47" a="1"/>
  <c r="O15" i="47" s="1"/>
  <c r="O20" i="47" a="1"/>
  <c r="O20" i="47" s="1"/>
  <c r="O44" i="47" a="1"/>
  <c r="O44" i="47" s="1"/>
  <c r="O16" i="47" a="1"/>
  <c r="O16" i="47" s="1"/>
  <c r="O7" i="47" a="1"/>
  <c r="O7" i="47" s="1"/>
  <c r="O6" i="47" a="1"/>
  <c r="O6" i="47" s="1"/>
  <c r="O41" i="47" a="1"/>
  <c r="O41" i="47" s="1"/>
  <c r="O39" i="47" a="1"/>
  <c r="O39" i="47" s="1"/>
  <c r="O47" i="47" a="1"/>
  <c r="O47" i="47" s="1"/>
  <c r="O23" i="47" a="1"/>
  <c r="O23" i="47" s="1"/>
  <c r="O45" i="47" a="1"/>
  <c r="O45" i="47" s="1"/>
  <c r="P40" i="47" a="1"/>
  <c r="P40" i="47" s="1"/>
  <c r="P37" i="47" a="1"/>
  <c r="P37" i="47" s="1"/>
  <c r="P21" i="47" a="1"/>
  <c r="P21" i="47" s="1"/>
  <c r="P16" i="47" a="1"/>
  <c r="P16" i="47" s="1"/>
  <c r="P48" i="47" a="1"/>
  <c r="P48" i="47" s="1"/>
  <c r="P46" i="47" a="1"/>
  <c r="P46" i="47" s="1"/>
  <c r="P32" i="47" a="1"/>
  <c r="P32" i="47" s="1"/>
  <c r="P11" i="47" a="1"/>
  <c r="P11" i="47" s="1"/>
  <c r="P36" i="47" a="1"/>
  <c r="P36" i="47" s="1"/>
  <c r="P29" i="47" a="1"/>
  <c r="P29" i="47" s="1"/>
  <c r="P22" i="47" a="1"/>
  <c r="P22" i="47" s="1"/>
  <c r="P26" i="47" a="1"/>
  <c r="P26" i="47" s="1"/>
  <c r="Q1" i="47" a="1"/>
  <c r="Q1" i="47" s="1"/>
  <c r="Q42" i="47" s="1" a="1"/>
  <c r="Q42" i="47" s="1"/>
  <c r="P10" i="47" a="1"/>
  <c r="P10" i="47" s="1"/>
  <c r="P5" i="47" a="1"/>
  <c r="P5" i="47" s="1"/>
  <c r="P28" i="47" a="1"/>
  <c r="P28" i="47" s="1"/>
  <c r="P31" i="47" a="1"/>
  <c r="P31" i="47" s="1"/>
  <c r="P18" i="47" a="1"/>
  <c r="P18" i="47" s="1"/>
  <c r="P43" i="47" a="1"/>
  <c r="P43" i="47" s="1"/>
  <c r="P41" i="47" a="1"/>
  <c r="P41" i="47" s="1"/>
  <c r="P50" i="47" a="1"/>
  <c r="P50" i="47" s="1"/>
  <c r="P20" i="47" a="1"/>
  <c r="P20" i="47" s="1"/>
  <c r="P24" i="47" a="1"/>
  <c r="P24" i="47" s="1"/>
  <c r="P25" i="47" a="1"/>
  <c r="P25" i="47" s="1"/>
  <c r="P34" i="47" a="1"/>
  <c r="P34" i="47" s="1"/>
  <c r="P27" i="47" a="1"/>
  <c r="P27" i="47" s="1"/>
  <c r="P12" i="47" a="1"/>
  <c r="P12" i="47" s="1"/>
  <c r="P42" i="47" a="1"/>
  <c r="P42" i="47" s="1"/>
  <c r="P2" i="47" a="1"/>
  <c r="P2" i="47" s="1"/>
  <c r="P4" i="47" a="1"/>
  <c r="P4" i="47" s="1"/>
  <c r="P39" i="47" a="1"/>
  <c r="P39" i="47" s="1"/>
  <c r="P14" i="47" a="1"/>
  <c r="P14" i="47" s="1"/>
  <c r="P17" i="47" a="1"/>
  <c r="P17" i="47" s="1"/>
  <c r="P3" i="47" a="1"/>
  <c r="P3" i="47" s="1"/>
  <c r="P30" i="47" a="1"/>
  <c r="P30" i="47" s="1"/>
  <c r="P13" i="47" a="1"/>
  <c r="P13" i="47" s="1"/>
  <c r="P15" i="47" a="1"/>
  <c r="P15" i="47" s="1"/>
  <c r="P6" i="47" a="1"/>
  <c r="P6" i="47" s="1"/>
  <c r="P23" i="47" a="1"/>
  <c r="P23" i="47" s="1"/>
  <c r="P45" i="47" a="1"/>
  <c r="P45" i="47" s="1"/>
  <c r="P44" i="47" a="1"/>
  <c r="P44" i="47" s="1"/>
  <c r="P19" i="47" a="1"/>
  <c r="P19" i="47" s="1"/>
  <c r="P35" i="47" a="1"/>
  <c r="P35" i="47" s="1"/>
  <c r="P33" i="47" a="1"/>
  <c r="P33" i="47" s="1"/>
  <c r="P7" i="47" a="1"/>
  <c r="P7" i="47" s="1"/>
  <c r="P9" i="47" a="1"/>
  <c r="P9" i="47" s="1"/>
  <c r="P8" i="47" a="1"/>
  <c r="P8" i="47" s="1"/>
  <c r="P47" i="47" a="1"/>
  <c r="P47" i="47" s="1"/>
  <c r="P49" i="47" a="1"/>
  <c r="P49" i="47" s="1"/>
  <c r="T50" i="48" a="1"/>
  <c r="T50" i="48" s="1"/>
  <c r="T47" i="48" a="1"/>
  <c r="T47" i="48" s="1"/>
  <c r="T42" i="48" a="1"/>
  <c r="T42" i="48" s="1"/>
  <c r="T38" i="48" a="1"/>
  <c r="T38" i="48" s="1"/>
  <c r="T35" i="48" a="1"/>
  <c r="T35" i="48" s="1"/>
  <c r="T29" i="48" a="1"/>
  <c r="T29" i="48" s="1"/>
  <c r="T26" i="48" a="1"/>
  <c r="T26" i="48" s="1"/>
  <c r="T22" i="48" a="1"/>
  <c r="T22" i="48" s="1"/>
  <c r="T17" i="48" a="1"/>
  <c r="T17" i="48" s="1"/>
  <c r="T11" i="48" a="1"/>
  <c r="T11" i="48" s="1"/>
  <c r="T12" i="48" a="1"/>
  <c r="T12" i="48" s="1"/>
  <c r="T6" i="48" a="1"/>
  <c r="T6" i="48" s="1"/>
  <c r="T48" i="48" a="1"/>
  <c r="T48" i="48" s="1"/>
  <c r="T44" i="48" a="1"/>
  <c r="T44" i="48" s="1"/>
  <c r="T39" i="48" a="1"/>
  <c r="T39" i="48" s="1"/>
  <c r="T36" i="48" a="1"/>
  <c r="T36" i="48" s="1"/>
  <c r="T31" i="48" a="1"/>
  <c r="T31" i="48" s="1"/>
  <c r="T25" i="48" a="1"/>
  <c r="T25" i="48" s="1"/>
  <c r="T23" i="48" a="1"/>
  <c r="T23" i="48" s="1"/>
  <c r="T20" i="48" a="1"/>
  <c r="T20" i="48" s="1"/>
  <c r="T15" i="48" a="1"/>
  <c r="T15" i="48" s="1"/>
  <c r="T16" i="48" a="1"/>
  <c r="T16" i="48" s="1"/>
  <c r="T7" i="48" a="1"/>
  <c r="T7" i="48" s="1"/>
  <c r="T37" i="48" a="1"/>
  <c r="T37" i="48" s="1"/>
  <c r="T32" i="48" a="1"/>
  <c r="T32" i="48" s="1"/>
  <c r="T8" i="48" a="1"/>
  <c r="T8" i="48" s="1"/>
  <c r="T51" i="48" a="1"/>
  <c r="T51" i="48" s="1"/>
  <c r="T45" i="48" a="1"/>
  <c r="T45" i="48" s="1"/>
  <c r="T19" i="48" a="1"/>
  <c r="T19" i="48" s="1"/>
  <c r="T14" i="48" a="1"/>
  <c r="T14" i="48" s="1"/>
  <c r="T30" i="48" a="1"/>
  <c r="T30" i="48" s="1"/>
  <c r="T24" i="48" a="1"/>
  <c r="T24" i="48" s="1"/>
  <c r="T46" i="48" a="1"/>
  <c r="T46" i="48" s="1"/>
  <c r="T33" i="48" a="1"/>
  <c r="T33" i="48" s="1"/>
  <c r="T28" i="48" a="1"/>
  <c r="T28" i="48" s="1"/>
  <c r="T13" i="48" a="1"/>
  <c r="T13" i="48" s="1"/>
  <c r="T40" i="48" a="1"/>
  <c r="T40" i="48" s="1"/>
  <c r="T9" i="48" a="1"/>
  <c r="T9" i="48" s="1"/>
  <c r="T27" i="48" a="1"/>
  <c r="T27" i="48" s="1"/>
  <c r="T49" i="48" a="1"/>
  <c r="T49" i="48" s="1"/>
  <c r="T34" i="48" a="1"/>
  <c r="T34" i="48" s="1"/>
  <c r="T10" i="48" a="1"/>
  <c r="T10" i="48" s="1"/>
  <c r="T43" i="48" a="1"/>
  <c r="T43" i="48" s="1"/>
  <c r="T18" i="48" a="1"/>
  <c r="T18" i="48" s="1"/>
  <c r="T21" i="48" a="1"/>
  <c r="T21" i="48" s="1"/>
  <c r="T5" i="48" a="1"/>
  <c r="T5" i="48" s="1"/>
  <c r="T41" i="48" a="1"/>
  <c r="T41" i="48" s="1"/>
  <c r="T4" i="48" a="1"/>
  <c r="T4" i="48" s="1"/>
  <c r="T2" i="48" a="1"/>
  <c r="T2" i="48" s="1"/>
  <c r="T3" i="48" a="1"/>
  <c r="T3" i="48" s="1"/>
  <c r="U1" i="48" a="1"/>
  <c r="U1" i="48" s="1"/>
  <c r="Q27" i="47" l="1" a="1"/>
  <c r="Q27" i="47" s="1"/>
  <c r="Q39" i="47" a="1"/>
  <c r="Q39" i="47" s="1"/>
  <c r="Q26" i="47" a="1"/>
  <c r="Q26" i="47" s="1"/>
  <c r="Q35" i="47" a="1"/>
  <c r="Q35" i="47" s="1"/>
  <c r="Q43" i="47" a="1"/>
  <c r="Q43" i="47" s="1"/>
  <c r="Q48" i="47" a="1"/>
  <c r="Q48" i="47" s="1"/>
  <c r="Q6" i="47" a="1"/>
  <c r="Q6" i="47" s="1"/>
  <c r="Q29" i="47" a="1"/>
  <c r="Q29" i="47" s="1"/>
  <c r="Q12" i="47" a="1"/>
  <c r="Q12" i="47" s="1"/>
  <c r="Q22" i="47" a="1"/>
  <c r="Q22" i="47" s="1"/>
  <c r="Q2" i="47" a="1"/>
  <c r="Q2" i="47" s="1"/>
  <c r="Q24" i="47" a="1"/>
  <c r="Q24" i="47" s="1"/>
  <c r="Q25" i="47" a="1"/>
  <c r="Q25" i="47" s="1"/>
  <c r="Q34" i="47" a="1"/>
  <c r="Q34" i="47" s="1"/>
  <c r="Q9" i="47" a="1"/>
  <c r="Q9" i="47" s="1"/>
  <c r="Q3" i="47" a="1"/>
  <c r="Q3" i="47" s="1"/>
  <c r="Q13" i="47" a="1"/>
  <c r="Q13" i="47" s="1"/>
  <c r="R1" i="47" a="1"/>
  <c r="R1" i="47" s="1"/>
  <c r="S1" i="47" s="1" a="1"/>
  <c r="S1" i="47" s="1"/>
  <c r="S29" i="47" s="1" a="1"/>
  <c r="S29" i="47" s="1"/>
  <c r="Q17" i="47" a="1"/>
  <c r="Q17" i="47" s="1"/>
  <c r="Q37" i="47" a="1"/>
  <c r="Q37" i="47" s="1"/>
  <c r="Q38" i="47" a="1"/>
  <c r="Q38" i="47" s="1"/>
  <c r="Q21" i="47" a="1"/>
  <c r="Q21" i="47" s="1"/>
  <c r="Q5" i="47" a="1"/>
  <c r="Q5" i="47" s="1"/>
  <c r="Q36" i="47" a="1"/>
  <c r="Q36" i="47" s="1"/>
  <c r="Q23" i="47" a="1"/>
  <c r="Q23" i="47" s="1"/>
  <c r="Q15" i="47" a="1"/>
  <c r="Q15" i="47" s="1"/>
  <c r="Q41" i="47" a="1"/>
  <c r="Q41" i="47" s="1"/>
  <c r="Q30" i="47" a="1"/>
  <c r="Q30" i="47" s="1"/>
  <c r="Q18" i="47" a="1"/>
  <c r="Q18" i="47" s="1"/>
  <c r="Q10" i="47" a="1"/>
  <c r="Q10" i="47" s="1"/>
  <c r="Q31" i="47" a="1"/>
  <c r="Q31" i="47" s="1"/>
  <c r="Q32" i="47" a="1"/>
  <c r="Q32" i="47" s="1"/>
  <c r="Q19" i="47" a="1"/>
  <c r="Q19" i="47" s="1"/>
  <c r="Q49" i="47" a="1"/>
  <c r="Q49" i="47" s="1"/>
  <c r="Q33" i="47" a="1"/>
  <c r="Q33" i="47" s="1"/>
  <c r="Q45" i="47" a="1"/>
  <c r="Q45" i="47" s="1"/>
  <c r="Q50" i="47" a="1"/>
  <c r="Q50" i="47" s="1"/>
  <c r="Q8" i="47" a="1"/>
  <c r="Q8" i="47" s="1"/>
  <c r="Q14" i="47" a="1"/>
  <c r="Q14" i="47" s="1"/>
  <c r="Q46" i="47" a="1"/>
  <c r="Q46" i="47" s="1"/>
  <c r="Q47" i="47" a="1"/>
  <c r="Q47" i="47" s="1"/>
  <c r="Q28" i="47" a="1"/>
  <c r="Q28" i="47" s="1"/>
  <c r="Q4" i="47" a="1"/>
  <c r="Q4" i="47" s="1"/>
  <c r="Q11" i="47" a="1"/>
  <c r="Q11" i="47" s="1"/>
  <c r="Q40" i="47" a="1"/>
  <c r="Q40" i="47" s="1"/>
  <c r="Q16" i="47" a="1"/>
  <c r="Q16" i="47" s="1"/>
  <c r="Q7" i="47" a="1"/>
  <c r="Q7" i="47" s="1"/>
  <c r="Q44" i="47" a="1"/>
  <c r="Q44" i="47" s="1"/>
  <c r="Q20" i="47" a="1"/>
  <c r="Q20" i="47" s="1"/>
  <c r="U50" i="48" a="1"/>
  <c r="U50" i="48" s="1"/>
  <c r="U47" i="48" a="1"/>
  <c r="U47" i="48" s="1"/>
  <c r="U41" i="48" a="1"/>
  <c r="U41" i="48" s="1"/>
  <c r="U38" i="48" a="1"/>
  <c r="U38" i="48" s="1"/>
  <c r="U35" i="48" a="1"/>
  <c r="U35" i="48" s="1"/>
  <c r="U33" i="48" a="1"/>
  <c r="U33" i="48" s="1"/>
  <c r="U23" i="48" a="1"/>
  <c r="U23" i="48" s="1"/>
  <c r="U21" i="48" a="1"/>
  <c r="U21" i="48" s="1"/>
  <c r="U48" i="48" a="1"/>
  <c r="U48" i="48" s="1"/>
  <c r="U45" i="48" a="1"/>
  <c r="U45" i="48" s="1"/>
  <c r="U37" i="48" a="1"/>
  <c r="U37" i="48" s="1"/>
  <c r="U36" i="48" a="1"/>
  <c r="U36" i="48" s="1"/>
  <c r="U29" i="48" a="1"/>
  <c r="U29" i="48" s="1"/>
  <c r="U28" i="48" a="1"/>
  <c r="U28" i="48" s="1"/>
  <c r="U25" i="48" a="1"/>
  <c r="U25" i="48" s="1"/>
  <c r="U20" i="48" a="1"/>
  <c r="U20" i="48" s="1"/>
  <c r="U18" i="48" a="1"/>
  <c r="U18" i="48" s="1"/>
  <c r="U15" i="48" a="1"/>
  <c r="U15" i="48" s="1"/>
  <c r="U8" i="48" a="1"/>
  <c r="U8" i="48" s="1"/>
  <c r="U46" i="48" a="1"/>
  <c r="U46" i="48" s="1"/>
  <c r="U22" i="48" a="1"/>
  <c r="U22" i="48" s="1"/>
  <c r="U5" i="48" a="1"/>
  <c r="U5" i="48" s="1"/>
  <c r="U32" i="48" a="1"/>
  <c r="U32" i="48" s="1"/>
  <c r="U27" i="48" a="1"/>
  <c r="U27" i="48" s="1"/>
  <c r="U14" i="48" a="1"/>
  <c r="U14" i="48" s="1"/>
  <c r="U11" i="48" a="1"/>
  <c r="U11" i="48" s="1"/>
  <c r="U44" i="48" a="1"/>
  <c r="U44" i="48" s="1"/>
  <c r="U40" i="48" a="1"/>
  <c r="U40" i="48" s="1"/>
  <c r="U9" i="48" a="1"/>
  <c r="U9" i="48" s="1"/>
  <c r="U49" i="48" a="1"/>
  <c r="U49" i="48" s="1"/>
  <c r="U43" i="48" a="1"/>
  <c r="U43" i="48" s="1"/>
  <c r="U17" i="48" a="1"/>
  <c r="U17" i="48" s="1"/>
  <c r="U7" i="48" a="1"/>
  <c r="U7" i="48" s="1"/>
  <c r="U39" i="48" a="1"/>
  <c r="U39" i="48" s="1"/>
  <c r="U10" i="48" a="1"/>
  <c r="U10" i="48" s="1"/>
  <c r="U26" i="48" a="1"/>
  <c r="U26" i="48" s="1"/>
  <c r="U34" i="48" a="1"/>
  <c r="U34" i="48" s="1"/>
  <c r="U13" i="48" a="1"/>
  <c r="U13" i="48" s="1"/>
  <c r="U19" i="48" a="1"/>
  <c r="U19" i="48" s="1"/>
  <c r="U42" i="48" a="1"/>
  <c r="U42" i="48" s="1"/>
  <c r="U6" i="48" a="1"/>
  <c r="U6" i="48" s="1"/>
  <c r="U51" i="48" a="1"/>
  <c r="U51" i="48" s="1"/>
  <c r="U16" i="48" a="1"/>
  <c r="U16" i="48" s="1"/>
  <c r="U12" i="48" a="1"/>
  <c r="U12" i="48" s="1"/>
  <c r="U24" i="48" a="1"/>
  <c r="U24" i="48" s="1"/>
  <c r="U30" i="48" a="1"/>
  <c r="U30" i="48" s="1"/>
  <c r="U31" i="48" a="1"/>
  <c r="U31" i="48" s="1"/>
  <c r="U3" i="48" a="1"/>
  <c r="U3" i="48" s="1"/>
  <c r="U2" i="48" a="1"/>
  <c r="U2" i="48" s="1"/>
  <c r="U4" i="48" a="1"/>
  <c r="U4" i="48" s="1"/>
  <c r="V1" i="48" a="1"/>
  <c r="V1" i="48" s="1"/>
  <c r="R50" i="47" l="1" a="1"/>
  <c r="R50" i="47" s="1"/>
  <c r="R44" i="47" a="1"/>
  <c r="R44" i="47" s="1"/>
  <c r="R2" i="47" a="1"/>
  <c r="R2" i="47" s="1"/>
  <c r="R15" i="47" a="1"/>
  <c r="R15" i="47" s="1"/>
  <c r="R5" i="47" a="1"/>
  <c r="R5" i="47" s="1"/>
  <c r="S31" i="47" a="1"/>
  <c r="S31" i="47" s="1"/>
  <c r="R45" i="47" a="1"/>
  <c r="R45" i="47" s="1"/>
  <c r="S46" i="47" a="1"/>
  <c r="S46" i="47" s="1"/>
  <c r="S18" i="47" a="1"/>
  <c r="S18" i="47" s="1"/>
  <c r="S12" i="47" a="1"/>
  <c r="S12" i="47" s="1"/>
  <c r="R38" i="47" a="1"/>
  <c r="R38" i="47" s="1"/>
  <c r="S26" i="47" a="1"/>
  <c r="S26" i="47" s="1"/>
  <c r="R41" i="47" a="1"/>
  <c r="R41" i="47" s="1"/>
  <c r="R28" i="47" a="1"/>
  <c r="R28" i="47" s="1"/>
  <c r="S10" i="47" a="1"/>
  <c r="S10" i="47" s="1"/>
  <c r="R13" i="47" a="1"/>
  <c r="R13" i="47" s="1"/>
  <c r="R17" i="47" a="1"/>
  <c r="R17" i="47" s="1"/>
  <c r="S4" i="47" a="1"/>
  <c r="S4" i="47" s="1"/>
  <c r="R37" i="47" a="1"/>
  <c r="R37" i="47" s="1"/>
  <c r="R46" i="47" a="1"/>
  <c r="R46" i="47" s="1"/>
  <c r="R24" i="47" a="1"/>
  <c r="R24" i="47" s="1"/>
  <c r="R39" i="47" a="1"/>
  <c r="R39" i="47" s="1"/>
  <c r="R42" i="47" a="1"/>
  <c r="R42" i="47" s="1"/>
  <c r="R43" i="47" a="1"/>
  <c r="R43" i="47" s="1"/>
  <c r="S41" i="47" a="1"/>
  <c r="S41" i="47" s="1"/>
  <c r="R29" i="47" a="1"/>
  <c r="R29" i="47" s="1"/>
  <c r="R7" i="47" a="1"/>
  <c r="R7" i="47" s="1"/>
  <c r="R22" i="47" a="1"/>
  <c r="R22" i="47" s="1"/>
  <c r="S45" i="47" a="1"/>
  <c r="S45" i="47" s="1"/>
  <c r="S21" i="47" a="1"/>
  <c r="S21" i="47" s="1"/>
  <c r="R16" i="47" a="1"/>
  <c r="R16" i="47" s="1"/>
  <c r="R20" i="47" a="1"/>
  <c r="R20" i="47" s="1"/>
  <c r="R33" i="47" a="1"/>
  <c r="R33" i="47" s="1"/>
  <c r="S8" i="47" a="1"/>
  <c r="S8" i="47" s="1"/>
  <c r="R10" i="47" a="1"/>
  <c r="R10" i="47" s="1"/>
  <c r="S17" i="47" a="1"/>
  <c r="S17" i="47" s="1"/>
  <c r="R48" i="47" a="1"/>
  <c r="R48" i="47" s="1"/>
  <c r="R19" i="47" a="1"/>
  <c r="R19" i="47" s="1"/>
  <c r="S15" i="47" a="1"/>
  <c r="S15" i="47" s="1"/>
  <c r="R3" i="47" a="1"/>
  <c r="R3" i="47" s="1"/>
  <c r="S24" i="47" a="1"/>
  <c r="S24" i="47" s="1"/>
  <c r="S20" i="47" a="1"/>
  <c r="S20" i="47" s="1"/>
  <c r="S30" i="47" a="1"/>
  <c r="S30" i="47" s="1"/>
  <c r="S39" i="47" a="1"/>
  <c r="S39" i="47" s="1"/>
  <c r="R14" i="47" a="1"/>
  <c r="R14" i="47" s="1"/>
  <c r="S9" i="47" a="1"/>
  <c r="S9" i="47" s="1"/>
  <c r="R40" i="47" a="1"/>
  <c r="R40" i="47" s="1"/>
  <c r="R34" i="47" a="1"/>
  <c r="R34" i="47" s="1"/>
  <c r="S33" i="47" a="1"/>
  <c r="S33" i="47" s="1"/>
  <c r="R21" i="47" a="1"/>
  <c r="R21" i="47" s="1"/>
  <c r="R27" i="47" a="1"/>
  <c r="R27" i="47" s="1"/>
  <c r="R35" i="47" a="1"/>
  <c r="R35" i="47" s="1"/>
  <c r="S35" i="47" a="1"/>
  <c r="S35" i="47" s="1"/>
  <c r="R4" i="47" a="1"/>
  <c r="R4" i="47" s="1"/>
  <c r="T1" i="47" a="1"/>
  <c r="T1" i="47" s="1"/>
  <c r="U1" i="47" s="1" a="1"/>
  <c r="U1" i="47" s="1"/>
  <c r="U8" i="47" s="1" a="1"/>
  <c r="U8" i="47" s="1"/>
  <c r="R12" i="47" a="1"/>
  <c r="R12" i="47" s="1"/>
  <c r="S44" i="47" a="1"/>
  <c r="S44" i="47" s="1"/>
  <c r="R32" i="47" a="1"/>
  <c r="R32" i="47" s="1"/>
  <c r="R25" i="47" a="1"/>
  <c r="R25" i="47" s="1"/>
  <c r="S3" i="47" a="1"/>
  <c r="S3" i="47" s="1"/>
  <c r="S48" i="47" a="1"/>
  <c r="S48" i="47" s="1"/>
  <c r="S14" i="47" a="1"/>
  <c r="S14" i="47" s="1"/>
  <c r="R18" i="47" a="1"/>
  <c r="R18" i="47" s="1"/>
  <c r="S40" i="47" a="1"/>
  <c r="S40" i="47" s="1"/>
  <c r="R9" i="47" a="1"/>
  <c r="R9" i="47" s="1"/>
  <c r="S23" i="47" a="1"/>
  <c r="S23" i="47" s="1"/>
  <c r="S49" i="47" a="1"/>
  <c r="S49" i="47" s="1"/>
  <c r="R8" i="47" a="1"/>
  <c r="R8" i="47" s="1"/>
  <c r="S32" i="47" a="1"/>
  <c r="S32" i="47" s="1"/>
  <c r="S38" i="47" a="1"/>
  <c r="S38" i="47" s="1"/>
  <c r="R47" i="47" a="1"/>
  <c r="R47" i="47" s="1"/>
  <c r="S28" i="47" a="1"/>
  <c r="S28" i="47" s="1"/>
  <c r="R36" i="47" a="1"/>
  <c r="R36" i="47" s="1"/>
  <c r="S16" i="47" a="1"/>
  <c r="S16" i="47" s="1"/>
  <c r="R11" i="47" a="1"/>
  <c r="R11" i="47" s="1"/>
  <c r="S25" i="47" a="1"/>
  <c r="S25" i="47" s="1"/>
  <c r="R30" i="47" a="1"/>
  <c r="R30" i="47" s="1"/>
  <c r="R6" i="47" a="1"/>
  <c r="R6" i="47" s="1"/>
  <c r="S5" i="47" a="1"/>
  <c r="S5" i="47" s="1"/>
  <c r="R31" i="47" a="1"/>
  <c r="R31" i="47" s="1"/>
  <c r="S47" i="47" a="1"/>
  <c r="S47" i="47" s="1"/>
  <c r="S19" i="47" a="1"/>
  <c r="S19" i="47" s="1"/>
  <c r="R26" i="47" a="1"/>
  <c r="R26" i="47" s="1"/>
  <c r="R23" i="47" a="1"/>
  <c r="R23" i="47" s="1"/>
  <c r="S7" i="47" a="1"/>
  <c r="S7" i="47" s="1"/>
  <c r="R49" i="47" a="1"/>
  <c r="R49" i="47" s="1"/>
  <c r="S11" i="47" a="1"/>
  <c r="S11" i="47" s="1"/>
  <c r="S22" i="47" a="1"/>
  <c r="S22" i="47" s="1"/>
  <c r="S34" i="47" a="1"/>
  <c r="S34" i="47" s="1"/>
  <c r="S37" i="47" a="1"/>
  <c r="S37" i="47" s="1"/>
  <c r="S43" i="47" a="1"/>
  <c r="S43" i="47" s="1"/>
  <c r="S50" i="47" a="1"/>
  <c r="S50" i="47" s="1"/>
  <c r="S6" i="47" a="1"/>
  <c r="S6" i="47" s="1"/>
  <c r="S13" i="47" a="1"/>
  <c r="S13" i="47" s="1"/>
  <c r="S36" i="47" a="1"/>
  <c r="S36" i="47" s="1"/>
  <c r="S42" i="47" a="1"/>
  <c r="S42" i="47" s="1"/>
  <c r="S2" i="47" a="1"/>
  <c r="S2" i="47" s="1"/>
  <c r="S27" i="47" a="1"/>
  <c r="S27" i="47" s="1"/>
  <c r="V48" i="48" a="1"/>
  <c r="V48" i="48" s="1"/>
  <c r="V43" i="48" a="1"/>
  <c r="V43" i="48" s="1"/>
  <c r="V40" i="48" a="1"/>
  <c r="V40" i="48" s="1"/>
  <c r="V36" i="48" a="1"/>
  <c r="V36" i="48" s="1"/>
  <c r="V30" i="48" a="1"/>
  <c r="V30" i="48" s="1"/>
  <c r="V37" i="48" a="1"/>
  <c r="V37" i="48" s="1"/>
  <c r="V25" i="48" a="1"/>
  <c r="V25" i="48" s="1"/>
  <c r="V17" i="48" a="1"/>
  <c r="V17" i="48" s="1"/>
  <c r="V16" i="48" a="1"/>
  <c r="V16" i="48" s="1"/>
  <c r="V47" i="48" a="1"/>
  <c r="V47" i="48" s="1"/>
  <c r="V42" i="48" a="1"/>
  <c r="V42" i="48" s="1"/>
  <c r="V31" i="48" a="1"/>
  <c r="V31" i="48" s="1"/>
  <c r="V22" i="48" a="1"/>
  <c r="V22" i="48" s="1"/>
  <c r="V18" i="48" a="1"/>
  <c r="V18" i="48" s="1"/>
  <c r="V8" i="48" a="1"/>
  <c r="V8" i="48" s="1"/>
  <c r="V41" i="48" a="1"/>
  <c r="V41" i="48" s="1"/>
  <c r="V26" i="48" a="1"/>
  <c r="V26" i="48" s="1"/>
  <c r="V21" i="48" a="1"/>
  <c r="V21" i="48" s="1"/>
  <c r="V9" i="48" a="1"/>
  <c r="V9" i="48" s="1"/>
  <c r="V51" i="48" a="1"/>
  <c r="V51" i="48" s="1"/>
  <c r="V38" i="48" a="1"/>
  <c r="V38" i="48" s="1"/>
  <c r="V34" i="48" a="1"/>
  <c r="V34" i="48" s="1"/>
  <c r="V27" i="48" a="1"/>
  <c r="V27" i="48" s="1"/>
  <c r="V12" i="48" a="1"/>
  <c r="V12" i="48" s="1"/>
  <c r="V29" i="48" a="1"/>
  <c r="V29" i="48" s="1"/>
  <c r="V20" i="48" a="1"/>
  <c r="V20" i="48" s="1"/>
  <c r="V15" i="48" a="1"/>
  <c r="V15" i="48" s="1"/>
  <c r="V49" i="48" a="1"/>
  <c r="V49" i="48" s="1"/>
  <c r="V24" i="48" a="1"/>
  <c r="V24" i="48" s="1"/>
  <c r="V19" i="48" a="1"/>
  <c r="V19" i="48" s="1"/>
  <c r="V13" i="48" a="1"/>
  <c r="V13" i="48" s="1"/>
  <c r="V39" i="48" a="1"/>
  <c r="V39" i="48" s="1"/>
  <c r="V11" i="48" a="1"/>
  <c r="V11" i="48" s="1"/>
  <c r="V46" i="48" a="1"/>
  <c r="V46" i="48" s="1"/>
  <c r="V35" i="48" a="1"/>
  <c r="V35" i="48" s="1"/>
  <c r="V28" i="48" a="1"/>
  <c r="V28" i="48" s="1"/>
  <c r="V14" i="48" a="1"/>
  <c r="V14" i="48" s="1"/>
  <c r="V7" i="48" a="1"/>
  <c r="V7" i="48" s="1"/>
  <c r="V44" i="48" a="1"/>
  <c r="V44" i="48" s="1"/>
  <c r="V23" i="48" a="1"/>
  <c r="V23" i="48" s="1"/>
  <c r="V10" i="48" a="1"/>
  <c r="V10" i="48" s="1"/>
  <c r="V32" i="48" a="1"/>
  <c r="V32" i="48" s="1"/>
  <c r="V33" i="48" a="1"/>
  <c r="V33" i="48" s="1"/>
  <c r="V50" i="48" a="1"/>
  <c r="V50" i="48" s="1"/>
  <c r="V45" i="48" a="1"/>
  <c r="V45" i="48" s="1"/>
  <c r="V2" i="48" a="1"/>
  <c r="V2" i="48" s="1"/>
  <c r="V3" i="48" a="1"/>
  <c r="V3" i="48" s="1"/>
  <c r="V6" i="48" a="1"/>
  <c r="V6" i="48" s="1"/>
  <c r="V4" i="48" a="1"/>
  <c r="V4" i="48" s="1"/>
  <c r="V5" i="48" a="1"/>
  <c r="V5" i="48" s="1"/>
  <c r="W1" i="48" a="1"/>
  <c r="W1" i="48" s="1"/>
  <c r="U31" i="47" l="1" a="1"/>
  <c r="U31" i="47" s="1"/>
  <c r="T24" i="47" a="1"/>
  <c r="T24" i="47" s="1"/>
  <c r="T10" i="47" a="1"/>
  <c r="T10" i="47" s="1"/>
  <c r="T45" i="47" a="1"/>
  <c r="T45" i="47" s="1"/>
  <c r="T5" i="47" a="1"/>
  <c r="T5" i="47" s="1"/>
  <c r="U13" i="47" a="1"/>
  <c r="U13" i="47" s="1"/>
  <c r="T46" i="47" a="1"/>
  <c r="T46" i="47" s="1"/>
  <c r="T4" i="47" a="1"/>
  <c r="T4" i="47" s="1"/>
  <c r="U7" i="47" a="1"/>
  <c r="U7" i="47" s="1"/>
  <c r="T28" i="47" a="1"/>
  <c r="T28" i="47" s="1"/>
  <c r="U12" i="47" a="1"/>
  <c r="U12" i="47" s="1"/>
  <c r="U44" i="47" a="1"/>
  <c r="U44" i="47" s="1"/>
  <c r="T31" i="47" a="1"/>
  <c r="T31" i="47" s="1"/>
  <c r="T35" i="47" a="1"/>
  <c r="T35" i="47" s="1"/>
  <c r="U32" i="47" a="1"/>
  <c r="U32" i="47" s="1"/>
  <c r="U19" i="47" a="1"/>
  <c r="U19" i="47" s="1"/>
  <c r="T11" i="47" a="1"/>
  <c r="T11" i="47" s="1"/>
  <c r="T50" i="47" a="1"/>
  <c r="T50" i="47" s="1"/>
  <c r="U36" i="47" a="1"/>
  <c r="U36" i="47" s="1"/>
  <c r="U42" i="47" a="1"/>
  <c r="U42" i="47" s="1"/>
  <c r="U18" i="47" a="1"/>
  <c r="U18" i="47" s="1"/>
  <c r="U23" i="47" a="1"/>
  <c r="U23" i="47" s="1"/>
  <c r="T41" i="47" a="1"/>
  <c r="T41" i="47" s="1"/>
  <c r="T9" i="47" a="1"/>
  <c r="T9" i="47" s="1"/>
  <c r="T34" i="47" a="1"/>
  <c r="T34" i="47" s="1"/>
  <c r="U38" i="47" a="1"/>
  <c r="U38" i="47" s="1"/>
  <c r="U11" i="47" a="1"/>
  <c r="U11" i="47" s="1"/>
  <c r="T14" i="47" a="1"/>
  <c r="T14" i="47" s="1"/>
  <c r="T23" i="47" a="1"/>
  <c r="T23" i="47" s="1"/>
  <c r="U46" i="47" a="1"/>
  <c r="U46" i="47" s="1"/>
  <c r="U20" i="47" a="1"/>
  <c r="U20" i="47" s="1"/>
  <c r="U26" i="47" a="1"/>
  <c r="U26" i="47" s="1"/>
  <c r="U30" i="47" a="1"/>
  <c r="U30" i="47" s="1"/>
  <c r="U50" i="47" a="1"/>
  <c r="U50" i="47" s="1"/>
  <c r="U10" i="47" a="1"/>
  <c r="U10" i="47" s="1"/>
  <c r="U16" i="47" a="1"/>
  <c r="U16" i="47" s="1"/>
  <c r="U9" i="47" a="1"/>
  <c r="U9" i="47" s="1"/>
  <c r="T26" i="47" a="1"/>
  <c r="T26" i="47" s="1"/>
  <c r="T43" i="47" a="1"/>
  <c r="T43" i="47" s="1"/>
  <c r="T36" i="47" a="1"/>
  <c r="T36" i="47" s="1"/>
  <c r="T29" i="47" a="1"/>
  <c r="T29" i="47" s="1"/>
  <c r="U37" i="47" a="1"/>
  <c r="U37" i="47" s="1"/>
  <c r="U22" i="47" a="1"/>
  <c r="U22" i="47" s="1"/>
  <c r="T19" i="47" a="1"/>
  <c r="T19" i="47" s="1"/>
  <c r="T49" i="47" a="1"/>
  <c r="T49" i="47" s="1"/>
  <c r="U3" i="47" a="1"/>
  <c r="U3" i="47" s="1"/>
  <c r="U34" i="47" a="1"/>
  <c r="U34" i="47" s="1"/>
  <c r="U41" i="47" a="1"/>
  <c r="U41" i="47" s="1"/>
  <c r="U5" i="47" a="1"/>
  <c r="U5" i="47" s="1"/>
  <c r="U48" i="47" a="1"/>
  <c r="U48" i="47" s="1"/>
  <c r="T15" i="47" a="1"/>
  <c r="T15" i="47" s="1"/>
  <c r="T27" i="47" a="1"/>
  <c r="T27" i="47" s="1"/>
  <c r="U43" i="47" a="1"/>
  <c r="U43" i="47" s="1"/>
  <c r="U39" i="47" a="1"/>
  <c r="U39" i="47" s="1"/>
  <c r="T32" i="47" a="1"/>
  <c r="T32" i="47" s="1"/>
  <c r="T22" i="47" a="1"/>
  <c r="T22" i="47" s="1"/>
  <c r="U25" i="47" a="1"/>
  <c r="U25" i="47" s="1"/>
  <c r="U4" i="47" a="1"/>
  <c r="U4" i="47" s="1"/>
  <c r="U45" i="47" a="1"/>
  <c r="U45" i="47" s="1"/>
  <c r="U40" i="47" a="1"/>
  <c r="U40" i="47" s="1"/>
  <c r="T38" i="47" a="1"/>
  <c r="T38" i="47" s="1"/>
  <c r="U35" i="47" a="1"/>
  <c r="U35" i="47" s="1"/>
  <c r="T2" i="47" a="1"/>
  <c r="T2" i="47" s="1"/>
  <c r="U47" i="47" a="1"/>
  <c r="U47" i="47" s="1"/>
  <c r="T16" i="47" a="1"/>
  <c r="T16" i="47" s="1"/>
  <c r="T37" i="47" a="1"/>
  <c r="T37" i="47" s="1"/>
  <c r="T12" i="47" a="1"/>
  <c r="T12" i="47" s="1"/>
  <c r="T13" i="47" a="1"/>
  <c r="T13" i="47" s="1"/>
  <c r="T8" i="47" a="1"/>
  <c r="T8" i="47" s="1"/>
  <c r="U24" i="47" a="1"/>
  <c r="U24" i="47" s="1"/>
  <c r="U14" i="47" a="1"/>
  <c r="U14" i="47" s="1"/>
  <c r="U2" i="47" a="1"/>
  <c r="U2" i="47" s="1"/>
  <c r="T17" i="47" a="1"/>
  <c r="T17" i="47" s="1"/>
  <c r="U21" i="47" a="1"/>
  <c r="U21" i="47" s="1"/>
  <c r="T42" i="47" a="1"/>
  <c r="T42" i="47" s="1"/>
  <c r="T48" i="47" a="1"/>
  <c r="T48" i="47" s="1"/>
  <c r="T6" i="47" a="1"/>
  <c r="T6" i="47" s="1"/>
  <c r="T40" i="47" a="1"/>
  <c r="T40" i="47" s="1"/>
  <c r="T20" i="47" a="1"/>
  <c r="T20" i="47" s="1"/>
  <c r="T44" i="47" a="1"/>
  <c r="T44" i="47" s="1"/>
  <c r="T18" i="47" a="1"/>
  <c r="T18" i="47" s="1"/>
  <c r="U29" i="47" a="1"/>
  <c r="U29" i="47" s="1"/>
  <c r="U49" i="47" a="1"/>
  <c r="U49" i="47" s="1"/>
  <c r="U15" i="47" a="1"/>
  <c r="U15" i="47" s="1"/>
  <c r="U6" i="47" a="1"/>
  <c r="U6" i="47" s="1"/>
  <c r="T39" i="47" a="1"/>
  <c r="T39" i="47" s="1"/>
  <c r="U27" i="47" a="1"/>
  <c r="U27" i="47" s="1"/>
  <c r="U17" i="47" a="1"/>
  <c r="U17" i="47" s="1"/>
  <c r="T47" i="47" a="1"/>
  <c r="T47" i="47" s="1"/>
  <c r="T3" i="47" a="1"/>
  <c r="T3" i="47" s="1"/>
  <c r="T25" i="47" a="1"/>
  <c r="T25" i="47" s="1"/>
  <c r="U28" i="47" a="1"/>
  <c r="U28" i="47" s="1"/>
  <c r="U33" i="47" a="1"/>
  <c r="U33" i="47" s="1"/>
  <c r="T30" i="47" a="1"/>
  <c r="T30" i="47" s="1"/>
  <c r="V1" i="47" a="1"/>
  <c r="V1" i="47" s="1"/>
  <c r="V6" i="47" s="1" a="1"/>
  <c r="V6" i="47" s="1"/>
  <c r="T21" i="47" a="1"/>
  <c r="T21" i="47" s="1"/>
  <c r="T33" i="47" a="1"/>
  <c r="T33" i="47" s="1"/>
  <c r="T7" i="47" a="1"/>
  <c r="T7" i="47" s="1"/>
  <c r="W50" i="48" a="1"/>
  <c r="W50" i="48" s="1"/>
  <c r="W41" i="48" a="1"/>
  <c r="W41" i="48" s="1"/>
  <c r="W33" i="48" a="1"/>
  <c r="W33" i="48" s="1"/>
  <c r="W27" i="48" a="1"/>
  <c r="W27" i="48" s="1"/>
  <c r="W17" i="48" a="1"/>
  <c r="W17" i="48" s="1"/>
  <c r="W9" i="48" a="1"/>
  <c r="W9" i="48" s="1"/>
  <c r="W43" i="48" a="1"/>
  <c r="W43" i="48" s="1"/>
  <c r="W35" i="48" a="1"/>
  <c r="W35" i="48" s="1"/>
  <c r="W29" i="48" a="1"/>
  <c r="W29" i="48" s="1"/>
  <c r="W22" i="48" a="1"/>
  <c r="W22" i="48" s="1"/>
  <c r="W11" i="48" a="1"/>
  <c r="W11" i="48" s="1"/>
  <c r="W48" i="48" a="1"/>
  <c r="W48" i="48" s="1"/>
  <c r="W39" i="48" a="1"/>
  <c r="W39" i="48" s="1"/>
  <c r="W34" i="48" a="1"/>
  <c r="W34" i="48" s="1"/>
  <c r="W23" i="48" a="1"/>
  <c r="W23" i="48" s="1"/>
  <c r="W16" i="48" a="1"/>
  <c r="W16" i="48" s="1"/>
  <c r="W8" i="48" a="1"/>
  <c r="W8" i="48" s="1"/>
  <c r="W46" i="48" a="1"/>
  <c r="W46" i="48" s="1"/>
  <c r="W40" i="48" a="1"/>
  <c r="W40" i="48" s="1"/>
  <c r="W30" i="48" a="1"/>
  <c r="W30" i="48" s="1"/>
  <c r="W20" i="48" a="1"/>
  <c r="W20" i="48" s="1"/>
  <c r="W15" i="48" a="1"/>
  <c r="W15" i="48" s="1"/>
  <c r="W7" i="48" a="1"/>
  <c r="W7" i="48" s="1"/>
  <c r="W49" i="48" a="1"/>
  <c r="W49" i="48" s="1"/>
  <c r="W12" i="48" a="1"/>
  <c r="W12" i="48" s="1"/>
  <c r="W18" i="48" a="1"/>
  <c r="W18" i="48" s="1"/>
  <c r="W10" i="48" a="1"/>
  <c r="W10" i="48" s="1"/>
  <c r="W47" i="48" a="1"/>
  <c r="W47" i="48" s="1"/>
  <c r="W38" i="48" a="1"/>
  <c r="W38" i="48" s="1"/>
  <c r="W26" i="48" a="1"/>
  <c r="W26" i="48" s="1"/>
  <c r="W44" i="48" a="1"/>
  <c r="W44" i="48" s="1"/>
  <c r="W6" i="48" a="1"/>
  <c r="W6" i="48" s="1"/>
  <c r="W25" i="48" a="1"/>
  <c r="W25" i="48" s="1"/>
  <c r="W13" i="48" a="1"/>
  <c r="W13" i="48" s="1"/>
  <c r="W31" i="48" a="1"/>
  <c r="W31" i="48" s="1"/>
  <c r="W32" i="48" a="1"/>
  <c r="W32" i="48" s="1"/>
  <c r="W51" i="48" a="1"/>
  <c r="W51" i="48" s="1"/>
  <c r="W28" i="48" a="1"/>
  <c r="W28" i="48" s="1"/>
  <c r="W24" i="48" a="1"/>
  <c r="W24" i="48" s="1"/>
  <c r="W37" i="48" a="1"/>
  <c r="W37" i="48" s="1"/>
  <c r="W45" i="48" a="1"/>
  <c r="W45" i="48" s="1"/>
  <c r="W42" i="48" a="1"/>
  <c r="W42" i="48" s="1"/>
  <c r="W19" i="48" a="1"/>
  <c r="W19" i="48" s="1"/>
  <c r="W36" i="48" a="1"/>
  <c r="W36" i="48" s="1"/>
  <c r="W14" i="48" a="1"/>
  <c r="W14" i="48" s="1"/>
  <c r="W21" i="48" a="1"/>
  <c r="W21" i="48" s="1"/>
  <c r="W5" i="48" a="1"/>
  <c r="W5" i="48" s="1"/>
  <c r="W3" i="48" a="1"/>
  <c r="W3" i="48" s="1"/>
  <c r="W4" i="48" a="1"/>
  <c r="W4" i="48" s="1"/>
  <c r="W2" i="48" a="1"/>
  <c r="W2" i="48" s="1"/>
  <c r="X1" i="48" a="1"/>
  <c r="X1" i="48" s="1"/>
  <c r="V4" i="47" l="1" a="1"/>
  <c r="V4" i="47" s="1"/>
  <c r="V8" i="47" a="1"/>
  <c r="V8" i="47" s="1"/>
  <c r="V22" i="47" a="1"/>
  <c r="V22" i="47" s="1"/>
  <c r="V28" i="47" a="1"/>
  <c r="V28" i="47" s="1"/>
  <c r="V30" i="47" a="1"/>
  <c r="V30" i="47" s="1"/>
  <c r="V9" i="47" a="1"/>
  <c r="V9" i="47" s="1"/>
  <c r="V34" i="47" a="1"/>
  <c r="V34" i="47" s="1"/>
  <c r="V39" i="47" a="1"/>
  <c r="V39" i="47" s="1"/>
  <c r="V19" i="47" a="1"/>
  <c r="V19" i="47" s="1"/>
  <c r="V26" i="47" a="1"/>
  <c r="V26" i="47" s="1"/>
  <c r="W1" i="47" a="1"/>
  <c r="W1" i="47" s="1"/>
  <c r="W2" i="47" s="1" a="1"/>
  <c r="W2" i="47" s="1"/>
  <c r="V44" i="47" a="1"/>
  <c r="V44" i="47" s="1"/>
  <c r="V10" i="47" a="1"/>
  <c r="V10" i="47" s="1"/>
  <c r="V14" i="47" a="1"/>
  <c r="V14" i="47" s="1"/>
  <c r="V31" i="47" a="1"/>
  <c r="V31" i="47" s="1"/>
  <c r="V36" i="47" a="1"/>
  <c r="V36" i="47" s="1"/>
  <c r="V41" i="47" a="1"/>
  <c r="V41" i="47" s="1"/>
  <c r="V23" i="47" a="1"/>
  <c r="V23" i="47" s="1"/>
  <c r="V16" i="47" a="1"/>
  <c r="V16" i="47" s="1"/>
  <c r="V43" i="47" a="1"/>
  <c r="V43" i="47" s="1"/>
  <c r="V45" i="47" a="1"/>
  <c r="V45" i="47" s="1"/>
  <c r="V17" i="47" a="1"/>
  <c r="V17" i="47" s="1"/>
  <c r="V49" i="47" a="1"/>
  <c r="V49" i="47" s="1"/>
  <c r="V5" i="47" a="1"/>
  <c r="V5" i="47" s="1"/>
  <c r="V25" i="47" a="1"/>
  <c r="V25" i="47" s="1"/>
  <c r="V37" i="47" a="1"/>
  <c r="V37" i="47" s="1"/>
  <c r="V2" i="47" a="1"/>
  <c r="V2" i="47" s="1"/>
  <c r="V47" i="47" a="1"/>
  <c r="V47" i="47" s="1"/>
  <c r="V42" i="47" a="1"/>
  <c r="V42" i="47" s="1"/>
  <c r="V24" i="47" a="1"/>
  <c r="V24" i="47" s="1"/>
  <c r="V11" i="47" a="1"/>
  <c r="V11" i="47" s="1"/>
  <c r="V48" i="47" a="1"/>
  <c r="V48" i="47" s="1"/>
  <c r="V3" i="47" a="1"/>
  <c r="V3" i="47" s="1"/>
  <c r="V50" i="47" a="1"/>
  <c r="V50" i="47" s="1"/>
  <c r="V35" i="47" a="1"/>
  <c r="V35" i="47" s="1"/>
  <c r="V15" i="47" a="1"/>
  <c r="V15" i="47" s="1"/>
  <c r="V29" i="47" a="1"/>
  <c r="V29" i="47" s="1"/>
  <c r="V18" i="47" a="1"/>
  <c r="V18" i="47" s="1"/>
  <c r="V13" i="47" a="1"/>
  <c r="V13" i="47" s="1"/>
  <c r="V27" i="47" a="1"/>
  <c r="V27" i="47" s="1"/>
  <c r="V38" i="47" a="1"/>
  <c r="V38" i="47" s="1"/>
  <c r="V7" i="47" a="1"/>
  <c r="V7" i="47" s="1"/>
  <c r="V12" i="47" a="1"/>
  <c r="V12" i="47" s="1"/>
  <c r="V33" i="47" a="1"/>
  <c r="V33" i="47" s="1"/>
  <c r="V46" i="47" a="1"/>
  <c r="V46" i="47" s="1"/>
  <c r="V32" i="47" a="1"/>
  <c r="V32" i="47" s="1"/>
  <c r="V40" i="47" a="1"/>
  <c r="V40" i="47" s="1"/>
  <c r="V20" i="47" a="1"/>
  <c r="V20" i="47" s="1"/>
  <c r="V21" i="47" a="1"/>
  <c r="V21" i="47" s="1"/>
  <c r="X47" i="48" a="1"/>
  <c r="X47" i="48" s="1"/>
  <c r="X42" i="48" a="1"/>
  <c r="X42" i="48" s="1"/>
  <c r="X40" i="48" a="1"/>
  <c r="X40" i="48" s="1"/>
  <c r="X35" i="48" a="1"/>
  <c r="X35" i="48" s="1"/>
  <c r="X32" i="48" a="1"/>
  <c r="X32" i="48" s="1"/>
  <c r="X23" i="48" a="1"/>
  <c r="X23" i="48" s="1"/>
  <c r="X22" i="48" a="1"/>
  <c r="X22" i="48" s="1"/>
  <c r="X17" i="48" a="1"/>
  <c r="X17" i="48" s="1"/>
  <c r="X13" i="48" a="1"/>
  <c r="X13" i="48" s="1"/>
  <c r="X12" i="48" a="1"/>
  <c r="X12" i="48" s="1"/>
  <c r="X7" i="48" a="1"/>
  <c r="X7" i="48" s="1"/>
  <c r="X51" i="48" a="1"/>
  <c r="X51" i="48" s="1"/>
  <c r="X48" i="48" a="1"/>
  <c r="X48" i="48" s="1"/>
  <c r="X44" i="48" a="1"/>
  <c r="X44" i="48" s="1"/>
  <c r="X41" i="48" a="1"/>
  <c r="X41" i="48" s="1"/>
  <c r="X38" i="48" a="1"/>
  <c r="X38" i="48" s="1"/>
  <c r="X33" i="48" a="1"/>
  <c r="X33" i="48" s="1"/>
  <c r="X31" i="48" a="1"/>
  <c r="X31" i="48" s="1"/>
  <c r="X24" i="48" a="1"/>
  <c r="X24" i="48" s="1"/>
  <c r="X21" i="48" a="1"/>
  <c r="X21" i="48" s="1"/>
  <c r="X19" i="48" a="1"/>
  <c r="X19" i="48" s="1"/>
  <c r="X11" i="48" a="1"/>
  <c r="X11" i="48" s="1"/>
  <c r="X10" i="48" a="1"/>
  <c r="X10" i="48" s="1"/>
  <c r="X5" i="48" a="1"/>
  <c r="X5" i="48" s="1"/>
  <c r="X49" i="48" a="1"/>
  <c r="X49" i="48" s="1"/>
  <c r="X39" i="48" a="1"/>
  <c r="X39" i="48" s="1"/>
  <c r="X29" i="48" a="1"/>
  <c r="X29" i="48" s="1"/>
  <c r="X25" i="48" a="1"/>
  <c r="X25" i="48" s="1"/>
  <c r="X16" i="48" a="1"/>
  <c r="X16" i="48" s="1"/>
  <c r="X6" i="48" a="1"/>
  <c r="X6" i="48" s="1"/>
  <c r="X46" i="48" a="1"/>
  <c r="X46" i="48" s="1"/>
  <c r="X37" i="48" a="1"/>
  <c r="X37" i="48" s="1"/>
  <c r="X30" i="48" a="1"/>
  <c r="X30" i="48" s="1"/>
  <c r="X26" i="48" a="1"/>
  <c r="X26" i="48" s="1"/>
  <c r="X15" i="48" a="1"/>
  <c r="X15" i="48" s="1"/>
  <c r="X8" i="48" a="1"/>
  <c r="X8" i="48" s="1"/>
  <c r="X50" i="48" a="1"/>
  <c r="X50" i="48" s="1"/>
  <c r="X14" i="48" a="1"/>
  <c r="X14" i="48" s="1"/>
  <c r="X28" i="48" a="1"/>
  <c r="X28" i="48" s="1"/>
  <c r="X27" i="48" a="1"/>
  <c r="X27" i="48" s="1"/>
  <c r="X45" i="48" a="1"/>
  <c r="X45" i="48" s="1"/>
  <c r="X36" i="48" a="1"/>
  <c r="X36" i="48" s="1"/>
  <c r="X43" i="48" a="1"/>
  <c r="X43" i="48" s="1"/>
  <c r="X34" i="48" a="1"/>
  <c r="X34" i="48" s="1"/>
  <c r="X20" i="48" a="1"/>
  <c r="X20" i="48" s="1"/>
  <c r="X18" i="48" a="1"/>
  <c r="X18" i="48" s="1"/>
  <c r="X9" i="48" a="1"/>
  <c r="X9" i="48" s="1"/>
  <c r="X4" i="48" a="1"/>
  <c r="X4" i="48" s="1"/>
  <c r="X3" i="48" a="1"/>
  <c r="X3" i="48" s="1"/>
  <c r="X2" i="48" a="1"/>
  <c r="X2" i="48" s="1"/>
  <c r="Y1" i="48" a="1"/>
  <c r="Y1" i="48" s="1"/>
  <c r="W7" i="47" l="1" a="1"/>
  <c r="W7" i="47" s="1"/>
  <c r="W25" i="47" a="1"/>
  <c r="W25" i="47" s="1"/>
  <c r="W42" i="47" a="1"/>
  <c r="W42" i="47" s="1"/>
  <c r="W11" i="47" a="1"/>
  <c r="W11" i="47" s="1"/>
  <c r="W17" i="47" a="1"/>
  <c r="W17" i="47" s="1"/>
  <c r="W6" i="47" a="1"/>
  <c r="W6" i="47" s="1"/>
  <c r="W12" i="47" a="1"/>
  <c r="W12" i="47" s="1"/>
  <c r="W13" i="47" a="1"/>
  <c r="W13" i="47" s="1"/>
  <c r="W19" i="47" a="1"/>
  <c r="W19" i="47" s="1"/>
  <c r="W26" i="47" a="1"/>
  <c r="W26" i="47" s="1"/>
  <c r="W27" i="47" a="1"/>
  <c r="W27" i="47" s="1"/>
  <c r="W43" i="47" a="1"/>
  <c r="W43" i="47" s="1"/>
  <c r="W33" i="47" a="1"/>
  <c r="W33" i="47" s="1"/>
  <c r="W29" i="47" a="1"/>
  <c r="W29" i="47" s="1"/>
  <c r="W50" i="47" a="1"/>
  <c r="W50" i="47" s="1"/>
  <c r="W35" i="47" a="1"/>
  <c r="W35" i="47" s="1"/>
  <c r="W48" i="47" a="1"/>
  <c r="W48" i="47" s="1"/>
  <c r="W31" i="47" a="1"/>
  <c r="W31" i="47" s="1"/>
  <c r="W23" i="47" a="1"/>
  <c r="W23" i="47" s="1"/>
  <c r="W9" i="47" a="1"/>
  <c r="W9" i="47" s="1"/>
  <c r="W47" i="47" a="1"/>
  <c r="W47" i="47" s="1"/>
  <c r="W40" i="47" a="1"/>
  <c r="W40" i="47" s="1"/>
  <c r="W34" i="47" a="1"/>
  <c r="W34" i="47" s="1"/>
  <c r="W10" i="47" a="1"/>
  <c r="W10" i="47" s="1"/>
  <c r="W3" i="47" a="1"/>
  <c r="W3" i="47" s="1"/>
  <c r="W8" i="47" a="1"/>
  <c r="W8" i="47" s="1"/>
  <c r="X1" i="47" a="1"/>
  <c r="X1" i="47" s="1"/>
  <c r="X34" i="47" s="1" a="1"/>
  <c r="X34" i="47" s="1"/>
  <c r="W32" i="47" a="1"/>
  <c r="W32" i="47" s="1"/>
  <c r="W28" i="47" a="1"/>
  <c r="W28" i="47" s="1"/>
  <c r="W20" i="47" a="1"/>
  <c r="W20" i="47" s="1"/>
  <c r="W39" i="47" a="1"/>
  <c r="W39" i="47" s="1"/>
  <c r="W46" i="47" a="1"/>
  <c r="W46" i="47" s="1"/>
  <c r="W44" i="47" a="1"/>
  <c r="W44" i="47" s="1"/>
  <c r="W36" i="47" a="1"/>
  <c r="W36" i="47" s="1"/>
  <c r="W38" i="47" a="1"/>
  <c r="W38" i="47" s="1"/>
  <c r="W24" i="47" a="1"/>
  <c r="W24" i="47" s="1"/>
  <c r="W15" i="47" a="1"/>
  <c r="W15" i="47" s="1"/>
  <c r="W21" i="47" a="1"/>
  <c r="W21" i="47" s="1"/>
  <c r="W5" i="47" a="1"/>
  <c r="W5" i="47" s="1"/>
  <c r="W4" i="47" a="1"/>
  <c r="W4" i="47" s="1"/>
  <c r="W30" i="47" a="1"/>
  <c r="W30" i="47" s="1"/>
  <c r="W14" i="47" a="1"/>
  <c r="W14" i="47" s="1"/>
  <c r="W22" i="47" a="1"/>
  <c r="W22" i="47" s="1"/>
  <c r="W16" i="47" a="1"/>
  <c r="W16" i="47" s="1"/>
  <c r="W37" i="47" a="1"/>
  <c r="W37" i="47" s="1"/>
  <c r="W49" i="47" a="1"/>
  <c r="W49" i="47" s="1"/>
  <c r="W41" i="47" a="1"/>
  <c r="W41" i="47" s="1"/>
  <c r="W18" i="47" a="1"/>
  <c r="W18" i="47" s="1"/>
  <c r="W45" i="47" a="1"/>
  <c r="W45" i="47" s="1"/>
  <c r="Y50" i="48" a="1"/>
  <c r="Y50" i="48" s="1"/>
  <c r="Y46" i="48" a="1"/>
  <c r="Y46" i="48" s="1"/>
  <c r="Y41" i="48" a="1"/>
  <c r="Y41" i="48" s="1"/>
  <c r="Y37" i="48" a="1"/>
  <c r="Y37" i="48" s="1"/>
  <c r="Y39" i="48" a="1"/>
  <c r="Y39" i="48" s="1"/>
  <c r="Y26" i="48" a="1"/>
  <c r="Y26" i="48" s="1"/>
  <c r="Y22" i="48" a="1"/>
  <c r="Y22" i="48" s="1"/>
  <c r="Y11" i="48" a="1"/>
  <c r="Y11" i="48" s="1"/>
  <c r="Y6" i="48" a="1"/>
  <c r="Y6" i="48" s="1"/>
  <c r="Y49" i="48" a="1"/>
  <c r="Y49" i="48" s="1"/>
  <c r="Y45" i="48" a="1"/>
  <c r="Y45" i="48" s="1"/>
  <c r="Y36" i="48" a="1"/>
  <c r="Y36" i="48" s="1"/>
  <c r="Y31" i="48" a="1"/>
  <c r="Y31" i="48" s="1"/>
  <c r="Y20" i="48" a="1"/>
  <c r="Y20" i="48" s="1"/>
  <c r="Y14" i="48" a="1"/>
  <c r="Y14" i="48" s="1"/>
  <c r="Y48" i="48" a="1"/>
  <c r="Y48" i="48" s="1"/>
  <c r="Y33" i="48" a="1"/>
  <c r="Y33" i="48" s="1"/>
  <c r="Y27" i="48" a="1"/>
  <c r="Y27" i="48" s="1"/>
  <c r="Y12" i="48" a="1"/>
  <c r="Y12" i="48" s="1"/>
  <c r="Y9" i="48" a="1"/>
  <c r="Y9" i="48" s="1"/>
  <c r="Y42" i="48" a="1"/>
  <c r="Y42" i="48" s="1"/>
  <c r="Y35" i="48" a="1"/>
  <c r="Y35" i="48" s="1"/>
  <c r="Y23" i="48" a="1"/>
  <c r="Y23" i="48" s="1"/>
  <c r="Y19" i="48" a="1"/>
  <c r="Y19" i="48" s="1"/>
  <c r="Y8" i="48" a="1"/>
  <c r="Y8" i="48" s="1"/>
  <c r="Y43" i="48" a="1"/>
  <c r="Y43" i="48" s="1"/>
  <c r="Y38" i="48" a="1"/>
  <c r="Y38" i="48" s="1"/>
  <c r="Y30" i="48" a="1"/>
  <c r="Y30" i="48" s="1"/>
  <c r="Y21" i="48" a="1"/>
  <c r="Y21" i="48" s="1"/>
  <c r="Y16" i="48" a="1"/>
  <c r="Y16" i="48" s="1"/>
  <c r="Y5" i="48" a="1"/>
  <c r="Y5" i="48" s="1"/>
  <c r="Y40" i="48" a="1"/>
  <c r="Y40" i="48" s="1"/>
  <c r="Y25" i="48" a="1"/>
  <c r="Y25" i="48" s="1"/>
  <c r="Y15" i="48" a="1"/>
  <c r="Y15" i="48" s="1"/>
  <c r="Y13" i="48" a="1"/>
  <c r="Y13" i="48" s="1"/>
  <c r="Y24" i="48" a="1"/>
  <c r="Y24" i="48" s="1"/>
  <c r="Y34" i="48" a="1"/>
  <c r="Y34" i="48" s="1"/>
  <c r="Y7" i="48" a="1"/>
  <c r="Y7" i="48" s="1"/>
  <c r="Y29" i="48" a="1"/>
  <c r="Y29" i="48" s="1"/>
  <c r="Y18" i="48" a="1"/>
  <c r="Y18" i="48" s="1"/>
  <c r="Y44" i="48" a="1"/>
  <c r="Y44" i="48" s="1"/>
  <c r="Y32" i="48" a="1"/>
  <c r="Y32" i="48" s="1"/>
  <c r="Y28" i="48" a="1"/>
  <c r="Y28" i="48" s="1"/>
  <c r="Y51" i="48" a="1"/>
  <c r="Y51" i="48" s="1"/>
  <c r="Y10" i="48" a="1"/>
  <c r="Y10" i="48" s="1"/>
  <c r="Y47" i="48" a="1"/>
  <c r="Y47" i="48" s="1"/>
  <c r="Y17" i="48" a="1"/>
  <c r="Y17" i="48" s="1"/>
  <c r="Y2" i="48" a="1"/>
  <c r="Y2" i="48" s="1"/>
  <c r="Y3" i="48" a="1"/>
  <c r="Y3" i="48" s="1"/>
  <c r="Y4" i="48" a="1"/>
  <c r="Y4" i="48" s="1"/>
  <c r="Z1" i="48" a="1"/>
  <c r="Z1" i="48" s="1"/>
  <c r="X20" i="47" l="1" a="1"/>
  <c r="X20" i="47" s="1"/>
  <c r="X32" i="47" a="1"/>
  <c r="X32" i="47" s="1"/>
  <c r="X45" i="47" a="1"/>
  <c r="X45" i="47" s="1"/>
  <c r="X11" i="47" a="1"/>
  <c r="X11" i="47" s="1"/>
  <c r="X30" i="47" a="1"/>
  <c r="X30" i="47" s="1"/>
  <c r="X17" i="47" a="1"/>
  <c r="X17" i="47" s="1"/>
  <c r="X49" i="47" a="1"/>
  <c r="X49" i="47" s="1"/>
  <c r="X28" i="47" a="1"/>
  <c r="X28" i="47" s="1"/>
  <c r="X29" i="47" a="1"/>
  <c r="X29" i="47" s="1"/>
  <c r="X48" i="47" a="1"/>
  <c r="X48" i="47" s="1"/>
  <c r="X50" i="47" a="1"/>
  <c r="X50" i="47" s="1"/>
  <c r="X39" i="47" a="1"/>
  <c r="X39" i="47" s="1"/>
  <c r="X6" i="47" a="1"/>
  <c r="X6" i="47" s="1"/>
  <c r="X18" i="47" a="1"/>
  <c r="X18" i="47" s="1"/>
  <c r="X16" i="47" a="1"/>
  <c r="X16" i="47" s="1"/>
  <c r="X21" i="47" a="1"/>
  <c r="X21" i="47" s="1"/>
  <c r="X5" i="47" a="1"/>
  <c r="X5" i="47" s="1"/>
  <c r="X44" i="47" a="1"/>
  <c r="X44" i="47" s="1"/>
  <c r="X38" i="47" a="1"/>
  <c r="X38" i="47" s="1"/>
  <c r="X36" i="47" a="1"/>
  <c r="X36" i="47" s="1"/>
  <c r="X37" i="47" a="1"/>
  <c r="X37" i="47" s="1"/>
  <c r="X42" i="47" a="1"/>
  <c r="X42" i="47" s="1"/>
  <c r="X26" i="47" a="1"/>
  <c r="X26" i="47" s="1"/>
  <c r="X15" i="47" a="1"/>
  <c r="X15" i="47" s="1"/>
  <c r="X31" i="47" a="1"/>
  <c r="X31" i="47" s="1"/>
  <c r="X25" i="47" a="1"/>
  <c r="X25" i="47" s="1"/>
  <c r="X7" i="47" a="1"/>
  <c r="X7" i="47" s="1"/>
  <c r="Y1" i="47" a="1"/>
  <c r="Y1" i="47" s="1"/>
  <c r="Y38" i="47" s="1" a="1"/>
  <c r="Y38" i="47" s="1"/>
  <c r="X8" i="47" a="1"/>
  <c r="X8" i="47" s="1"/>
  <c r="X46" i="47" a="1"/>
  <c r="X46" i="47" s="1"/>
  <c r="X40" i="47" a="1"/>
  <c r="X40" i="47" s="1"/>
  <c r="X12" i="47" a="1"/>
  <c r="X12" i="47" s="1"/>
  <c r="X23" i="47" a="1"/>
  <c r="X23" i="47" s="1"/>
  <c r="X13" i="47" a="1"/>
  <c r="X13" i="47" s="1"/>
  <c r="X19" i="47" a="1"/>
  <c r="X19" i="47" s="1"/>
  <c r="X43" i="47" a="1"/>
  <c r="X43" i="47" s="1"/>
  <c r="X14" i="47" a="1"/>
  <c r="X14" i="47" s="1"/>
  <c r="X3" i="47" a="1"/>
  <c r="X3" i="47" s="1"/>
  <c r="X4" i="47" a="1"/>
  <c r="X4" i="47" s="1"/>
  <c r="X10" i="47" a="1"/>
  <c r="X10" i="47" s="1"/>
  <c r="X2" i="47" a="1"/>
  <c r="X2" i="47" s="1"/>
  <c r="X24" i="47" a="1"/>
  <c r="X24" i="47" s="1"/>
  <c r="X9" i="47" a="1"/>
  <c r="X9" i="47" s="1"/>
  <c r="X33" i="47" a="1"/>
  <c r="X33" i="47" s="1"/>
  <c r="X22" i="47" a="1"/>
  <c r="X22" i="47" s="1"/>
  <c r="X35" i="47" a="1"/>
  <c r="X35" i="47" s="1"/>
  <c r="X47" i="47" a="1"/>
  <c r="X47" i="47" s="1"/>
  <c r="X27" i="47" a="1"/>
  <c r="X27" i="47" s="1"/>
  <c r="X41" i="47" a="1"/>
  <c r="X41" i="47" s="1"/>
  <c r="Z42" i="48" a="1"/>
  <c r="Z42" i="48" s="1"/>
  <c r="Z39" i="48" a="1"/>
  <c r="Z39" i="48" s="1"/>
  <c r="Z29" i="48" a="1"/>
  <c r="Z29" i="48" s="1"/>
  <c r="Z26" i="48" a="1"/>
  <c r="Z26" i="48" s="1"/>
  <c r="Z24" i="48" a="1"/>
  <c r="Z24" i="48" s="1"/>
  <c r="Z20" i="48" a="1"/>
  <c r="Z20" i="48" s="1"/>
  <c r="Z18" i="48" a="1"/>
  <c r="Z18" i="48" s="1"/>
  <c r="Z9" i="48" a="1"/>
  <c r="Z9" i="48" s="1"/>
  <c r="Z8" i="48" a="1"/>
  <c r="Z8" i="48" s="1"/>
  <c r="Z47" i="48" a="1"/>
  <c r="Z47" i="48" s="1"/>
  <c r="Z35" i="48" a="1"/>
  <c r="Z35" i="48" s="1"/>
  <c r="Z46" i="48" a="1"/>
  <c r="Z46" i="48" s="1"/>
  <c r="Z41" i="48" a="1"/>
  <c r="Z41" i="48" s="1"/>
  <c r="Z33" i="48" a="1"/>
  <c r="Z33" i="48" s="1"/>
  <c r="Z27" i="48" a="1"/>
  <c r="Z27" i="48" s="1"/>
  <c r="Z25" i="48" a="1"/>
  <c r="Z25" i="48" s="1"/>
  <c r="Z19" i="48" a="1"/>
  <c r="Z19" i="48" s="1"/>
  <c r="Z14" i="48" a="1"/>
  <c r="Z14" i="48" s="1"/>
  <c r="Z15" i="48" a="1"/>
  <c r="Z15" i="48" s="1"/>
  <c r="Z5" i="48" a="1"/>
  <c r="Z5" i="48" s="1"/>
  <c r="Z51" i="48" a="1"/>
  <c r="Z51" i="48" s="1"/>
  <c r="Z40" i="48" a="1"/>
  <c r="Z40" i="48" s="1"/>
  <c r="Z34" i="48" a="1"/>
  <c r="Z34" i="48" s="1"/>
  <c r="Z49" i="48" a="1"/>
  <c r="Z49" i="48" s="1"/>
  <c r="Z37" i="48" a="1"/>
  <c r="Z37" i="48" s="1"/>
  <c r="Z32" i="48" a="1"/>
  <c r="Z32" i="48" s="1"/>
  <c r="Z31" i="48" a="1"/>
  <c r="Z31" i="48" s="1"/>
  <c r="Z28" i="48" a="1"/>
  <c r="Z28" i="48" s="1"/>
  <c r="Z21" i="48" a="1"/>
  <c r="Z21" i="48" s="1"/>
  <c r="Z16" i="48" a="1"/>
  <c r="Z16" i="48" s="1"/>
  <c r="Z10" i="48" a="1"/>
  <c r="Z10" i="48" s="1"/>
  <c r="Z11" i="48" a="1"/>
  <c r="Z11" i="48" s="1"/>
  <c r="Z7" i="48" a="1"/>
  <c r="Z7" i="48" s="1"/>
  <c r="Z43" i="48" a="1"/>
  <c r="Z43" i="48" s="1"/>
  <c r="Z13" i="48" a="1"/>
  <c r="Z13" i="48" s="1"/>
  <c r="Z44" i="48" a="1"/>
  <c r="Z44" i="48" s="1"/>
  <c r="Z30" i="48" a="1"/>
  <c r="Z30" i="48" s="1"/>
  <c r="Z45" i="48" a="1"/>
  <c r="Z45" i="48" s="1"/>
  <c r="Z17" i="48" a="1"/>
  <c r="Z17" i="48" s="1"/>
  <c r="Z6" i="48" a="1"/>
  <c r="Z6" i="48" s="1"/>
  <c r="Z36" i="48" a="1"/>
  <c r="Z36" i="48" s="1"/>
  <c r="Z50" i="48" a="1"/>
  <c r="Z50" i="48" s="1"/>
  <c r="Z48" i="48" a="1"/>
  <c r="Z48" i="48" s="1"/>
  <c r="Z12" i="48" a="1"/>
  <c r="Z12" i="48" s="1"/>
  <c r="Z38" i="48" a="1"/>
  <c r="Z38" i="48" s="1"/>
  <c r="Z22" i="48" a="1"/>
  <c r="Z22" i="48" s="1"/>
  <c r="Z23" i="48" a="1"/>
  <c r="Z23" i="48" s="1"/>
  <c r="Z2" i="48" a="1"/>
  <c r="Z2" i="48" s="1"/>
  <c r="Z4" i="48" a="1"/>
  <c r="Z4" i="48" s="1"/>
  <c r="Z3" i="48" a="1"/>
  <c r="Z3" i="48" s="1"/>
  <c r="AA1" i="48" a="1"/>
  <c r="AA1" i="48" s="1"/>
  <c r="Y42" i="47" l="1" a="1"/>
  <c r="Y42" i="47" s="1"/>
  <c r="Y47" i="47" a="1"/>
  <c r="Y47" i="47" s="1"/>
  <c r="Y46" i="47" a="1"/>
  <c r="Y46" i="47" s="1"/>
  <c r="Y25" i="47" a="1"/>
  <c r="Y25" i="47" s="1"/>
  <c r="Y13" i="47" a="1"/>
  <c r="Y13" i="47" s="1"/>
  <c r="Y7" i="47" a="1"/>
  <c r="Y7" i="47" s="1"/>
  <c r="Y11" i="47" a="1"/>
  <c r="Y11" i="47" s="1"/>
  <c r="Y21" i="47" a="1"/>
  <c r="Y21" i="47" s="1"/>
  <c r="Y27" i="47" a="1"/>
  <c r="Y27" i="47" s="1"/>
  <c r="Y15" i="47" a="1"/>
  <c r="Y15" i="47" s="1"/>
  <c r="Y19" i="47" a="1"/>
  <c r="Y19" i="47" s="1"/>
  <c r="Y26" i="47" a="1"/>
  <c r="Y26" i="47" s="1"/>
  <c r="Y23" i="47" a="1"/>
  <c r="Y23" i="47" s="1"/>
  <c r="Y39" i="47" a="1"/>
  <c r="Y39" i="47" s="1"/>
  <c r="Y37" i="47" a="1"/>
  <c r="Y37" i="47" s="1"/>
  <c r="Y33" i="47" a="1"/>
  <c r="Y33" i="47" s="1"/>
  <c r="Y5" i="47" a="1"/>
  <c r="Y5" i="47" s="1"/>
  <c r="Y22" i="47" a="1"/>
  <c r="Y22" i="47" s="1"/>
  <c r="Y45" i="47" a="1"/>
  <c r="Y45" i="47" s="1"/>
  <c r="Y29" i="47" a="1"/>
  <c r="Y29" i="47" s="1"/>
  <c r="Y43" i="47" a="1"/>
  <c r="Y43" i="47" s="1"/>
  <c r="Y6" i="47" a="1"/>
  <c r="Y6" i="47" s="1"/>
  <c r="Y16" i="47" a="1"/>
  <c r="Y16" i="47" s="1"/>
  <c r="Y32" i="47" a="1"/>
  <c r="Y32" i="47" s="1"/>
  <c r="Y17" i="47" a="1"/>
  <c r="Y17" i="47" s="1"/>
  <c r="Y12" i="47" a="1"/>
  <c r="Y12" i="47" s="1"/>
  <c r="Z1" i="47" a="1"/>
  <c r="Z1" i="47" s="1"/>
  <c r="Z32" i="47" s="1" a="1"/>
  <c r="Z32" i="47" s="1"/>
  <c r="Y9" i="47" a="1"/>
  <c r="Y9" i="47" s="1"/>
  <c r="Y34" i="47" a="1"/>
  <c r="Y34" i="47" s="1"/>
  <c r="Y36" i="47" a="1"/>
  <c r="Y36" i="47" s="1"/>
  <c r="Y18" i="47" a="1"/>
  <c r="Y18" i="47" s="1"/>
  <c r="Y28" i="47" a="1"/>
  <c r="Y28" i="47" s="1"/>
  <c r="Y30" i="47" a="1"/>
  <c r="Y30" i="47" s="1"/>
  <c r="Y40" i="47" a="1"/>
  <c r="Y40" i="47" s="1"/>
  <c r="Y50" i="47" a="1"/>
  <c r="Y50" i="47" s="1"/>
  <c r="Y44" i="47" a="1"/>
  <c r="Y44" i="47" s="1"/>
  <c r="Y20" i="47" a="1"/>
  <c r="Y20" i="47" s="1"/>
  <c r="Y41" i="47" a="1"/>
  <c r="Y41" i="47" s="1"/>
  <c r="Y35" i="47" a="1"/>
  <c r="Y35" i="47" s="1"/>
  <c r="Y3" i="47" a="1"/>
  <c r="Y3" i="47" s="1"/>
  <c r="Y24" i="47" a="1"/>
  <c r="Y24" i="47" s="1"/>
  <c r="Y48" i="47" a="1"/>
  <c r="Y48" i="47" s="1"/>
  <c r="Y8" i="47" a="1"/>
  <c r="Y8" i="47" s="1"/>
  <c r="Y49" i="47" a="1"/>
  <c r="Y49" i="47" s="1"/>
  <c r="Y4" i="47" a="1"/>
  <c r="Y4" i="47" s="1"/>
  <c r="Y10" i="47" a="1"/>
  <c r="Y10" i="47" s="1"/>
  <c r="Y31" i="47" a="1"/>
  <c r="Y31" i="47" s="1"/>
  <c r="Y2" i="47" a="1"/>
  <c r="Y2" i="47" s="1"/>
  <c r="Y14" i="47" a="1"/>
  <c r="Y14" i="47" s="1"/>
  <c r="AA49" i="48" a="1"/>
  <c r="AA49" i="48" s="1"/>
  <c r="AA43" i="48" a="1"/>
  <c r="AA43" i="48" s="1"/>
  <c r="AA39" i="48" a="1"/>
  <c r="AA39" i="48" s="1"/>
  <c r="AA36" i="48" a="1"/>
  <c r="AA36" i="48" s="1"/>
  <c r="AA33" i="48" a="1"/>
  <c r="AA33" i="48" s="1"/>
  <c r="AA28" i="48" a="1"/>
  <c r="AA28" i="48" s="1"/>
  <c r="AA27" i="48" a="1"/>
  <c r="AA27" i="48" s="1"/>
  <c r="AA20" i="48" a="1"/>
  <c r="AA20" i="48" s="1"/>
  <c r="AA19" i="48" a="1"/>
  <c r="AA19" i="48" s="1"/>
  <c r="AA14" i="48" a="1"/>
  <c r="AA14" i="48" s="1"/>
  <c r="AA8" i="48" a="1"/>
  <c r="AA8" i="48" s="1"/>
  <c r="AA51" i="48" a="1"/>
  <c r="AA51" i="48" s="1"/>
  <c r="AA47" i="48" a="1"/>
  <c r="AA47" i="48" s="1"/>
  <c r="AA44" i="48" a="1"/>
  <c r="AA44" i="48" s="1"/>
  <c r="AA40" i="48" a="1"/>
  <c r="AA40" i="48" s="1"/>
  <c r="AA35" i="48" a="1"/>
  <c r="AA35" i="48" s="1"/>
  <c r="AA30" i="48" a="1"/>
  <c r="AA30" i="48" s="1"/>
  <c r="AA24" i="48" a="1"/>
  <c r="AA24" i="48" s="1"/>
  <c r="AA23" i="48" a="1"/>
  <c r="AA23" i="48" s="1"/>
  <c r="AA18" i="48" a="1"/>
  <c r="AA18" i="48" s="1"/>
  <c r="AA15" i="48" a="1"/>
  <c r="AA15" i="48" s="1"/>
  <c r="AA12" i="48" a="1"/>
  <c r="AA12" i="48" s="1"/>
  <c r="AA6" i="48" a="1"/>
  <c r="AA6" i="48" s="1"/>
  <c r="AA48" i="48" a="1"/>
  <c r="AA48" i="48" s="1"/>
  <c r="AA45" i="48" a="1"/>
  <c r="AA45" i="48" s="1"/>
  <c r="AA41" i="48" a="1"/>
  <c r="AA41" i="48" s="1"/>
  <c r="AA37" i="48" a="1"/>
  <c r="AA37" i="48" s="1"/>
  <c r="AA29" i="48" a="1"/>
  <c r="AA29" i="48" s="1"/>
  <c r="AA32" i="48" a="1"/>
  <c r="AA32" i="48" s="1"/>
  <c r="AA26" i="48" a="1"/>
  <c r="AA26" i="48" s="1"/>
  <c r="AA22" i="48" a="1"/>
  <c r="AA22" i="48" s="1"/>
  <c r="AA16" i="48" a="1"/>
  <c r="AA16" i="48" s="1"/>
  <c r="AA11" i="48" a="1"/>
  <c r="AA11" i="48" s="1"/>
  <c r="AA9" i="48" a="1"/>
  <c r="AA9" i="48" s="1"/>
  <c r="AA5" i="48" a="1"/>
  <c r="AA5" i="48" s="1"/>
  <c r="AA25" i="48" a="1"/>
  <c r="AA25" i="48" s="1"/>
  <c r="AA46" i="48" a="1"/>
  <c r="AA46" i="48" s="1"/>
  <c r="AA13" i="48" a="1"/>
  <c r="AA13" i="48" s="1"/>
  <c r="AA34" i="48" a="1"/>
  <c r="AA34" i="48" s="1"/>
  <c r="AA21" i="48" a="1"/>
  <c r="AA21" i="48" s="1"/>
  <c r="AA50" i="48" a="1"/>
  <c r="AA50" i="48" s="1"/>
  <c r="AA17" i="48" a="1"/>
  <c r="AA17" i="48" s="1"/>
  <c r="AA38" i="48" a="1"/>
  <c r="AA38" i="48" s="1"/>
  <c r="AA7" i="48" a="1"/>
  <c r="AA7" i="48" s="1"/>
  <c r="AA31" i="48" a="1"/>
  <c r="AA31" i="48" s="1"/>
  <c r="AA42" i="48" a="1"/>
  <c r="AA42" i="48" s="1"/>
  <c r="AA10" i="48" a="1"/>
  <c r="AA10" i="48" s="1"/>
  <c r="AA4" i="48" a="1"/>
  <c r="AA4" i="48" s="1"/>
  <c r="AA3" i="48" a="1"/>
  <c r="AA3" i="48" s="1"/>
  <c r="AA2" i="48" a="1"/>
  <c r="AA2" i="48" s="1"/>
  <c r="AB1" i="48" a="1"/>
  <c r="AB1" i="48" s="1"/>
  <c r="Z42" i="47" l="1" a="1"/>
  <c r="Z42" i="47" s="1"/>
  <c r="Z12" i="47" a="1"/>
  <c r="Z12" i="47" s="1"/>
  <c r="Z40" i="47" a="1"/>
  <c r="Z40" i="47" s="1"/>
  <c r="Z20" i="47" a="1"/>
  <c r="Z20" i="47" s="1"/>
  <c r="Z49" i="47" a="1"/>
  <c r="Z49" i="47" s="1"/>
  <c r="Z39" i="47" a="1"/>
  <c r="Z39" i="47" s="1"/>
  <c r="Z31" i="47" a="1"/>
  <c r="Z31" i="47" s="1"/>
  <c r="Z46" i="47" a="1"/>
  <c r="Z46" i="47" s="1"/>
  <c r="Z13" i="47" a="1"/>
  <c r="Z13" i="47" s="1"/>
  <c r="Z2" i="47" a="1"/>
  <c r="Z2" i="47" s="1"/>
  <c r="Z30" i="47" a="1"/>
  <c r="Z30" i="47" s="1"/>
  <c r="Z4" i="47" a="1"/>
  <c r="Z4" i="47" s="1"/>
  <c r="Z45" i="47" a="1"/>
  <c r="Z45" i="47" s="1"/>
  <c r="Z47" i="47" a="1"/>
  <c r="Z47" i="47" s="1"/>
  <c r="Z3" i="47" a="1"/>
  <c r="Z3" i="47" s="1"/>
  <c r="Z11" i="47" a="1"/>
  <c r="Z11" i="47" s="1"/>
  <c r="Z15" i="47" a="1"/>
  <c r="Z15" i="47" s="1"/>
  <c r="Z41" i="47" a="1"/>
  <c r="Z41" i="47" s="1"/>
  <c r="Z50" i="47" a="1"/>
  <c r="Z50" i="47" s="1"/>
  <c r="Z18" i="47" a="1"/>
  <c r="Z18" i="47" s="1"/>
  <c r="Z25" i="47" a="1"/>
  <c r="Z25" i="47" s="1"/>
  <c r="Z28" i="47" a="1"/>
  <c r="Z28" i="47" s="1"/>
  <c r="Z27" i="47" a="1"/>
  <c r="Z27" i="47" s="1"/>
  <c r="Z14" i="47" a="1"/>
  <c r="Z14" i="47" s="1"/>
  <c r="Z38" i="47" a="1"/>
  <c r="Z38" i="47" s="1"/>
  <c r="Z6" i="47" a="1"/>
  <c r="Z6" i="47" s="1"/>
  <c r="AA1" i="47" a="1"/>
  <c r="AA1" i="47" s="1"/>
  <c r="AA48" i="47" s="1" a="1"/>
  <c r="AA48" i="47" s="1"/>
  <c r="Z10" i="47" a="1"/>
  <c r="Z10" i="47" s="1"/>
  <c r="Z35" i="47" a="1"/>
  <c r="Z35" i="47" s="1"/>
  <c r="Z9" i="47" a="1"/>
  <c r="Z9" i="47" s="1"/>
  <c r="Z33" i="47" a="1"/>
  <c r="Z33" i="47" s="1"/>
  <c r="Z7" i="47" a="1"/>
  <c r="Z7" i="47" s="1"/>
  <c r="Z17" i="47" a="1"/>
  <c r="Z17" i="47" s="1"/>
  <c r="Z26" i="47" a="1"/>
  <c r="Z26" i="47" s="1"/>
  <c r="Z23" i="47" a="1"/>
  <c r="Z23" i="47" s="1"/>
  <c r="Z8" i="47" a="1"/>
  <c r="Z8" i="47" s="1"/>
  <c r="Z44" i="47" a="1"/>
  <c r="Z44" i="47" s="1"/>
  <c r="Z29" i="47" a="1"/>
  <c r="Z29" i="47" s="1"/>
  <c r="Z37" i="47" a="1"/>
  <c r="Z37" i="47" s="1"/>
  <c r="Z16" i="47" a="1"/>
  <c r="Z16" i="47" s="1"/>
  <c r="Z43" i="47" a="1"/>
  <c r="Z43" i="47" s="1"/>
  <c r="Z21" i="47" a="1"/>
  <c r="Z21" i="47" s="1"/>
  <c r="Z24" i="47" a="1"/>
  <c r="Z24" i="47" s="1"/>
  <c r="Z5" i="47" a="1"/>
  <c r="Z5" i="47" s="1"/>
  <c r="Z22" i="47" a="1"/>
  <c r="Z22" i="47" s="1"/>
  <c r="Z48" i="47" a="1"/>
  <c r="Z48" i="47" s="1"/>
  <c r="Z34" i="47" a="1"/>
  <c r="Z34" i="47" s="1"/>
  <c r="Z19" i="47" a="1"/>
  <c r="Z19" i="47" s="1"/>
  <c r="Z36" i="47" a="1"/>
  <c r="Z36" i="47" s="1"/>
  <c r="AB48" i="48" a="1"/>
  <c r="AB48" i="48" s="1"/>
  <c r="AB44" i="48" a="1"/>
  <c r="AB44" i="48" s="1"/>
  <c r="AB51" i="48" a="1"/>
  <c r="AB51" i="48" s="1"/>
  <c r="AB47" i="48" a="1"/>
  <c r="AB47" i="48" s="1"/>
  <c r="AB45" i="48" a="1"/>
  <c r="AB45" i="48" s="1"/>
  <c r="AB40" i="48" a="1"/>
  <c r="AB40" i="48" s="1"/>
  <c r="AB35" i="48" a="1"/>
  <c r="AB35" i="48" s="1"/>
  <c r="AB28" i="48" a="1"/>
  <c r="AB28" i="48" s="1"/>
  <c r="AB25" i="48" a="1"/>
  <c r="AB25" i="48" s="1"/>
  <c r="AB24" i="48" a="1"/>
  <c r="AB24" i="48" s="1"/>
  <c r="AB18" i="48" a="1"/>
  <c r="AB18" i="48" s="1"/>
  <c r="AB15" i="48" a="1"/>
  <c r="AB15" i="48" s="1"/>
  <c r="AB14" i="48" a="1"/>
  <c r="AB14" i="48" s="1"/>
  <c r="AB5" i="48" a="1"/>
  <c r="AB5" i="48" s="1"/>
  <c r="AB49" i="48" a="1"/>
  <c r="AB49" i="48" s="1"/>
  <c r="AB43" i="48" a="1"/>
  <c r="AB43" i="48" s="1"/>
  <c r="AB42" i="48" a="1"/>
  <c r="AB42" i="48" s="1"/>
  <c r="AB37" i="48" a="1"/>
  <c r="AB37" i="48" s="1"/>
  <c r="AB33" i="48" a="1"/>
  <c r="AB33" i="48" s="1"/>
  <c r="AB29" i="48" a="1"/>
  <c r="AB29" i="48" s="1"/>
  <c r="AB27" i="48" a="1"/>
  <c r="AB27" i="48" s="1"/>
  <c r="AB21" i="48" a="1"/>
  <c r="AB21" i="48" s="1"/>
  <c r="AB16" i="48" a="1"/>
  <c r="AB16" i="48" s="1"/>
  <c r="AB11" i="48" a="1"/>
  <c r="AB11" i="48" s="1"/>
  <c r="AB10" i="48" a="1"/>
  <c r="AB10" i="48" s="1"/>
  <c r="AB6" i="48" a="1"/>
  <c r="AB6" i="48" s="1"/>
  <c r="AB41" i="48" a="1"/>
  <c r="AB41" i="48" s="1"/>
  <c r="AB34" i="48" a="1"/>
  <c r="AB34" i="48" s="1"/>
  <c r="AB26" i="48" a="1"/>
  <c r="AB26" i="48" s="1"/>
  <c r="AB17" i="48" a="1"/>
  <c r="AB17" i="48" s="1"/>
  <c r="AB12" i="48" a="1"/>
  <c r="AB12" i="48" s="1"/>
  <c r="AB50" i="48" a="1"/>
  <c r="AB50" i="48" s="1"/>
  <c r="AB39" i="48" a="1"/>
  <c r="AB39" i="48" s="1"/>
  <c r="AB31" i="48" a="1"/>
  <c r="AB31" i="48" s="1"/>
  <c r="AB23" i="48" a="1"/>
  <c r="AB23" i="48" s="1"/>
  <c r="AB19" i="48" a="1"/>
  <c r="AB19" i="48" s="1"/>
  <c r="AB7" i="48" a="1"/>
  <c r="AB7" i="48" s="1"/>
  <c r="AB32" i="48" a="1"/>
  <c r="AB32" i="48" s="1"/>
  <c r="AB9" i="48" a="1"/>
  <c r="AB9" i="48" s="1"/>
  <c r="AB8" i="48" a="1"/>
  <c r="AB8" i="48" s="1"/>
  <c r="AB30" i="48" a="1"/>
  <c r="AB30" i="48" s="1"/>
  <c r="AB46" i="48" a="1"/>
  <c r="AB46" i="48" s="1"/>
  <c r="AB22" i="48" a="1"/>
  <c r="AB22" i="48" s="1"/>
  <c r="AB13" i="48" a="1"/>
  <c r="AB13" i="48" s="1"/>
  <c r="AB20" i="48" a="1"/>
  <c r="AB20" i="48" s="1"/>
  <c r="AB38" i="48" a="1"/>
  <c r="AB38" i="48" s="1"/>
  <c r="AB36" i="48" a="1"/>
  <c r="AB36" i="48" s="1"/>
  <c r="AB2" i="48" a="1"/>
  <c r="AB2" i="48" s="1"/>
  <c r="AB3" i="48" a="1"/>
  <c r="AB3" i="48" s="1"/>
  <c r="AB4" i="48" a="1"/>
  <c r="AB4" i="48" s="1"/>
  <c r="AC1" i="48" a="1"/>
  <c r="AC1" i="48" s="1"/>
  <c r="AA42" i="47" l="1" a="1"/>
  <c r="AA42" i="47" s="1"/>
  <c r="AA20" i="47" a="1"/>
  <c r="AA20" i="47" s="1"/>
  <c r="AA19" i="47" a="1"/>
  <c r="AA19" i="47" s="1"/>
  <c r="AA28" i="47" a="1"/>
  <c r="AA28" i="47" s="1"/>
  <c r="AA45" i="47" a="1"/>
  <c r="AA45" i="47" s="1"/>
  <c r="AA9" i="47" a="1"/>
  <c r="AA9" i="47" s="1"/>
  <c r="AA41" i="47" a="1"/>
  <c r="AA41" i="47" s="1"/>
  <c r="AA30" i="47" a="1"/>
  <c r="AA30" i="47" s="1"/>
  <c r="AA27" i="47" a="1"/>
  <c r="AA27" i="47" s="1"/>
  <c r="AA13" i="47" a="1"/>
  <c r="AA13" i="47" s="1"/>
  <c r="AA31" i="47" a="1"/>
  <c r="AA31" i="47" s="1"/>
  <c r="AA50" i="47" a="1"/>
  <c r="AA50" i="47" s="1"/>
  <c r="AA35" i="47" a="1"/>
  <c r="AA35" i="47" s="1"/>
  <c r="AA37" i="47" a="1"/>
  <c r="AA37" i="47" s="1"/>
  <c r="AA26" i="47" a="1"/>
  <c r="AA26" i="47" s="1"/>
  <c r="AA4" i="47" a="1"/>
  <c r="AA4" i="47" s="1"/>
  <c r="AA36" i="47" a="1"/>
  <c r="AA36" i="47" s="1"/>
  <c r="AA5" i="47" a="1"/>
  <c r="AA5" i="47" s="1"/>
  <c r="AA32" i="47" a="1"/>
  <c r="AA32" i="47" s="1"/>
  <c r="AA7" i="47" a="1"/>
  <c r="AA7" i="47" s="1"/>
  <c r="AA12" i="47" a="1"/>
  <c r="AA12" i="47" s="1"/>
  <c r="AA38" i="47" a="1"/>
  <c r="AA38" i="47" s="1"/>
  <c r="AA2" i="47" a="1"/>
  <c r="AA2" i="47" s="1"/>
  <c r="AA40" i="47" a="1"/>
  <c r="AA40" i="47" s="1"/>
  <c r="AA6" i="47" a="1"/>
  <c r="AA6" i="47" s="1"/>
  <c r="AA44" i="47" a="1"/>
  <c r="AA44" i="47" s="1"/>
  <c r="AA33" i="47" a="1"/>
  <c r="AA33" i="47" s="1"/>
  <c r="AA23" i="47" a="1"/>
  <c r="AA23" i="47" s="1"/>
  <c r="AA25" i="47" a="1"/>
  <c r="AA25" i="47" s="1"/>
  <c r="AA10" i="47" a="1"/>
  <c r="AA10" i="47" s="1"/>
  <c r="AA8" i="47" a="1"/>
  <c r="AA8" i="47" s="1"/>
  <c r="AA14" i="47" a="1"/>
  <c r="AA14" i="47" s="1"/>
  <c r="AA15" i="47" a="1"/>
  <c r="AA15" i="47" s="1"/>
  <c r="AA24" i="47" a="1"/>
  <c r="AA24" i="47" s="1"/>
  <c r="AA39" i="47" a="1"/>
  <c r="AA39" i="47" s="1"/>
  <c r="AA34" i="47" a="1"/>
  <c r="AA34" i="47" s="1"/>
  <c r="AA18" i="47" a="1"/>
  <c r="AA18" i="47" s="1"/>
  <c r="AA47" i="47" a="1"/>
  <c r="AA47" i="47" s="1"/>
  <c r="AA29" i="47" a="1"/>
  <c r="AA29" i="47" s="1"/>
  <c r="AA21" i="47" a="1"/>
  <c r="AA21" i="47" s="1"/>
  <c r="AA46" i="47" a="1"/>
  <c r="AA46" i="47" s="1"/>
  <c r="AA49" i="47" a="1"/>
  <c r="AA49" i="47" s="1"/>
  <c r="AA3" i="47" a="1"/>
  <c r="AA3" i="47" s="1"/>
  <c r="AA17" i="47" a="1"/>
  <c r="AA17" i="47" s="1"/>
  <c r="AA11" i="47" a="1"/>
  <c r="AA11" i="47" s="1"/>
  <c r="AA16" i="47" a="1"/>
  <c r="AA16" i="47" s="1"/>
  <c r="AB1" i="47" a="1"/>
  <c r="AB1" i="47" s="1"/>
  <c r="AB23" i="47" s="1" a="1"/>
  <c r="AB23" i="47" s="1"/>
  <c r="AA22" i="47" a="1"/>
  <c r="AA22" i="47" s="1"/>
  <c r="AA43" i="47" a="1"/>
  <c r="AA43" i="47" s="1"/>
  <c r="AC51" i="48" a="1"/>
  <c r="AC51" i="48" s="1"/>
  <c r="AC46" i="48" a="1"/>
  <c r="AC46" i="48" s="1"/>
  <c r="AC43" i="48" a="1"/>
  <c r="AC43" i="48" s="1"/>
  <c r="AC40" i="48" a="1"/>
  <c r="AC40" i="48" s="1"/>
  <c r="AC34" i="48" a="1"/>
  <c r="AC34" i="48" s="1"/>
  <c r="AC29" i="48" a="1"/>
  <c r="AC29" i="48" s="1"/>
  <c r="AC27" i="48" a="1"/>
  <c r="AC27" i="48" s="1"/>
  <c r="AC26" i="48" a="1"/>
  <c r="AC26" i="48" s="1"/>
  <c r="AC19" i="48" a="1"/>
  <c r="AC19" i="48" s="1"/>
  <c r="AC49" i="48" a="1"/>
  <c r="AC49" i="48" s="1"/>
  <c r="AC44" i="48" a="1"/>
  <c r="AC44" i="48" s="1"/>
  <c r="AC42" i="48" a="1"/>
  <c r="AC42" i="48" s="1"/>
  <c r="AC39" i="48" a="1"/>
  <c r="AC39" i="48" s="1"/>
  <c r="AC28" i="48" a="1"/>
  <c r="AC28" i="48" s="1"/>
  <c r="AC33" i="48" a="1"/>
  <c r="AC33" i="48" s="1"/>
  <c r="AC24" i="48" a="1"/>
  <c r="AC24" i="48" s="1"/>
  <c r="AC22" i="48" a="1"/>
  <c r="AC22" i="48" s="1"/>
  <c r="AC16" i="48" a="1"/>
  <c r="AC16" i="48" s="1"/>
  <c r="AC50" i="48" a="1"/>
  <c r="AC50" i="48" s="1"/>
  <c r="AC41" i="48" a="1"/>
  <c r="AC41" i="48" s="1"/>
  <c r="AC35" i="48" a="1"/>
  <c r="AC35" i="48" s="1"/>
  <c r="AC23" i="48" a="1"/>
  <c r="AC23" i="48" s="1"/>
  <c r="AC17" i="48" a="1"/>
  <c r="AC17" i="48" s="1"/>
  <c r="AC7" i="48" a="1"/>
  <c r="AC7" i="48" s="1"/>
  <c r="AC15" i="48" a="1"/>
  <c r="AC15" i="48" s="1"/>
  <c r="AC6" i="48" a="1"/>
  <c r="AC6" i="48" s="1"/>
  <c r="AC13" i="48" a="1"/>
  <c r="AC13" i="48" s="1"/>
  <c r="AC48" i="48" a="1"/>
  <c r="AC48" i="48" s="1"/>
  <c r="AC37" i="48" a="1"/>
  <c r="AC37" i="48" s="1"/>
  <c r="AC32" i="48" a="1"/>
  <c r="AC32" i="48" s="1"/>
  <c r="AC25" i="48" a="1"/>
  <c r="AC25" i="48" s="1"/>
  <c r="AC18" i="48" a="1"/>
  <c r="AC18" i="48" s="1"/>
  <c r="AC11" i="48" a="1"/>
  <c r="AC11" i="48" s="1"/>
  <c r="AC5" i="48" a="1"/>
  <c r="AC5" i="48" s="1"/>
  <c r="AC14" i="48" a="1"/>
  <c r="AC14" i="48" s="1"/>
  <c r="AC36" i="48" a="1"/>
  <c r="AC36" i="48" s="1"/>
  <c r="AC12" i="48" a="1"/>
  <c r="AC12" i="48" s="1"/>
  <c r="AC30" i="48" a="1"/>
  <c r="AC30" i="48" s="1"/>
  <c r="AC10" i="48" a="1"/>
  <c r="AC10" i="48" s="1"/>
  <c r="AC45" i="48" a="1"/>
  <c r="AC45" i="48" s="1"/>
  <c r="AC20" i="48" a="1"/>
  <c r="AC20" i="48" s="1"/>
  <c r="AC9" i="48" a="1"/>
  <c r="AC9" i="48" s="1"/>
  <c r="AC8" i="48" a="1"/>
  <c r="AC8" i="48" s="1"/>
  <c r="AC47" i="48" a="1"/>
  <c r="AC47" i="48" s="1"/>
  <c r="AC31" i="48" a="1"/>
  <c r="AC31" i="48" s="1"/>
  <c r="AC21" i="48" a="1"/>
  <c r="AC21" i="48" s="1"/>
  <c r="AC38" i="48" a="1"/>
  <c r="AC38" i="48" s="1"/>
  <c r="AC4" i="48" a="1"/>
  <c r="AC4" i="48" s="1"/>
  <c r="AC3" i="48" a="1"/>
  <c r="AC3" i="48" s="1"/>
  <c r="AC2" i="48" a="1"/>
  <c r="AC2" i="48" s="1"/>
  <c r="AD1" i="48" a="1"/>
  <c r="AD1" i="48" s="1"/>
  <c r="AB14" i="47" l="1" a="1"/>
  <c r="AB14" i="47" s="1"/>
  <c r="AB34" i="47" a="1"/>
  <c r="AB34" i="47" s="1"/>
  <c r="AB33" i="47" a="1"/>
  <c r="AB33" i="47" s="1"/>
  <c r="AB38" i="47" a="1"/>
  <c r="AB38" i="47" s="1"/>
  <c r="AB50" i="47" a="1"/>
  <c r="AB50" i="47" s="1"/>
  <c r="AB11" i="47" a="1"/>
  <c r="AB11" i="47" s="1"/>
  <c r="AB22" i="47" a="1"/>
  <c r="AB22" i="47" s="1"/>
  <c r="AB42" i="47" a="1"/>
  <c r="AB42" i="47" s="1"/>
  <c r="AB32" i="47" a="1"/>
  <c r="AB32" i="47" s="1"/>
  <c r="AB5" i="47" a="1"/>
  <c r="AB5" i="47" s="1"/>
  <c r="AB2" i="47" a="1"/>
  <c r="AB2" i="47" s="1"/>
  <c r="AB35" i="47" a="1"/>
  <c r="AB35" i="47" s="1"/>
  <c r="AB18" i="47" a="1"/>
  <c r="AB18" i="47" s="1"/>
  <c r="AB27" i="47" a="1"/>
  <c r="AB27" i="47" s="1"/>
  <c r="AB39" i="47" a="1"/>
  <c r="AB39" i="47" s="1"/>
  <c r="AB20" i="47" a="1"/>
  <c r="AB20" i="47" s="1"/>
  <c r="AB6" i="47" a="1"/>
  <c r="AB6" i="47" s="1"/>
  <c r="AB24" i="47" a="1"/>
  <c r="AB24" i="47" s="1"/>
  <c r="AB3" i="47" a="1"/>
  <c r="AB3" i="47" s="1"/>
  <c r="AB12" i="47" a="1"/>
  <c r="AB12" i="47" s="1"/>
  <c r="AB7" i="47" a="1"/>
  <c r="AB7" i="47" s="1"/>
  <c r="AB44" i="47" a="1"/>
  <c r="AB44" i="47" s="1"/>
  <c r="AB15" i="47" a="1"/>
  <c r="AB15" i="47" s="1"/>
  <c r="AB43" i="47" a="1"/>
  <c r="AB43" i="47" s="1"/>
  <c r="AB8" i="47" a="1"/>
  <c r="AB8" i="47" s="1"/>
  <c r="AB10" i="47" a="1"/>
  <c r="AB10" i="47" s="1"/>
  <c r="AB49" i="47" a="1"/>
  <c r="AB49" i="47" s="1"/>
  <c r="AB40" i="47" a="1"/>
  <c r="AB40" i="47" s="1"/>
  <c r="AB19" i="47" a="1"/>
  <c r="AB19" i="47" s="1"/>
  <c r="AB9" i="47" a="1"/>
  <c r="AB9" i="47" s="1"/>
  <c r="AB25" i="47" a="1"/>
  <c r="AB25" i="47" s="1"/>
  <c r="AB30" i="47" a="1"/>
  <c r="AB30" i="47" s="1"/>
  <c r="AB28" i="47" a="1"/>
  <c r="AB28" i="47" s="1"/>
  <c r="AB13" i="47" a="1"/>
  <c r="AB13" i="47" s="1"/>
  <c r="AB48" i="47" a="1"/>
  <c r="AB48" i="47" s="1"/>
  <c r="AC1" i="47" a="1"/>
  <c r="AC1" i="47" s="1"/>
  <c r="AC12" i="47" s="1" a="1"/>
  <c r="AC12" i="47" s="1"/>
  <c r="AB29" i="47" a="1"/>
  <c r="AB29" i="47" s="1"/>
  <c r="AB45" i="47" a="1"/>
  <c r="AB45" i="47" s="1"/>
  <c r="AB16" i="47" a="1"/>
  <c r="AB16" i="47" s="1"/>
  <c r="AB36" i="47" a="1"/>
  <c r="AB36" i="47" s="1"/>
  <c r="AB47" i="47" a="1"/>
  <c r="AB47" i="47" s="1"/>
  <c r="AB4" i="47" a="1"/>
  <c r="AB4" i="47" s="1"/>
  <c r="AB41" i="47" a="1"/>
  <c r="AB41" i="47" s="1"/>
  <c r="AB17" i="47" a="1"/>
  <c r="AB17" i="47" s="1"/>
  <c r="AB31" i="47" a="1"/>
  <c r="AB31" i="47" s="1"/>
  <c r="AB37" i="47" a="1"/>
  <c r="AB37" i="47" s="1"/>
  <c r="AB21" i="47" a="1"/>
  <c r="AB21" i="47" s="1"/>
  <c r="AB46" i="47" a="1"/>
  <c r="AB46" i="47" s="1"/>
  <c r="AB26" i="47" a="1"/>
  <c r="AB26" i="47" s="1"/>
  <c r="AD38" i="48" a="1"/>
  <c r="AD38" i="48" s="1"/>
  <c r="AD29" i="48" a="1"/>
  <c r="AD29" i="48" s="1"/>
  <c r="AD20" i="48" a="1"/>
  <c r="AD20" i="48" s="1"/>
  <c r="AD18" i="48" a="1"/>
  <c r="AD18" i="48" s="1"/>
  <c r="AD9" i="48" a="1"/>
  <c r="AD9" i="48" s="1"/>
  <c r="AD6" i="48" a="1"/>
  <c r="AD6" i="48" s="1"/>
  <c r="AD48" i="48" a="1"/>
  <c r="AD48" i="48" s="1"/>
  <c r="AD43" i="48" a="1"/>
  <c r="AD43" i="48" s="1"/>
  <c r="AD39" i="48" a="1"/>
  <c r="AD39" i="48" s="1"/>
  <c r="AD32" i="48" a="1"/>
  <c r="AD32" i="48" s="1"/>
  <c r="AD27" i="48" a="1"/>
  <c r="AD27" i="48" s="1"/>
  <c r="AD44" i="48" a="1"/>
  <c r="AD44" i="48" s="1"/>
  <c r="AD28" i="48" a="1"/>
  <c r="AD28" i="48" s="1"/>
  <c r="AD23" i="48" a="1"/>
  <c r="AD23" i="48" s="1"/>
  <c r="AD19" i="48" a="1"/>
  <c r="AD19" i="48" s="1"/>
  <c r="AD14" i="48" a="1"/>
  <c r="AD14" i="48" s="1"/>
  <c r="AD15" i="48" a="1"/>
  <c r="AD15" i="48" s="1"/>
  <c r="AD8" i="48" a="1"/>
  <c r="AD8" i="48" s="1"/>
  <c r="AD49" i="48" a="1"/>
  <c r="AD49" i="48" s="1"/>
  <c r="AD42" i="48" a="1"/>
  <c r="AD42" i="48" s="1"/>
  <c r="AD37" i="48" a="1"/>
  <c r="AD37" i="48" s="1"/>
  <c r="AD30" i="48" a="1"/>
  <c r="AD30" i="48" s="1"/>
  <c r="AD24" i="48" a="1"/>
  <c r="AD24" i="48" s="1"/>
  <c r="AD51" i="48" a="1"/>
  <c r="AD51" i="48" s="1"/>
  <c r="AD36" i="48" a="1"/>
  <c r="AD36" i="48" s="1"/>
  <c r="AD33" i="48" a="1"/>
  <c r="AD33" i="48" s="1"/>
  <c r="AD21" i="48" a="1"/>
  <c r="AD21" i="48" s="1"/>
  <c r="AD16" i="48" a="1"/>
  <c r="AD16" i="48" s="1"/>
  <c r="AD10" i="48" a="1"/>
  <c r="AD10" i="48" s="1"/>
  <c r="AD11" i="48" a="1"/>
  <c r="AD11" i="48" s="1"/>
  <c r="AD7" i="48" a="1"/>
  <c r="AD7" i="48" s="1"/>
  <c r="AD50" i="48" a="1"/>
  <c r="AD50" i="48" s="1"/>
  <c r="AD35" i="48" a="1"/>
  <c r="AD35" i="48" s="1"/>
  <c r="AD22" i="48" a="1"/>
  <c r="AD22" i="48" s="1"/>
  <c r="AD47" i="48" a="1"/>
  <c r="AD47" i="48" s="1"/>
  <c r="AD34" i="48" a="1"/>
  <c r="AD34" i="48" s="1"/>
  <c r="AD13" i="48" a="1"/>
  <c r="AD13" i="48" s="1"/>
  <c r="AD46" i="48" a="1"/>
  <c r="AD46" i="48" s="1"/>
  <c r="AD31" i="48" a="1"/>
  <c r="AD31" i="48" s="1"/>
  <c r="AD45" i="48" a="1"/>
  <c r="AD45" i="48" s="1"/>
  <c r="AD17" i="48" a="1"/>
  <c r="AD17" i="48" s="1"/>
  <c r="AD40" i="48" a="1"/>
  <c r="AD40" i="48" s="1"/>
  <c r="AD25" i="48" a="1"/>
  <c r="AD25" i="48" s="1"/>
  <c r="AD12" i="48" a="1"/>
  <c r="AD12" i="48" s="1"/>
  <c r="AD26" i="48" a="1"/>
  <c r="AD26" i="48" s="1"/>
  <c r="AD41" i="48" a="1"/>
  <c r="AD41" i="48" s="1"/>
  <c r="AD5" i="48" a="1"/>
  <c r="AD5" i="48" s="1"/>
  <c r="AD3" i="48" a="1"/>
  <c r="AD3" i="48" s="1"/>
  <c r="AD4" i="48" a="1"/>
  <c r="AD4" i="48" s="1"/>
  <c r="AD2" i="48" a="1"/>
  <c r="AD2" i="48" s="1"/>
  <c r="AE1" i="48" a="1"/>
  <c r="AE1" i="48" s="1"/>
  <c r="AC2" i="47" l="1" a="1"/>
  <c r="AC2" i="47" s="1"/>
  <c r="AC39" i="47" a="1"/>
  <c r="AC39" i="47" s="1"/>
  <c r="AC19" i="47" a="1"/>
  <c r="AC19" i="47" s="1"/>
  <c r="AC28" i="47" a="1"/>
  <c r="AC28" i="47" s="1"/>
  <c r="AC48" i="47" a="1"/>
  <c r="AC48" i="47" s="1"/>
  <c r="AC5" i="47" a="1"/>
  <c r="AC5" i="47" s="1"/>
  <c r="AC10" i="47" a="1"/>
  <c r="AC10" i="47" s="1"/>
  <c r="AC9" i="47" a="1"/>
  <c r="AC9" i="47" s="1"/>
  <c r="AC47" i="47" a="1"/>
  <c r="AC47" i="47" s="1"/>
  <c r="AC24" i="47" a="1"/>
  <c r="AC24" i="47" s="1"/>
  <c r="AC14" i="47" a="1"/>
  <c r="AC14" i="47" s="1"/>
  <c r="AC50" i="47" a="1"/>
  <c r="AC50" i="47" s="1"/>
  <c r="AC29" i="47" a="1"/>
  <c r="AC29" i="47" s="1"/>
  <c r="AC42" i="47" a="1"/>
  <c r="AC42" i="47" s="1"/>
  <c r="AC27" i="47" a="1"/>
  <c r="AC27" i="47" s="1"/>
  <c r="AC40" i="47" a="1"/>
  <c r="AC40" i="47" s="1"/>
  <c r="AC44" i="47" a="1"/>
  <c r="AC44" i="47" s="1"/>
  <c r="AC46" i="47" a="1"/>
  <c r="AC46" i="47" s="1"/>
  <c r="AC8" i="47" a="1"/>
  <c r="AC8" i="47" s="1"/>
  <c r="AC25" i="47" a="1"/>
  <c r="AC25" i="47" s="1"/>
  <c r="AC34" i="47" a="1"/>
  <c r="AC34" i="47" s="1"/>
  <c r="AC35" i="47" a="1"/>
  <c r="AC35" i="47" s="1"/>
  <c r="AC21" i="47" a="1"/>
  <c r="AC21" i="47" s="1"/>
  <c r="AC6" i="47" a="1"/>
  <c r="AC6" i="47" s="1"/>
  <c r="AC15" i="47" a="1"/>
  <c r="AC15" i="47" s="1"/>
  <c r="AC41" i="47" a="1"/>
  <c r="AC41" i="47" s="1"/>
  <c r="AC23" i="47" a="1"/>
  <c r="AC23" i="47" s="1"/>
  <c r="AC20" i="47" a="1"/>
  <c r="AC20" i="47" s="1"/>
  <c r="AC37" i="47" a="1"/>
  <c r="AC37" i="47" s="1"/>
  <c r="AC4" i="47" a="1"/>
  <c r="AC4" i="47" s="1"/>
  <c r="AC49" i="47" a="1"/>
  <c r="AC49" i="47" s="1"/>
  <c r="AC18" i="47" a="1"/>
  <c r="AC18" i="47" s="1"/>
  <c r="AC13" i="47" a="1"/>
  <c r="AC13" i="47" s="1"/>
  <c r="AC11" i="47" a="1"/>
  <c r="AC11" i="47" s="1"/>
  <c r="AC30" i="47" a="1"/>
  <c r="AC30" i="47" s="1"/>
  <c r="AC7" i="47" a="1"/>
  <c r="AC7" i="47" s="1"/>
  <c r="AC16" i="47" a="1"/>
  <c r="AC16" i="47" s="1"/>
  <c r="AC17" i="47" a="1"/>
  <c r="AC17" i="47" s="1"/>
  <c r="AC31" i="47" a="1"/>
  <c r="AC31" i="47" s="1"/>
  <c r="AC36" i="47" a="1"/>
  <c r="AC36" i="47" s="1"/>
  <c r="AC43" i="47" a="1"/>
  <c r="AC43" i="47" s="1"/>
  <c r="AC26" i="47" a="1"/>
  <c r="AC26" i="47" s="1"/>
  <c r="AC38" i="47" a="1"/>
  <c r="AC38" i="47" s="1"/>
  <c r="AC33" i="47" a="1"/>
  <c r="AC33" i="47" s="1"/>
  <c r="AC45" i="47" a="1"/>
  <c r="AC45" i="47" s="1"/>
  <c r="AC32" i="47" a="1"/>
  <c r="AC32" i="47" s="1"/>
  <c r="AC22" i="47" a="1"/>
  <c r="AC22" i="47" s="1"/>
  <c r="AC3" i="47" a="1"/>
  <c r="AC3" i="47" s="1"/>
  <c r="AD1" i="47" a="1"/>
  <c r="AD1" i="47" s="1"/>
  <c r="AD3" i="47" s="1" a="1"/>
  <c r="AD3" i="47" s="1"/>
  <c r="AE48" i="48" a="1"/>
  <c r="AE48" i="48" s="1"/>
  <c r="AE44" i="48" a="1"/>
  <c r="AE44" i="48" s="1"/>
  <c r="AE39" i="48" a="1"/>
  <c r="AE39" i="48" s="1"/>
  <c r="AE35" i="48" a="1"/>
  <c r="AE35" i="48" s="1"/>
  <c r="AE33" i="48" a="1"/>
  <c r="AE33" i="48" s="1"/>
  <c r="AE30" i="48" a="1"/>
  <c r="AE30" i="48" s="1"/>
  <c r="AE24" i="48" a="1"/>
  <c r="AE24" i="48" s="1"/>
  <c r="AE20" i="48" a="1"/>
  <c r="AE20" i="48" s="1"/>
  <c r="AE19" i="48" a="1"/>
  <c r="AE19" i="48" s="1"/>
  <c r="AE14" i="48" a="1"/>
  <c r="AE14" i="48" s="1"/>
  <c r="AE8" i="48" a="1"/>
  <c r="AE8" i="48" s="1"/>
  <c r="AE51" i="48" a="1"/>
  <c r="AE51" i="48" s="1"/>
  <c r="AE47" i="48" a="1"/>
  <c r="AE47" i="48" s="1"/>
  <c r="AE45" i="48" a="1"/>
  <c r="AE45" i="48" s="1"/>
  <c r="AE37" i="48" a="1"/>
  <c r="AE37" i="48" s="1"/>
  <c r="AE36" i="48" a="1"/>
  <c r="AE36" i="48" s="1"/>
  <c r="AE28" i="48" a="1"/>
  <c r="AE28" i="48" s="1"/>
  <c r="AE26" i="48" a="1"/>
  <c r="AE26" i="48" s="1"/>
  <c r="AE25" i="48" a="1"/>
  <c r="AE25" i="48" s="1"/>
  <c r="AE18" i="48" a="1"/>
  <c r="AE18" i="48" s="1"/>
  <c r="AE15" i="48" a="1"/>
  <c r="AE15" i="48" s="1"/>
  <c r="AE12" i="48" a="1"/>
  <c r="AE12" i="48" s="1"/>
  <c r="AE6" i="48" a="1"/>
  <c r="AE6" i="48" s="1"/>
  <c r="AE49" i="48" a="1"/>
  <c r="AE49" i="48" s="1"/>
  <c r="AE43" i="48" a="1"/>
  <c r="AE43" i="48" s="1"/>
  <c r="AE41" i="48" a="1"/>
  <c r="AE41" i="48" s="1"/>
  <c r="AE38" i="48" a="1"/>
  <c r="AE38" i="48" s="1"/>
  <c r="AE31" i="48" a="1"/>
  <c r="AE31" i="48" s="1"/>
  <c r="AE32" i="48" a="1"/>
  <c r="AE32" i="48" s="1"/>
  <c r="AE23" i="48" a="1"/>
  <c r="AE23" i="48" s="1"/>
  <c r="AE21" i="48" a="1"/>
  <c r="AE21" i="48" s="1"/>
  <c r="AE16" i="48" a="1"/>
  <c r="AE16" i="48" s="1"/>
  <c r="AE11" i="48" a="1"/>
  <c r="AE11" i="48" s="1"/>
  <c r="AE9" i="48" a="1"/>
  <c r="AE9" i="48" s="1"/>
  <c r="AE40" i="48" a="1"/>
  <c r="AE40" i="48" s="1"/>
  <c r="AE7" i="48" a="1"/>
  <c r="AE7" i="48" s="1"/>
  <c r="AE27" i="48" a="1"/>
  <c r="AE27" i="48" s="1"/>
  <c r="AE46" i="48" a="1"/>
  <c r="AE46" i="48" s="1"/>
  <c r="AE13" i="48" a="1"/>
  <c r="AE13" i="48" s="1"/>
  <c r="AE34" i="48" a="1"/>
  <c r="AE34" i="48" s="1"/>
  <c r="AE29" i="48" a="1"/>
  <c r="AE29" i="48" s="1"/>
  <c r="AE17" i="48" a="1"/>
  <c r="AE17" i="48" s="1"/>
  <c r="AE42" i="48" a="1"/>
  <c r="AE42" i="48" s="1"/>
  <c r="AE10" i="48" a="1"/>
  <c r="AE10" i="48" s="1"/>
  <c r="AE22" i="48" a="1"/>
  <c r="AE22" i="48" s="1"/>
  <c r="AE50" i="48" a="1"/>
  <c r="AE50" i="48" s="1"/>
  <c r="AE3" i="48" a="1"/>
  <c r="AE3" i="48" s="1"/>
  <c r="AE2" i="48" a="1"/>
  <c r="AE2" i="48" s="1"/>
  <c r="AE4" i="48" a="1"/>
  <c r="AE4" i="48" s="1"/>
  <c r="AE5" i="48" a="1"/>
  <c r="AE5" i="48" s="1"/>
  <c r="AF1" i="48" a="1"/>
  <c r="AF1" i="48" s="1"/>
  <c r="AD47" i="47" l="1" a="1"/>
  <c r="AD47" i="47" s="1"/>
  <c r="AD49" i="47" a="1"/>
  <c r="AD49" i="47" s="1"/>
  <c r="AD41" i="47" a="1"/>
  <c r="AD41" i="47" s="1"/>
  <c r="AD11" i="47" a="1"/>
  <c r="AD11" i="47" s="1"/>
  <c r="AD32" i="47" a="1"/>
  <c r="AD32" i="47" s="1"/>
  <c r="AD29" i="47" a="1"/>
  <c r="AD29" i="47" s="1"/>
  <c r="AD44" i="47" a="1"/>
  <c r="AD44" i="47" s="1"/>
  <c r="AD27" i="47" a="1"/>
  <c r="AD27" i="47" s="1"/>
  <c r="AD48" i="47" a="1"/>
  <c r="AD48" i="47" s="1"/>
  <c r="AD46" i="47" a="1"/>
  <c r="AD46" i="47" s="1"/>
  <c r="AD23" i="47" a="1"/>
  <c r="AD23" i="47" s="1"/>
  <c r="AD34" i="47" a="1"/>
  <c r="AD34" i="47" s="1"/>
  <c r="AD2" i="47" a="1"/>
  <c r="AD2" i="47" s="1"/>
  <c r="AD43" i="47" a="1"/>
  <c r="AD43" i="47" s="1"/>
  <c r="AD14" i="47" a="1"/>
  <c r="AD14" i="47" s="1"/>
  <c r="AD13" i="47" a="1"/>
  <c r="AD13" i="47" s="1"/>
  <c r="AD37" i="47" a="1"/>
  <c r="AD37" i="47" s="1"/>
  <c r="AD39" i="47" a="1"/>
  <c r="AD39" i="47" s="1"/>
  <c r="AD16" i="47" a="1"/>
  <c r="AD16" i="47" s="1"/>
  <c r="AD9" i="47" a="1"/>
  <c r="AD9" i="47" s="1"/>
  <c r="AD24" i="47" a="1"/>
  <c r="AD24" i="47" s="1"/>
  <c r="AD30" i="47" a="1"/>
  <c r="AD30" i="47" s="1"/>
  <c r="AD21" i="47" a="1"/>
  <c r="AD21" i="47" s="1"/>
  <c r="AD4" i="47" a="1"/>
  <c r="AD4" i="47" s="1"/>
  <c r="AE1" i="47" a="1"/>
  <c r="AE1" i="47" s="1"/>
  <c r="AE46" i="47" s="1" a="1"/>
  <c r="AE46" i="47" s="1"/>
  <c r="AD6" i="47" a="1"/>
  <c r="AD6" i="47" s="1"/>
  <c r="AD15" i="47" a="1"/>
  <c r="AD15" i="47" s="1"/>
  <c r="AD10" i="47" a="1"/>
  <c r="AD10" i="47" s="1"/>
  <c r="AD5" i="47" a="1"/>
  <c r="AD5" i="47" s="1"/>
  <c r="AD50" i="47" a="1"/>
  <c r="AD50" i="47" s="1"/>
  <c r="AD19" i="47" a="1"/>
  <c r="AD19" i="47" s="1"/>
  <c r="AD17" i="47" a="1"/>
  <c r="AD17" i="47" s="1"/>
  <c r="AD20" i="47" a="1"/>
  <c r="AD20" i="47" s="1"/>
  <c r="AD35" i="47" a="1"/>
  <c r="AD35" i="47" s="1"/>
  <c r="AD33" i="47" a="1"/>
  <c r="AD33" i="47" s="1"/>
  <c r="AD31" i="47" a="1"/>
  <c r="AD31" i="47" s="1"/>
  <c r="AD8" i="47" a="1"/>
  <c r="AD8" i="47" s="1"/>
  <c r="AD25" i="47" a="1"/>
  <c r="AD25" i="47" s="1"/>
  <c r="AD12" i="47" a="1"/>
  <c r="AD12" i="47" s="1"/>
  <c r="AD45" i="47" a="1"/>
  <c r="AD45" i="47" s="1"/>
  <c r="AD22" i="47" a="1"/>
  <c r="AD22" i="47" s="1"/>
  <c r="AD18" i="47" a="1"/>
  <c r="AD18" i="47" s="1"/>
  <c r="AD38" i="47" a="1"/>
  <c r="AD38" i="47" s="1"/>
  <c r="AD40" i="47" a="1"/>
  <c r="AD40" i="47" s="1"/>
  <c r="AD42" i="47" a="1"/>
  <c r="AD42" i="47" s="1"/>
  <c r="AD28" i="47" a="1"/>
  <c r="AD28" i="47" s="1"/>
  <c r="AD36" i="47" a="1"/>
  <c r="AD36" i="47" s="1"/>
  <c r="AD26" i="47" a="1"/>
  <c r="AD26" i="47" s="1"/>
  <c r="AD7" i="47" a="1"/>
  <c r="AD7" i="47" s="1"/>
  <c r="AF50" i="48" a="1"/>
  <c r="AF50" i="48" s="1"/>
  <c r="AF46" i="48" a="1"/>
  <c r="AF46" i="48" s="1"/>
  <c r="AF43" i="48" a="1"/>
  <c r="AF43" i="48" s="1"/>
  <c r="AF37" i="48" a="1"/>
  <c r="AF37" i="48" s="1"/>
  <c r="AF34" i="48" a="1"/>
  <c r="AF34" i="48" s="1"/>
  <c r="AF30" i="48" a="1"/>
  <c r="AF30" i="48" s="1"/>
  <c r="AF27" i="48" a="1"/>
  <c r="AF27" i="48" s="1"/>
  <c r="AF26" i="48" a="1"/>
  <c r="AF26" i="48" s="1"/>
  <c r="AF18" i="48" a="1"/>
  <c r="AF18" i="48" s="1"/>
  <c r="AF15" i="48" a="1"/>
  <c r="AF15" i="48" s="1"/>
  <c r="AF14" i="48" a="1"/>
  <c r="AF14" i="48" s="1"/>
  <c r="AF7" i="48" a="1"/>
  <c r="AF7" i="48" s="1"/>
  <c r="AF51" i="48" a="1"/>
  <c r="AF51" i="48" s="1"/>
  <c r="AF47" i="48" a="1"/>
  <c r="AF47" i="48" s="1"/>
  <c r="AF41" i="48" a="1"/>
  <c r="AF41" i="48" s="1"/>
  <c r="AF40" i="48" a="1"/>
  <c r="AF40" i="48" s="1"/>
  <c r="AF35" i="48" a="1"/>
  <c r="AF35" i="48" s="1"/>
  <c r="AF32" i="48" a="1"/>
  <c r="AF32" i="48" s="1"/>
  <c r="AF23" i="48" a="1"/>
  <c r="AF23" i="48" s="1"/>
  <c r="AF22" i="48" a="1"/>
  <c r="AF22" i="48" s="1"/>
  <c r="AF17" i="48" a="1"/>
  <c r="AF17" i="48" s="1"/>
  <c r="AF13" i="48" a="1"/>
  <c r="AF13" i="48" s="1"/>
  <c r="AF12" i="48" a="1"/>
  <c r="AF12" i="48" s="1"/>
  <c r="AF6" i="48" a="1"/>
  <c r="AF6" i="48" s="1"/>
  <c r="AF48" i="48" a="1"/>
  <c r="AF48" i="48" s="1"/>
  <c r="AF45" i="48" a="1"/>
  <c r="AF45" i="48" s="1"/>
  <c r="AF39" i="48" a="1"/>
  <c r="AF39" i="48" s="1"/>
  <c r="AF36" i="48" a="1"/>
  <c r="AF36" i="48" s="1"/>
  <c r="AF29" i="48" a="1"/>
  <c r="AF29" i="48" s="1"/>
  <c r="AF28" i="48" a="1"/>
  <c r="AF28" i="48" s="1"/>
  <c r="AF25" i="48" a="1"/>
  <c r="AF25" i="48" s="1"/>
  <c r="AF20" i="48" a="1"/>
  <c r="AF20" i="48" s="1"/>
  <c r="AF19" i="48" a="1"/>
  <c r="AF19" i="48" s="1"/>
  <c r="AF9" i="48" a="1"/>
  <c r="AF9" i="48" s="1"/>
  <c r="AF8" i="48" a="1"/>
  <c r="AF8" i="48" s="1"/>
  <c r="AF21" i="48" a="1"/>
  <c r="AF21" i="48" s="1"/>
  <c r="AF42" i="48" a="1"/>
  <c r="AF42" i="48" s="1"/>
  <c r="AF10" i="48" a="1"/>
  <c r="AF10" i="48" s="1"/>
  <c r="AF31" i="48" a="1"/>
  <c r="AF31" i="48" s="1"/>
  <c r="AF49" i="48" a="1"/>
  <c r="AF49" i="48" s="1"/>
  <c r="AF16" i="48" a="1"/>
  <c r="AF16" i="48" s="1"/>
  <c r="AF44" i="48" a="1"/>
  <c r="AF44" i="48" s="1"/>
  <c r="AF11" i="48" a="1"/>
  <c r="AF11" i="48" s="1"/>
  <c r="AF33" i="48" a="1"/>
  <c r="AF33" i="48" s="1"/>
  <c r="AF24" i="48" a="1"/>
  <c r="AF24" i="48" s="1"/>
  <c r="AF38" i="48" a="1"/>
  <c r="AF38" i="48" s="1"/>
  <c r="AF2" i="48" a="1"/>
  <c r="AF2" i="48" s="1"/>
  <c r="AF4" i="48" a="1"/>
  <c r="AF4" i="48" s="1"/>
  <c r="AF5" i="48" a="1"/>
  <c r="AF5" i="48" s="1"/>
  <c r="AF3" i="48" a="1"/>
  <c r="AF3" i="48" s="1"/>
  <c r="AG1" i="48" a="1"/>
  <c r="AG1" i="48" s="1"/>
  <c r="AE3" i="47" l="1" a="1"/>
  <c r="AE3" i="47" s="1"/>
  <c r="AE22" i="47" a="1"/>
  <c r="AE22" i="47" s="1"/>
  <c r="AE7" i="47" a="1"/>
  <c r="AE7" i="47" s="1"/>
  <c r="AE2" i="47" a="1"/>
  <c r="AE2" i="47" s="1"/>
  <c r="AE32" i="47" a="1"/>
  <c r="AE32" i="47" s="1"/>
  <c r="AE34" i="47" a="1"/>
  <c r="AE34" i="47" s="1"/>
  <c r="AE47" i="47" a="1"/>
  <c r="AE47" i="47" s="1"/>
  <c r="AE14" i="47" a="1"/>
  <c r="AE14" i="47" s="1"/>
  <c r="AE33" i="47" a="1"/>
  <c r="AE33" i="47" s="1"/>
  <c r="AE8" i="47" a="1"/>
  <c r="AE8" i="47" s="1"/>
  <c r="AE9" i="47" a="1"/>
  <c r="AE9" i="47" s="1"/>
  <c r="AE49" i="47" a="1"/>
  <c r="AE49" i="47" s="1"/>
  <c r="AE12" i="47" a="1"/>
  <c r="AE12" i="47" s="1"/>
  <c r="AE19" i="47" a="1"/>
  <c r="AE19" i="47" s="1"/>
  <c r="AE24" i="47" a="1"/>
  <c r="AE24" i="47" s="1"/>
  <c r="AE39" i="47" a="1"/>
  <c r="AE39" i="47" s="1"/>
  <c r="AE50" i="47" a="1"/>
  <c r="AE50" i="47" s="1"/>
  <c r="AE15" i="47" a="1"/>
  <c r="AE15" i="47" s="1"/>
  <c r="AE10" i="47" a="1"/>
  <c r="AE10" i="47" s="1"/>
  <c r="AE4" i="47" a="1"/>
  <c r="AE4" i="47" s="1"/>
  <c r="AE25" i="47" a="1"/>
  <c r="AE25" i="47" s="1"/>
  <c r="AE23" i="47" a="1"/>
  <c r="AE23" i="47" s="1"/>
  <c r="AE41" i="47" a="1"/>
  <c r="AE41" i="47" s="1"/>
  <c r="AE6" i="47" a="1"/>
  <c r="AE6" i="47" s="1"/>
  <c r="AE21" i="47" a="1"/>
  <c r="AE21" i="47" s="1"/>
  <c r="AE20" i="47" a="1"/>
  <c r="AE20" i="47" s="1"/>
  <c r="AE45" i="47" a="1"/>
  <c r="AE45" i="47" s="1"/>
  <c r="AE30" i="47" a="1"/>
  <c r="AE30" i="47" s="1"/>
  <c r="AE40" i="47" a="1"/>
  <c r="AE40" i="47" s="1"/>
  <c r="AE31" i="47" a="1"/>
  <c r="AE31" i="47" s="1"/>
  <c r="AE44" i="47" a="1"/>
  <c r="AE44" i="47" s="1"/>
  <c r="AE29" i="47" a="1"/>
  <c r="AE29" i="47" s="1"/>
  <c r="AE37" i="47" a="1"/>
  <c r="AE37" i="47" s="1"/>
  <c r="AE13" i="47" a="1"/>
  <c r="AE13" i="47" s="1"/>
  <c r="AE36" i="47" a="1"/>
  <c r="AE36" i="47" s="1"/>
  <c r="AE18" i="47" a="1"/>
  <c r="AE18" i="47" s="1"/>
  <c r="AE35" i="47" a="1"/>
  <c r="AE35" i="47" s="1"/>
  <c r="AE38" i="47" a="1"/>
  <c r="AE38" i="47" s="1"/>
  <c r="AE17" i="47" a="1"/>
  <c r="AE17" i="47" s="1"/>
  <c r="AE42" i="47" a="1"/>
  <c r="AE42" i="47" s="1"/>
  <c r="AE27" i="47" a="1"/>
  <c r="AE27" i="47" s="1"/>
  <c r="AF1" i="47" a="1"/>
  <c r="AF1" i="47" s="1"/>
  <c r="AF39" i="47" s="1" a="1"/>
  <c r="AF39" i="47" s="1"/>
  <c r="AE16" i="47" a="1"/>
  <c r="AE16" i="47" s="1"/>
  <c r="AE11" i="47" a="1"/>
  <c r="AE11" i="47" s="1"/>
  <c r="AE5" i="47" a="1"/>
  <c r="AE5" i="47" s="1"/>
  <c r="AE43" i="47" a="1"/>
  <c r="AE43" i="47" s="1"/>
  <c r="AE28" i="47" a="1"/>
  <c r="AE28" i="47" s="1"/>
  <c r="AE48" i="47" a="1"/>
  <c r="AE48" i="47" s="1"/>
  <c r="AE26" i="47" a="1"/>
  <c r="AE26" i="47" s="1"/>
  <c r="AG50" i="48" a="1"/>
  <c r="AG50" i="48" s="1"/>
  <c r="AG46" i="48" a="1"/>
  <c r="AG46" i="48" s="1"/>
  <c r="AG41" i="48" a="1"/>
  <c r="AG41" i="48" s="1"/>
  <c r="AG37" i="48" a="1"/>
  <c r="AG37" i="48" s="1"/>
  <c r="AG36" i="48" a="1"/>
  <c r="AG36" i="48" s="1"/>
  <c r="AG28" i="48" a="1"/>
  <c r="AG28" i="48" s="1"/>
  <c r="AG26" i="48" a="1"/>
  <c r="AG26" i="48" s="1"/>
  <c r="AG21" i="48" a="1"/>
  <c r="AG21" i="48" s="1"/>
  <c r="AG17" i="48" a="1"/>
  <c r="AG17" i="48" s="1"/>
  <c r="AG12" i="48" a="1"/>
  <c r="AG12" i="48" s="1"/>
  <c r="AG11" i="48" a="1"/>
  <c r="AG11" i="48" s="1"/>
  <c r="AG5" i="48" a="1"/>
  <c r="AG5" i="48" s="1"/>
  <c r="AG49" i="48" a="1"/>
  <c r="AG49" i="48" s="1"/>
  <c r="AG43" i="48" a="1"/>
  <c r="AG43" i="48" s="1"/>
  <c r="AG42" i="48" a="1"/>
  <c r="AG42" i="48" s="1"/>
  <c r="AG39" i="48" a="1"/>
  <c r="AG39" i="48" s="1"/>
  <c r="AG30" i="48" a="1"/>
  <c r="AG30" i="48" s="1"/>
  <c r="AG33" i="48" a="1"/>
  <c r="AG33" i="48" s="1"/>
  <c r="AG27" i="48" a="1"/>
  <c r="AG27" i="48" s="1"/>
  <c r="AG22" i="48" a="1"/>
  <c r="AG22" i="48" s="1"/>
  <c r="AG16" i="48" a="1"/>
  <c r="AG16" i="48" s="1"/>
  <c r="AG10" i="48" a="1"/>
  <c r="AG10" i="48" s="1"/>
  <c r="AG9" i="48" a="1"/>
  <c r="AG9" i="48" s="1"/>
  <c r="AG6" i="48" a="1"/>
  <c r="AG6" i="48" s="1"/>
  <c r="AG51" i="48" a="1"/>
  <c r="AG51" i="48" s="1"/>
  <c r="AG47" i="48" a="1"/>
  <c r="AG47" i="48" s="1"/>
  <c r="AG45" i="48" a="1"/>
  <c r="AG45" i="48" s="1"/>
  <c r="AG38" i="48" a="1"/>
  <c r="AG38" i="48" s="1"/>
  <c r="AG34" i="48" a="1"/>
  <c r="AG34" i="48" s="1"/>
  <c r="AG31" i="48" a="1"/>
  <c r="AG31" i="48" s="1"/>
  <c r="AG25" i="48" a="1"/>
  <c r="AG25" i="48" s="1"/>
  <c r="AG24" i="48" a="1"/>
  <c r="AG24" i="48" s="1"/>
  <c r="AG19" i="48" a="1"/>
  <c r="AG19" i="48" s="1"/>
  <c r="AG14" i="48" a="1"/>
  <c r="AG14" i="48" s="1"/>
  <c r="AG13" i="48" a="1"/>
  <c r="AG13" i="48" s="1"/>
  <c r="AG7" i="48" a="1"/>
  <c r="AG7" i="48" s="1"/>
  <c r="AG35" i="48" a="1"/>
  <c r="AG35" i="48" s="1"/>
  <c r="AG23" i="48" a="1"/>
  <c r="AG23" i="48" s="1"/>
  <c r="AG44" i="48" a="1"/>
  <c r="AG44" i="48" s="1"/>
  <c r="AG15" i="48" a="1"/>
  <c r="AG15" i="48" s="1"/>
  <c r="AG32" i="48" a="1"/>
  <c r="AG32" i="48" s="1"/>
  <c r="AG29" i="48" a="1"/>
  <c r="AG29" i="48" s="1"/>
  <c r="AG20" i="48" a="1"/>
  <c r="AG20" i="48" s="1"/>
  <c r="AG48" i="48" a="1"/>
  <c r="AG48" i="48" s="1"/>
  <c r="AG18" i="48" a="1"/>
  <c r="AG18" i="48" s="1"/>
  <c r="AG40" i="48" a="1"/>
  <c r="AG40" i="48" s="1"/>
  <c r="AG8" i="48" a="1"/>
  <c r="AG8" i="48" s="1"/>
  <c r="AG2" i="48" a="1"/>
  <c r="AG2" i="48" s="1"/>
  <c r="AG3" i="48" a="1"/>
  <c r="AG3" i="48" s="1"/>
  <c r="AG4" i="48" a="1"/>
  <c r="AG4" i="48" s="1"/>
  <c r="AH1" i="48" a="1"/>
  <c r="AH1" i="48" s="1"/>
  <c r="AF7" i="47" l="1" a="1"/>
  <c r="AF7" i="47" s="1"/>
  <c r="AF32" i="47" a="1"/>
  <c r="AF32" i="47" s="1"/>
  <c r="AF3" i="47" a="1"/>
  <c r="AF3" i="47" s="1"/>
  <c r="AF8" i="47" a="1"/>
  <c r="AF8" i="47" s="1"/>
  <c r="AF38" i="47" a="1"/>
  <c r="AF38" i="47" s="1"/>
  <c r="AF31" i="47" a="1"/>
  <c r="AF31" i="47" s="1"/>
  <c r="AF34" i="47" a="1"/>
  <c r="AF34" i="47" s="1"/>
  <c r="AF45" i="47" a="1"/>
  <c r="AF45" i="47" s="1"/>
  <c r="AF25" i="47" a="1"/>
  <c r="AF25" i="47" s="1"/>
  <c r="AF44" i="47" a="1"/>
  <c r="AF44" i="47" s="1"/>
  <c r="AF50" i="47" a="1"/>
  <c r="AF50" i="47" s="1"/>
  <c r="AF5" i="47" a="1"/>
  <c r="AF5" i="47" s="1"/>
  <c r="AF48" i="47" a="1"/>
  <c r="AF48" i="47" s="1"/>
  <c r="AF40" i="47" a="1"/>
  <c r="AF40" i="47" s="1"/>
  <c r="AF23" i="47" a="1"/>
  <c r="AF23" i="47" s="1"/>
  <c r="AF13" i="47" a="1"/>
  <c r="AF13" i="47" s="1"/>
  <c r="AF15" i="47" a="1"/>
  <c r="AF15" i="47" s="1"/>
  <c r="AF6" i="47" a="1"/>
  <c r="AF6" i="47" s="1"/>
  <c r="AF30" i="47" a="1"/>
  <c r="AF30" i="47" s="1"/>
  <c r="AF11" i="47" a="1"/>
  <c r="AF11" i="47" s="1"/>
  <c r="AF41" i="47" a="1"/>
  <c r="AF41" i="47" s="1"/>
  <c r="AF12" i="47" a="1"/>
  <c r="AF12" i="47" s="1"/>
  <c r="AF43" i="47" a="1"/>
  <c r="AF43" i="47" s="1"/>
  <c r="AF4" i="47" a="1"/>
  <c r="AF4" i="47" s="1"/>
  <c r="AF33" i="47" a="1"/>
  <c r="AF33" i="47" s="1"/>
  <c r="AF2" i="47" a="1"/>
  <c r="AF2" i="47" s="1"/>
  <c r="AF35" i="47" a="1"/>
  <c r="AF35" i="47" s="1"/>
  <c r="AF46" i="47" a="1"/>
  <c r="AF46" i="47" s="1"/>
  <c r="AF17" i="47" a="1"/>
  <c r="AF17" i="47" s="1"/>
  <c r="AF18" i="47" a="1"/>
  <c r="AF18" i="47" s="1"/>
  <c r="AF36" i="47" a="1"/>
  <c r="AF36" i="47" s="1"/>
  <c r="AF16" i="47" a="1"/>
  <c r="AF16" i="47" s="1"/>
  <c r="AF47" i="47" a="1"/>
  <c r="AF47" i="47" s="1"/>
  <c r="AF20" i="47" a="1"/>
  <c r="AF20" i="47" s="1"/>
  <c r="AG1" i="47" a="1"/>
  <c r="AG1" i="47" s="1"/>
  <c r="AG36" i="47" s="1" a="1"/>
  <c r="AG36" i="47" s="1"/>
  <c r="AF29" i="47" a="1"/>
  <c r="AF29" i="47" s="1"/>
  <c r="AF26" i="47" a="1"/>
  <c r="AF26" i="47" s="1"/>
  <c r="AF19" i="47" a="1"/>
  <c r="AF19" i="47" s="1"/>
  <c r="AF49" i="47" a="1"/>
  <c r="AF49" i="47" s="1"/>
  <c r="AF14" i="47" a="1"/>
  <c r="AF14" i="47" s="1"/>
  <c r="AF21" i="47" a="1"/>
  <c r="AF21" i="47" s="1"/>
  <c r="AF24" i="47" a="1"/>
  <c r="AF24" i="47" s="1"/>
  <c r="AF9" i="47" a="1"/>
  <c r="AF9" i="47" s="1"/>
  <c r="AF42" i="47" a="1"/>
  <c r="AF42" i="47" s="1"/>
  <c r="AF27" i="47" a="1"/>
  <c r="AF27" i="47" s="1"/>
  <c r="AF28" i="47" a="1"/>
  <c r="AF28" i="47" s="1"/>
  <c r="AF22" i="47" a="1"/>
  <c r="AF22" i="47" s="1"/>
  <c r="AF10" i="47" a="1"/>
  <c r="AF10" i="47" s="1"/>
  <c r="AF37" i="47" a="1"/>
  <c r="AF37" i="47" s="1"/>
  <c r="AH50" i="48" a="1"/>
  <c r="AH50" i="48" s="1"/>
  <c r="AH47" i="48" a="1"/>
  <c r="AH47" i="48" s="1"/>
  <c r="AH42" i="48" a="1"/>
  <c r="AH42" i="48" s="1"/>
  <c r="AH37" i="48" a="1"/>
  <c r="AH37" i="48" s="1"/>
  <c r="AH36" i="48" a="1"/>
  <c r="AH36" i="48" s="1"/>
  <c r="AH33" i="48" a="1"/>
  <c r="AH33" i="48" s="1"/>
  <c r="AH27" i="48" a="1"/>
  <c r="AH27" i="48" s="1"/>
  <c r="AH22" i="48" a="1"/>
  <c r="AH22" i="48" s="1"/>
  <c r="AH17" i="48" a="1"/>
  <c r="AH17" i="48" s="1"/>
  <c r="AH12" i="48" a="1"/>
  <c r="AH12" i="48" s="1"/>
  <c r="AH13" i="48" a="1"/>
  <c r="AH13" i="48" s="1"/>
  <c r="AH6" i="48" a="1"/>
  <c r="AH6" i="48" s="1"/>
  <c r="AH49" i="48" a="1"/>
  <c r="AH49" i="48" s="1"/>
  <c r="AH43" i="48" a="1"/>
  <c r="AH43" i="48" s="1"/>
  <c r="AH41" i="48" a="1"/>
  <c r="AH41" i="48" s="1"/>
  <c r="AH39" i="48" a="1"/>
  <c r="AH39" i="48" s="1"/>
  <c r="AH32" i="48" a="1"/>
  <c r="AH32" i="48" s="1"/>
  <c r="AH30" i="48" a="1"/>
  <c r="AH30" i="48" s="1"/>
  <c r="AH23" i="48" a="1"/>
  <c r="AH23" i="48" s="1"/>
  <c r="AH21" i="48" a="1"/>
  <c r="AH21" i="48" s="1"/>
  <c r="AH16" i="48" a="1"/>
  <c r="AH16" i="48" s="1"/>
  <c r="AH10" i="48" a="1"/>
  <c r="AH10" i="48" s="1"/>
  <c r="AH11" i="48" a="1"/>
  <c r="AH11" i="48" s="1"/>
  <c r="AH7" i="48" a="1"/>
  <c r="AH7" i="48" s="1"/>
  <c r="AH51" i="48" a="1"/>
  <c r="AH51" i="48" s="1"/>
  <c r="AH46" i="48" a="1"/>
  <c r="AH46" i="48" s="1"/>
  <c r="AH45" i="48" a="1"/>
  <c r="AH45" i="48" s="1"/>
  <c r="AH38" i="48" a="1"/>
  <c r="AH38" i="48" s="1"/>
  <c r="AH34" i="48" a="1"/>
  <c r="AH34" i="48" s="1"/>
  <c r="AH29" i="48" a="1"/>
  <c r="AH29" i="48" s="1"/>
  <c r="AH26" i="48" a="1"/>
  <c r="AH26" i="48" s="1"/>
  <c r="AH25" i="48" a="1"/>
  <c r="AH25" i="48" s="1"/>
  <c r="AH19" i="48" a="1"/>
  <c r="AH19" i="48" s="1"/>
  <c r="AH14" i="48" a="1"/>
  <c r="AH14" i="48" s="1"/>
  <c r="AH15" i="48" a="1"/>
  <c r="AH15" i="48" s="1"/>
  <c r="AH5" i="48" a="1"/>
  <c r="AH5" i="48" s="1"/>
  <c r="AH20" i="48" a="1"/>
  <c r="AH20" i="48" s="1"/>
  <c r="AH40" i="48" a="1"/>
  <c r="AH40" i="48" s="1"/>
  <c r="AH8" i="48" a="1"/>
  <c r="AH8" i="48" s="1"/>
  <c r="AH31" i="48" a="1"/>
  <c r="AH31" i="48" s="1"/>
  <c r="AH48" i="48" a="1"/>
  <c r="AH48" i="48" s="1"/>
  <c r="AH18" i="48" a="1"/>
  <c r="AH18" i="48" s="1"/>
  <c r="AH44" i="48" a="1"/>
  <c r="AH44" i="48" s="1"/>
  <c r="AH9" i="48" a="1"/>
  <c r="AH9" i="48" s="1"/>
  <c r="AH35" i="48" a="1"/>
  <c r="AH35" i="48" s="1"/>
  <c r="AH24" i="48" a="1"/>
  <c r="AH24" i="48" s="1"/>
  <c r="AH28" i="48" a="1"/>
  <c r="AH28" i="48" s="1"/>
  <c r="AH3" i="48" a="1"/>
  <c r="AH3" i="48" s="1"/>
  <c r="AH4" i="48" a="1"/>
  <c r="AH4" i="48" s="1"/>
  <c r="AH2" i="48" a="1"/>
  <c r="AH2" i="48" s="1"/>
  <c r="AI1" i="48" a="1"/>
  <c r="AI1" i="48" s="1"/>
  <c r="AG39" i="47" l="1" a="1"/>
  <c r="AG39" i="47" s="1"/>
  <c r="AG34" i="47" a="1"/>
  <c r="AG34" i="47" s="1"/>
  <c r="AG20" i="47" a="1"/>
  <c r="AG20" i="47" s="1"/>
  <c r="AG13" i="47" a="1"/>
  <c r="AG13" i="47" s="1"/>
  <c r="AG37" i="47" a="1"/>
  <c r="AG37" i="47" s="1"/>
  <c r="AG4" i="47" a="1"/>
  <c r="AG4" i="47" s="1"/>
  <c r="AG48" i="47" a="1"/>
  <c r="AG48" i="47" s="1"/>
  <c r="AG42" i="47" a="1"/>
  <c r="AG42" i="47" s="1"/>
  <c r="AG21" i="47" a="1"/>
  <c r="AG21" i="47" s="1"/>
  <c r="AG40" i="47" a="1"/>
  <c r="AG40" i="47" s="1"/>
  <c r="AG9" i="47" a="1"/>
  <c r="AG9" i="47" s="1"/>
  <c r="AG14" i="47" a="1"/>
  <c r="AG14" i="47" s="1"/>
  <c r="AG22" i="47" a="1"/>
  <c r="AG22" i="47" s="1"/>
  <c r="AG50" i="47" a="1"/>
  <c r="AG50" i="47" s="1"/>
  <c r="AG49" i="47" a="1"/>
  <c r="AG49" i="47" s="1"/>
  <c r="AG43" i="47" a="1"/>
  <c r="AG43" i="47" s="1"/>
  <c r="AG8" i="47" a="1"/>
  <c r="AG8" i="47" s="1"/>
  <c r="AG5" i="47" a="1"/>
  <c r="AG5" i="47" s="1"/>
  <c r="AG44" i="47" a="1"/>
  <c r="AG44" i="47" s="1"/>
  <c r="AG45" i="47" a="1"/>
  <c r="AG45" i="47" s="1"/>
  <c r="AG28" i="47" a="1"/>
  <c r="AG28" i="47" s="1"/>
  <c r="AG17" i="47" a="1"/>
  <c r="AG17" i="47" s="1"/>
  <c r="AG23" i="47" a="1"/>
  <c r="AG23" i="47" s="1"/>
  <c r="AG26" i="47" a="1"/>
  <c r="AG26" i="47" s="1"/>
  <c r="AG35" i="47" a="1"/>
  <c r="AG35" i="47" s="1"/>
  <c r="AG7" i="47" a="1"/>
  <c r="AG7" i="47" s="1"/>
  <c r="AG12" i="47" a="1"/>
  <c r="AG12" i="47" s="1"/>
  <c r="AG27" i="47" a="1"/>
  <c r="AG27" i="47" s="1"/>
  <c r="AG18" i="47" a="1"/>
  <c r="AG18" i="47" s="1"/>
  <c r="AG38" i="47" a="1"/>
  <c r="AG38" i="47" s="1"/>
  <c r="AG41" i="47" a="1"/>
  <c r="AG41" i="47" s="1"/>
  <c r="AG25" i="47" a="1"/>
  <c r="AG25" i="47" s="1"/>
  <c r="AG11" i="47" a="1"/>
  <c r="AG11" i="47" s="1"/>
  <c r="AG10" i="47" a="1"/>
  <c r="AG10" i="47" s="1"/>
  <c r="AG24" i="47" a="1"/>
  <c r="AG24" i="47" s="1"/>
  <c r="AG47" i="47" a="1"/>
  <c r="AG47" i="47" s="1"/>
  <c r="AG19" i="47" a="1"/>
  <c r="AG19" i="47" s="1"/>
  <c r="AG31" i="47" a="1"/>
  <c r="AG31" i="47" s="1"/>
  <c r="AG6" i="47" a="1"/>
  <c r="AG6" i="47" s="1"/>
  <c r="AG32" i="47" a="1"/>
  <c r="AG32" i="47" s="1"/>
  <c r="AG30" i="47" a="1"/>
  <c r="AG30" i="47" s="1"/>
  <c r="AG3" i="47" a="1"/>
  <c r="AG3" i="47" s="1"/>
  <c r="AG29" i="47" a="1"/>
  <c r="AG29" i="47" s="1"/>
  <c r="AG33" i="47" a="1"/>
  <c r="AG33" i="47" s="1"/>
  <c r="AG16" i="47" a="1"/>
  <c r="AG16" i="47" s="1"/>
  <c r="AG46" i="47" a="1"/>
  <c r="AG46" i="47" s="1"/>
  <c r="AG2" i="47" a="1"/>
  <c r="AG2" i="47" s="1"/>
  <c r="AG15" i="47" a="1"/>
  <c r="AG15" i="47" s="1"/>
  <c r="AI50" i="48" a="1"/>
  <c r="AI50" i="48" s="1"/>
  <c r="AI46" i="48" a="1"/>
  <c r="AI46" i="48" s="1"/>
  <c r="AI41" i="48" a="1"/>
  <c r="AI41" i="48" s="1"/>
  <c r="AI38" i="48" a="1"/>
  <c r="AI38" i="48" s="1"/>
  <c r="AI48" i="48" a="1"/>
  <c r="AI48" i="48" s="1"/>
  <c r="AI45" i="48" a="1"/>
  <c r="AI45" i="48" s="1"/>
  <c r="AI42" i="48" a="1"/>
  <c r="AI42" i="48" s="1"/>
  <c r="AI37" i="48" a="1"/>
  <c r="AI37" i="48" s="1"/>
  <c r="AI29" i="48" a="1"/>
  <c r="AI29" i="48" s="1"/>
  <c r="AI32" i="48" a="1"/>
  <c r="AI32" i="48" s="1"/>
  <c r="AI26" i="48" a="1"/>
  <c r="AI26" i="48" s="1"/>
  <c r="AI22" i="48" a="1"/>
  <c r="AI22" i="48" s="1"/>
  <c r="AI16" i="48" a="1"/>
  <c r="AI16" i="48" s="1"/>
  <c r="AI11" i="48" a="1"/>
  <c r="AI11" i="48" s="1"/>
  <c r="AI9" i="48" a="1"/>
  <c r="AI9" i="48" s="1"/>
  <c r="AI5" i="48" a="1"/>
  <c r="AI5" i="48" s="1"/>
  <c r="AI51" i="48" a="1"/>
  <c r="AI51" i="48" s="1"/>
  <c r="AI47" i="48" a="1"/>
  <c r="AI47" i="48" s="1"/>
  <c r="AI44" i="48" a="1"/>
  <c r="AI44" i="48" s="1"/>
  <c r="AI40" i="48" a="1"/>
  <c r="AI40" i="48" s="1"/>
  <c r="AI35" i="48" a="1"/>
  <c r="AI35" i="48" s="1"/>
  <c r="AI30" i="48" a="1"/>
  <c r="AI30" i="48" s="1"/>
  <c r="AI24" i="48" a="1"/>
  <c r="AI24" i="48" s="1"/>
  <c r="AI23" i="48" a="1"/>
  <c r="AI23" i="48" s="1"/>
  <c r="AI18" i="48" a="1"/>
  <c r="AI18" i="48" s="1"/>
  <c r="AI15" i="48" a="1"/>
  <c r="AI15" i="48" s="1"/>
  <c r="AI12" i="48" a="1"/>
  <c r="AI12" i="48" s="1"/>
  <c r="AI6" i="48" a="1"/>
  <c r="AI6" i="48" s="1"/>
  <c r="AI36" i="48" a="1"/>
  <c r="AI36" i="48" s="1"/>
  <c r="AI28" i="48" a="1"/>
  <c r="AI28" i="48" s="1"/>
  <c r="AI20" i="48" a="1"/>
  <c r="AI20" i="48" s="1"/>
  <c r="AI14" i="48" a="1"/>
  <c r="AI14" i="48" s="1"/>
  <c r="AI43" i="48" a="1"/>
  <c r="AI43" i="48" s="1"/>
  <c r="AI34" i="48" a="1"/>
  <c r="AI34" i="48" s="1"/>
  <c r="AI25" i="48" a="1"/>
  <c r="AI25" i="48" s="1"/>
  <c r="AI17" i="48" a="1"/>
  <c r="AI17" i="48" s="1"/>
  <c r="AI10" i="48" a="1"/>
  <c r="AI10" i="48" s="1"/>
  <c r="AI33" i="48" a="1"/>
  <c r="AI33" i="48" s="1"/>
  <c r="AI13" i="48" a="1"/>
  <c r="AI13" i="48" s="1"/>
  <c r="AI8" i="48" a="1"/>
  <c r="AI8" i="48" s="1"/>
  <c r="AI31" i="48" a="1"/>
  <c r="AI31" i="48" s="1"/>
  <c r="AI21" i="48" a="1"/>
  <c r="AI21" i="48" s="1"/>
  <c r="AI49" i="48" a="1"/>
  <c r="AI49" i="48" s="1"/>
  <c r="AI39" i="48" a="1"/>
  <c r="AI39" i="48" s="1"/>
  <c r="AI19" i="48" a="1"/>
  <c r="AI19" i="48" s="1"/>
  <c r="AI27" i="48" a="1"/>
  <c r="AI27" i="48" s="1"/>
  <c r="AI7" i="48" a="1"/>
  <c r="AI7" i="48" s="1"/>
  <c r="AI2" i="48" a="1"/>
  <c r="AI2" i="48" s="1"/>
  <c r="AI3" i="48" a="1"/>
  <c r="AI3" i="48" s="1"/>
  <c r="AI4" i="48" a="1"/>
  <c r="AI4" i="48" s="1"/>
  <c r="AJ1" i="48" a="1"/>
  <c r="AJ1" i="48" s="1"/>
  <c r="AJ49" i="48" l="1" a="1"/>
  <c r="AJ49" i="48" s="1"/>
  <c r="AJ43" i="48" a="1"/>
  <c r="AJ43" i="48" s="1"/>
  <c r="AJ41" i="48" a="1"/>
  <c r="AJ41" i="48" s="1"/>
  <c r="AJ37" i="48" a="1"/>
  <c r="AJ37" i="48" s="1"/>
  <c r="AJ33" i="48" a="1"/>
  <c r="AJ33" i="48" s="1"/>
  <c r="AJ29" i="48" a="1"/>
  <c r="AJ29" i="48" s="1"/>
  <c r="AJ27" i="48" a="1"/>
  <c r="AJ27" i="48" s="1"/>
  <c r="AJ21" i="48" a="1"/>
  <c r="AJ21" i="48" s="1"/>
  <c r="AJ16" i="48" a="1"/>
  <c r="AJ16" i="48" s="1"/>
  <c r="AJ11" i="48" a="1"/>
  <c r="AJ11" i="48" s="1"/>
  <c r="AJ12" i="48" a="1"/>
  <c r="AJ12" i="48" s="1"/>
  <c r="AJ6" i="48" a="1"/>
  <c r="AJ6" i="48" s="1"/>
  <c r="AJ50" i="48" a="1"/>
  <c r="AJ50" i="48" s="1"/>
  <c r="AJ47" i="48" a="1"/>
  <c r="AJ47" i="48" s="1"/>
  <c r="AJ45" i="48" a="1"/>
  <c r="AJ45" i="48" s="1"/>
  <c r="AJ40" i="48" a="1"/>
  <c r="AJ40" i="48" s="1"/>
  <c r="AJ35" i="48" a="1"/>
  <c r="AJ35" i="48" s="1"/>
  <c r="AJ28" i="48" a="1"/>
  <c r="AJ28" i="48" s="1"/>
  <c r="AJ25" i="48" a="1"/>
  <c r="AJ25" i="48" s="1"/>
  <c r="AJ24" i="48" a="1"/>
  <c r="AJ24" i="48" s="1"/>
  <c r="AJ18" i="48" a="1"/>
  <c r="AJ18" i="48" s="1"/>
  <c r="AJ15" i="48" a="1"/>
  <c r="AJ15" i="48" s="1"/>
  <c r="AJ8" i="48" a="1"/>
  <c r="AJ8" i="48" s="1"/>
  <c r="AJ7" i="48" a="1"/>
  <c r="AJ7" i="48" s="1"/>
  <c r="AJ44" i="48" a="1"/>
  <c r="AJ44" i="48" s="1"/>
  <c r="AJ36" i="48" a="1"/>
  <c r="AJ36" i="48" s="1"/>
  <c r="AJ30" i="48" a="1"/>
  <c r="AJ30" i="48" s="1"/>
  <c r="AJ20" i="48" a="1"/>
  <c r="AJ20" i="48" s="1"/>
  <c r="AJ9" i="48" a="1"/>
  <c r="AJ9" i="48" s="1"/>
  <c r="AJ51" i="48" a="1"/>
  <c r="AJ51" i="48" s="1"/>
  <c r="AJ42" i="48" a="1"/>
  <c r="AJ42" i="48" s="1"/>
  <c r="AJ34" i="48" a="1"/>
  <c r="AJ34" i="48" s="1"/>
  <c r="AJ26" i="48" a="1"/>
  <c r="AJ26" i="48" s="1"/>
  <c r="AJ17" i="48" a="1"/>
  <c r="AJ17" i="48" s="1"/>
  <c r="AJ14" i="48" a="1"/>
  <c r="AJ14" i="48" s="1"/>
  <c r="AJ39" i="48" a="1"/>
  <c r="AJ39" i="48" s="1"/>
  <c r="AJ22" i="48" a="1"/>
  <c r="AJ22" i="48" s="1"/>
  <c r="AJ19" i="48" a="1"/>
  <c r="AJ19" i="48" s="1"/>
  <c r="AJ38" i="48" a="1"/>
  <c r="AJ38" i="48" s="1"/>
  <c r="AJ31" i="48" a="1"/>
  <c r="AJ31" i="48" s="1"/>
  <c r="AJ13" i="48" a="1"/>
  <c r="AJ13" i="48" s="1"/>
  <c r="AJ23" i="48" a="1"/>
  <c r="AJ23" i="48" s="1"/>
  <c r="AJ5" i="48" a="1"/>
  <c r="AJ5" i="48" s="1"/>
  <c r="AJ48" i="48" a="1"/>
  <c r="AJ48" i="48" s="1"/>
  <c r="AJ46" i="48" a="1"/>
  <c r="AJ46" i="48" s="1"/>
  <c r="AJ32" i="48" a="1"/>
  <c r="AJ32" i="48" s="1"/>
  <c r="AJ10" i="48" a="1"/>
  <c r="AJ10" i="48" s="1"/>
  <c r="AJ4" i="48" a="1"/>
  <c r="AJ4" i="48" s="1"/>
  <c r="AJ3" i="48" a="1"/>
  <c r="AJ3" i="48" s="1"/>
  <c r="AJ2" i="48" a="1"/>
  <c r="AJ2" i="48" s="1"/>
  <c r="AK1" i="48" a="1"/>
  <c r="AK1" i="48" s="1"/>
  <c r="AK49" i="48" l="1" a="1"/>
  <c r="AK49" i="48" s="1"/>
  <c r="AK44" i="48" a="1"/>
  <c r="AK44" i="48" s="1"/>
  <c r="AK42" i="48" a="1"/>
  <c r="AK42" i="48" s="1"/>
  <c r="AK39" i="48" a="1"/>
  <c r="AK39" i="48" s="1"/>
  <c r="AK28" i="48" a="1"/>
  <c r="AK28" i="48" s="1"/>
  <c r="AK51" i="48" a="1"/>
  <c r="AK51" i="48" s="1"/>
  <c r="AK46" i="48" a="1"/>
  <c r="AK46" i="48" s="1"/>
  <c r="AK43" i="48" a="1"/>
  <c r="AK43" i="48" s="1"/>
  <c r="AK40" i="48" a="1"/>
  <c r="AK40" i="48" s="1"/>
  <c r="AK35" i="48" a="1"/>
  <c r="AK35" i="48" s="1"/>
  <c r="AK29" i="48" a="1"/>
  <c r="AK29" i="48" s="1"/>
  <c r="AK27" i="48" a="1"/>
  <c r="AK27" i="48" s="1"/>
  <c r="AK26" i="48" a="1"/>
  <c r="AK26" i="48" s="1"/>
  <c r="AK19" i="48" a="1"/>
  <c r="AK19" i="48" s="1"/>
  <c r="AK14" i="48" a="1"/>
  <c r="AK14" i="48" s="1"/>
  <c r="AK13" i="48" a="1"/>
  <c r="AK13" i="48" s="1"/>
  <c r="AK7" i="48" a="1"/>
  <c r="AK7" i="48" s="1"/>
  <c r="AK45" i="48" a="1"/>
  <c r="AK45" i="48" s="1"/>
  <c r="AK36" i="48" a="1"/>
  <c r="AK36" i="48" s="1"/>
  <c r="AK33" i="48" a="1"/>
  <c r="AK33" i="48" s="1"/>
  <c r="AK18" i="48" a="1"/>
  <c r="AK18" i="48" s="1"/>
  <c r="AK11" i="48" a="1"/>
  <c r="AK11" i="48" s="1"/>
  <c r="AK31" i="48" a="1"/>
  <c r="AK31" i="48" s="1"/>
  <c r="AK21" i="48" a="1"/>
  <c r="AK21" i="48" s="1"/>
  <c r="AK9" i="48" a="1"/>
  <c r="AK9" i="48" s="1"/>
  <c r="AK22" i="48" a="1"/>
  <c r="AK22" i="48" s="1"/>
  <c r="AK8" i="48" a="1"/>
  <c r="AK8" i="48" s="1"/>
  <c r="AK50" i="48" a="1"/>
  <c r="AK50" i="48" s="1"/>
  <c r="AK41" i="48" a="1"/>
  <c r="AK41" i="48" s="1"/>
  <c r="AK34" i="48" a="1"/>
  <c r="AK34" i="48" s="1"/>
  <c r="AK20" i="48" a="1"/>
  <c r="AK20" i="48" s="1"/>
  <c r="AK12" i="48" a="1"/>
  <c r="AK12" i="48" s="1"/>
  <c r="AK25" i="48" a="1"/>
  <c r="AK25" i="48" s="1"/>
  <c r="AK17" i="48" a="1"/>
  <c r="AK17" i="48" s="1"/>
  <c r="AK23" i="48" a="1"/>
  <c r="AK23" i="48" s="1"/>
  <c r="AK47" i="48" a="1"/>
  <c r="AK47" i="48" s="1"/>
  <c r="AK24" i="48" a="1"/>
  <c r="AK24" i="48" s="1"/>
  <c r="AK37" i="48" a="1"/>
  <c r="AK37" i="48" s="1"/>
  <c r="AK6" i="48" a="1"/>
  <c r="AK6" i="48" s="1"/>
  <c r="AK10" i="48" a="1"/>
  <c r="AK10" i="48" s="1"/>
  <c r="AK38" i="48" a="1"/>
  <c r="AK38" i="48" s="1"/>
  <c r="AK32" i="48" a="1"/>
  <c r="AK32" i="48" s="1"/>
  <c r="AK30" i="48" a="1"/>
  <c r="AK30" i="48" s="1"/>
  <c r="AK15" i="48" a="1"/>
  <c r="AK15" i="48" s="1"/>
  <c r="AK48" i="48" a="1"/>
  <c r="AK48" i="48" s="1"/>
  <c r="AK16" i="48" a="1"/>
  <c r="AK16" i="48" s="1"/>
  <c r="AK5" i="48" a="1"/>
  <c r="AK5" i="48" s="1"/>
  <c r="AK3" i="48" a="1"/>
  <c r="AK3" i="48" s="1"/>
  <c r="AK4" i="48" a="1"/>
  <c r="AK4" i="48" s="1"/>
  <c r="AK2" i="48" a="1"/>
  <c r="AK2" i="48" s="1"/>
  <c r="AL1" i="48" a="1"/>
  <c r="AL1" i="48" s="1"/>
  <c r="AL50" i="48" l="1" a="1"/>
  <c r="AL50" i="48" s="1"/>
  <c r="AL45" i="48" a="1"/>
  <c r="AL45" i="48" s="1"/>
  <c r="AL38" i="48" a="1"/>
  <c r="AL38" i="48" s="1"/>
  <c r="AL34" i="48" a="1"/>
  <c r="AL34" i="48" s="1"/>
  <c r="AL28" i="48" a="1"/>
  <c r="AL28" i="48" s="1"/>
  <c r="AL23" i="48" a="1"/>
  <c r="AL23" i="48" s="1"/>
  <c r="AL17" i="48" a="1"/>
  <c r="AL17" i="48" s="1"/>
  <c r="AL10" i="48" a="1"/>
  <c r="AL10" i="48" s="1"/>
  <c r="AL6" i="48" a="1"/>
  <c r="AL6" i="48" s="1"/>
  <c r="AL43" i="48" a="1"/>
  <c r="AL43" i="48" s="1"/>
  <c r="AL29" i="48" a="1"/>
  <c r="AL29" i="48" s="1"/>
  <c r="AL9" i="48" a="1"/>
  <c r="AL9" i="48" s="1"/>
  <c r="AL48" i="48" a="1"/>
  <c r="AL48" i="48" s="1"/>
  <c r="AL44" i="48" a="1"/>
  <c r="AL44" i="48" s="1"/>
  <c r="AL39" i="48" a="1"/>
  <c r="AL39" i="48" s="1"/>
  <c r="AL32" i="48" a="1"/>
  <c r="AL32" i="48" s="1"/>
  <c r="AL24" i="48" a="1"/>
  <c r="AL24" i="48" s="1"/>
  <c r="AL22" i="48" a="1"/>
  <c r="AL22" i="48" s="1"/>
  <c r="AL16" i="48" a="1"/>
  <c r="AL16" i="48" s="1"/>
  <c r="AL8" i="48" a="1"/>
  <c r="AL8" i="48" s="1"/>
  <c r="AL7" i="48" a="1"/>
  <c r="AL7" i="48" s="1"/>
  <c r="AL49" i="48" a="1"/>
  <c r="AL49" i="48" s="1"/>
  <c r="AL30" i="48" a="1"/>
  <c r="AL30" i="48" s="1"/>
  <c r="AL18" i="48" a="1"/>
  <c r="AL18" i="48" s="1"/>
  <c r="AL46" i="48" a="1"/>
  <c r="AL46" i="48" s="1"/>
  <c r="AL41" i="48" a="1"/>
  <c r="AL41" i="48" s="1"/>
  <c r="AL35" i="48" a="1"/>
  <c r="AL35" i="48" s="1"/>
  <c r="AL33" i="48" a="1"/>
  <c r="AL33" i="48" s="1"/>
  <c r="AL26" i="48" a="1"/>
  <c r="AL26" i="48" s="1"/>
  <c r="AL19" i="48" a="1"/>
  <c r="AL19" i="48" s="1"/>
  <c r="AL12" i="48" a="1"/>
  <c r="AL12" i="48" s="1"/>
  <c r="AL13" i="48" a="1"/>
  <c r="AL13" i="48" s="1"/>
  <c r="AL25" i="48" a="1"/>
  <c r="AL25" i="48" s="1"/>
  <c r="AL40" i="48" a="1"/>
  <c r="AL40" i="48" s="1"/>
  <c r="AL15" i="48" a="1"/>
  <c r="AL15" i="48" s="1"/>
  <c r="AL37" i="48" a="1"/>
  <c r="AL37" i="48" s="1"/>
  <c r="AL27" i="48" a="1"/>
  <c r="AL27" i="48" s="1"/>
  <c r="AL51" i="48" a="1"/>
  <c r="AL51" i="48" s="1"/>
  <c r="AL36" i="48" a="1"/>
  <c r="AL36" i="48" s="1"/>
  <c r="AL21" i="48" a="1"/>
  <c r="AL21" i="48" s="1"/>
  <c r="AL11" i="48" a="1"/>
  <c r="AL11" i="48" s="1"/>
  <c r="AL14" i="48" a="1"/>
  <c r="AL14" i="48" s="1"/>
  <c r="AL42" i="48" a="1"/>
  <c r="AL42" i="48" s="1"/>
  <c r="AL31" i="48" a="1"/>
  <c r="AL31" i="48" s="1"/>
  <c r="AL47" i="48" a="1"/>
  <c r="AL47" i="48" s="1"/>
  <c r="AL20" i="48" a="1"/>
  <c r="AL20" i="48" s="1"/>
  <c r="AL3" i="48" a="1"/>
  <c r="AL3" i="48" s="1"/>
  <c r="AL2" i="48" a="1"/>
  <c r="AL2" i="48" s="1"/>
  <c r="AL5" i="48" a="1"/>
  <c r="AL5" i="48" s="1"/>
  <c r="AL4" i="48" a="1"/>
  <c r="AL4" i="48" s="1"/>
  <c r="AM1" i="48" a="1"/>
  <c r="AM1" i="48" s="1"/>
  <c r="AM49" i="48" l="1" a="1"/>
  <c r="AM49" i="48" s="1"/>
  <c r="AM44" i="48" a="1"/>
  <c r="AM44" i="48" s="1"/>
  <c r="AM40" i="48" a="1"/>
  <c r="AM40" i="48" s="1"/>
  <c r="AM31" i="48" a="1"/>
  <c r="AM31" i="48" s="1"/>
  <c r="AM30" i="48" a="1"/>
  <c r="AM30" i="48" s="1"/>
  <c r="AM22" i="48" a="1"/>
  <c r="AM22" i="48" s="1"/>
  <c r="AM16" i="48" a="1"/>
  <c r="AM16" i="48" s="1"/>
  <c r="AM14" i="48" a="1"/>
  <c r="AM14" i="48" s="1"/>
  <c r="AM7" i="48" a="1"/>
  <c r="AM7" i="48" s="1"/>
  <c r="AM45" i="48" a="1"/>
  <c r="AM45" i="48" s="1"/>
  <c r="AM26" i="48" a="1"/>
  <c r="AM26" i="48" s="1"/>
  <c r="AM12" i="48" a="1"/>
  <c r="AM12" i="48" s="1"/>
  <c r="AM48" i="48" a="1"/>
  <c r="AM48" i="48" s="1"/>
  <c r="AM42" i="48" a="1"/>
  <c r="AM42" i="48" s="1"/>
  <c r="AM38" i="48" a="1"/>
  <c r="AM38" i="48" s="1"/>
  <c r="AM33" i="48" a="1"/>
  <c r="AM33" i="48" s="1"/>
  <c r="AM27" i="48" a="1"/>
  <c r="AM27" i="48" s="1"/>
  <c r="AM21" i="48" a="1"/>
  <c r="AM21" i="48" s="1"/>
  <c r="AM19" i="48" a="1"/>
  <c r="AM19" i="48" s="1"/>
  <c r="AM10" i="48" a="1"/>
  <c r="AM10" i="48" s="1"/>
  <c r="AM47" i="48" a="1"/>
  <c r="AM47" i="48" s="1"/>
  <c r="AM28" i="48" a="1"/>
  <c r="AM28" i="48" s="1"/>
  <c r="AM15" i="48" a="1"/>
  <c r="AM15" i="48" s="1"/>
  <c r="AM50" i="48" a="1"/>
  <c r="AM50" i="48" s="1"/>
  <c r="AM43" i="48" a="1"/>
  <c r="AM43" i="48" s="1"/>
  <c r="AM39" i="48" a="1"/>
  <c r="AM39" i="48" s="1"/>
  <c r="AM34" i="48" a="1"/>
  <c r="AM34" i="48" s="1"/>
  <c r="AM32" i="48" a="1"/>
  <c r="AM32" i="48" s="1"/>
  <c r="AM24" i="48" a="1"/>
  <c r="AM24" i="48" s="1"/>
  <c r="AM17" i="48" a="1"/>
  <c r="AM17" i="48" s="1"/>
  <c r="AM11" i="48" a="1"/>
  <c r="AM11" i="48" s="1"/>
  <c r="AM8" i="48" a="1"/>
  <c r="AM8" i="48" s="1"/>
  <c r="AM29" i="48" a="1"/>
  <c r="AM29" i="48" s="1"/>
  <c r="AM13" i="48" a="1"/>
  <c r="AM13" i="48" s="1"/>
  <c r="AM41" i="48" a="1"/>
  <c r="AM41" i="48" s="1"/>
  <c r="AM23" i="48" a="1"/>
  <c r="AM23" i="48" s="1"/>
  <c r="AM36" i="48" a="1"/>
  <c r="AM36" i="48" s="1"/>
  <c r="AM20" i="48" a="1"/>
  <c r="AM20" i="48" s="1"/>
  <c r="AM6" i="48" a="1"/>
  <c r="AM6" i="48" s="1"/>
  <c r="AM51" i="48" a="1"/>
  <c r="AM51" i="48" s="1"/>
  <c r="AM9" i="48" a="1"/>
  <c r="AM9" i="48" s="1"/>
  <c r="AM46" i="48" a="1"/>
  <c r="AM46" i="48" s="1"/>
  <c r="AM37" i="48" a="1"/>
  <c r="AM37" i="48" s="1"/>
  <c r="AM35" i="48" a="1"/>
  <c r="AM35" i="48" s="1"/>
  <c r="AM25" i="48" a="1"/>
  <c r="AM25" i="48" s="1"/>
  <c r="AM5" i="48" a="1"/>
  <c r="AM5" i="48" s="1"/>
  <c r="AM18" i="48" a="1"/>
  <c r="AM18" i="48" s="1"/>
  <c r="AM2" i="48" a="1"/>
  <c r="AM2" i="48" s="1"/>
  <c r="AM4" i="48" a="1"/>
  <c r="AM4" i="48" s="1"/>
  <c r="AM3" i="48" a="1"/>
  <c r="AM3" i="48" s="1"/>
  <c r="AN1" i="48" a="1"/>
  <c r="AN1" i="48" s="1"/>
  <c r="AN48" i="48" l="1" a="1"/>
  <c r="AN48" i="48" s="1"/>
  <c r="AN43" i="48" a="1"/>
  <c r="AN43" i="48" s="1"/>
  <c r="AN38" i="48" a="1"/>
  <c r="AN38" i="48" s="1"/>
  <c r="AN29" i="48" a="1"/>
  <c r="AN29" i="48" s="1"/>
  <c r="AN27" i="48" a="1"/>
  <c r="AN27" i="48" s="1"/>
  <c r="AN21" i="48" a="1"/>
  <c r="AN21" i="48" s="1"/>
  <c r="AN19" i="48" a="1"/>
  <c r="AN19" i="48" s="1"/>
  <c r="AN8" i="48" a="1"/>
  <c r="AN8" i="48" s="1"/>
  <c r="AN5" i="48" a="1"/>
  <c r="AN5" i="48" s="1"/>
  <c r="AN42" i="48" a="1"/>
  <c r="AN42" i="48" s="1"/>
  <c r="AN23" i="48" a="1"/>
  <c r="AN23" i="48" s="1"/>
  <c r="AN14" i="48" a="1"/>
  <c r="AN14" i="48" s="1"/>
  <c r="AN46" i="48" a="1"/>
  <c r="AN46" i="48" s="1"/>
  <c r="AN41" i="48" a="1"/>
  <c r="AN41" i="48" s="1"/>
  <c r="AN36" i="48" a="1"/>
  <c r="AN36" i="48" s="1"/>
  <c r="AN30" i="48" a="1"/>
  <c r="AN30" i="48" s="1"/>
  <c r="AN24" i="48" a="1"/>
  <c r="AN24" i="48" s="1"/>
  <c r="AN20" i="48" a="1"/>
  <c r="AN20" i="48" s="1"/>
  <c r="AN15" i="48" a="1"/>
  <c r="AN15" i="48" s="1"/>
  <c r="AN12" i="48" a="1"/>
  <c r="AN12" i="48" s="1"/>
  <c r="AN47" i="48" a="1"/>
  <c r="AN47" i="48" s="1"/>
  <c r="AN32" i="48" a="1"/>
  <c r="AN32" i="48" s="1"/>
  <c r="AN13" i="48" a="1"/>
  <c r="AN13" i="48" s="1"/>
  <c r="AN49" i="48" a="1"/>
  <c r="AN49" i="48" s="1"/>
  <c r="AN45" i="48" a="1"/>
  <c r="AN45" i="48" s="1"/>
  <c r="AN37" i="48" a="1"/>
  <c r="AN37" i="48" s="1"/>
  <c r="AN33" i="48" a="1"/>
  <c r="AN33" i="48" s="1"/>
  <c r="AN28" i="48" a="1"/>
  <c r="AN28" i="48" s="1"/>
  <c r="AN26" i="48" a="1"/>
  <c r="AN26" i="48" s="1"/>
  <c r="AN16" i="48" a="1"/>
  <c r="AN16" i="48" s="1"/>
  <c r="AN9" i="48" a="1"/>
  <c r="AN9" i="48" s="1"/>
  <c r="AN7" i="48" a="1"/>
  <c r="AN7" i="48" s="1"/>
  <c r="AN50" i="48" a="1"/>
  <c r="AN50" i="48" s="1"/>
  <c r="AN34" i="48" a="1"/>
  <c r="AN34" i="48" s="1"/>
  <c r="AN22" i="48" a="1"/>
  <c r="AN22" i="48" s="1"/>
  <c r="AN35" i="48" a="1"/>
  <c r="AN35" i="48" s="1"/>
  <c r="AN18" i="48" a="1"/>
  <c r="AN18" i="48" s="1"/>
  <c r="AN6" i="48" a="1"/>
  <c r="AN6" i="48" s="1"/>
  <c r="AN44" i="48" a="1"/>
  <c r="AN44" i="48" s="1"/>
  <c r="AN17" i="48" a="1"/>
  <c r="AN17" i="48" s="1"/>
  <c r="AN31" i="48" a="1"/>
  <c r="AN31" i="48" s="1"/>
  <c r="AN25" i="48" a="1"/>
  <c r="AN25" i="48" s="1"/>
  <c r="AN11" i="48" a="1"/>
  <c r="AN11" i="48" s="1"/>
  <c r="AN51" i="48" a="1"/>
  <c r="AN51" i="48" s="1"/>
  <c r="AN10" i="48" a="1"/>
  <c r="AN10" i="48" s="1"/>
  <c r="AN39" i="48" a="1"/>
  <c r="AN39" i="48" s="1"/>
  <c r="AN40" i="48" a="1"/>
  <c r="AN40" i="48" s="1"/>
  <c r="AN2" i="48" a="1"/>
  <c r="AN2" i="48" s="1"/>
  <c r="AN4" i="48" a="1"/>
  <c r="AN4" i="48" s="1"/>
  <c r="AN3" i="48" a="1"/>
  <c r="AN3" i="48" s="1"/>
  <c r="AO1" i="48" a="1"/>
  <c r="AO1" i="48" s="1"/>
  <c r="AO48" i="48" l="1" a="1"/>
  <c r="AO48" i="48" s="1"/>
  <c r="AO45" i="48" a="1"/>
  <c r="AO45" i="48" s="1"/>
  <c r="AO39" i="48" a="1"/>
  <c r="AO39" i="48" s="1"/>
  <c r="AO41" i="48" a="1"/>
  <c r="AO41" i="48" s="1"/>
  <c r="AO30" i="48" a="1"/>
  <c r="AO30" i="48" s="1"/>
  <c r="AO29" i="48" a="1"/>
  <c r="AO29" i="48" s="1"/>
  <c r="AO23" i="48" a="1"/>
  <c r="AO23" i="48" s="1"/>
  <c r="AO20" i="48" a="1"/>
  <c r="AO20" i="48" s="1"/>
  <c r="AO18" i="48" a="1"/>
  <c r="AO18" i="48" s="1"/>
  <c r="AO15" i="48" a="1"/>
  <c r="AO15" i="48" s="1"/>
  <c r="AO8" i="48" a="1"/>
  <c r="AO8" i="48" s="1"/>
  <c r="AO46" i="48" a="1"/>
  <c r="AO46" i="48" s="1"/>
  <c r="AO42" i="48" a="1"/>
  <c r="AO42" i="48" s="1"/>
  <c r="AO36" i="48" a="1"/>
  <c r="AO36" i="48" s="1"/>
  <c r="AO47" i="48" a="1"/>
  <c r="AO47" i="48" s="1"/>
  <c r="AO32" i="48" a="1"/>
  <c r="AO32" i="48" s="1"/>
  <c r="AO25" i="48" a="1"/>
  <c r="AO25" i="48" s="1"/>
  <c r="AO24" i="48" a="1"/>
  <c r="AO24" i="48" s="1"/>
  <c r="AO19" i="48" a="1"/>
  <c r="AO19" i="48" s="1"/>
  <c r="AO14" i="48" a="1"/>
  <c r="AO14" i="48" s="1"/>
  <c r="AO13" i="48" a="1"/>
  <c r="AO13" i="48" s="1"/>
  <c r="AO7" i="48" a="1"/>
  <c r="AO7" i="48" s="1"/>
  <c r="AO49" i="48" a="1"/>
  <c r="AO49" i="48" s="1"/>
  <c r="AO44" i="48" a="1"/>
  <c r="AO44" i="48" s="1"/>
  <c r="AO38" i="48" a="1"/>
  <c r="AO38" i="48" s="1"/>
  <c r="AO40" i="48" a="1"/>
  <c r="AO40" i="48" s="1"/>
  <c r="AO28" i="48" a="1"/>
  <c r="AO28" i="48" s="1"/>
  <c r="AO17" i="48" a="1"/>
  <c r="AO17" i="48" s="1"/>
  <c r="AO16" i="48" a="1"/>
  <c r="AO16" i="48" s="1"/>
  <c r="AO6" i="48" a="1"/>
  <c r="AO6" i="48" s="1"/>
  <c r="AO51" i="48" a="1"/>
  <c r="AO51" i="48" s="1"/>
  <c r="AO37" i="48" a="1"/>
  <c r="AO37" i="48" s="1"/>
  <c r="AO26" i="48" a="1"/>
  <c r="AO26" i="48" s="1"/>
  <c r="AO50" i="48" a="1"/>
  <c r="AO50" i="48" s="1"/>
  <c r="AO34" i="48" a="1"/>
  <c r="AO34" i="48" s="1"/>
  <c r="AO27" i="48" a="1"/>
  <c r="AO27" i="48" s="1"/>
  <c r="AO12" i="48" a="1"/>
  <c r="AO12" i="48" s="1"/>
  <c r="AO22" i="48" a="1"/>
  <c r="AO22" i="48" s="1"/>
  <c r="AO11" i="48" a="1"/>
  <c r="AO11" i="48" s="1"/>
  <c r="AO35" i="48" a="1"/>
  <c r="AO35" i="48" s="1"/>
  <c r="AO31" i="48" a="1"/>
  <c r="AO31" i="48" s="1"/>
  <c r="AO21" i="48" a="1"/>
  <c r="AO21" i="48" s="1"/>
  <c r="AO9" i="48" a="1"/>
  <c r="AO9" i="48" s="1"/>
  <c r="AO10" i="48" a="1"/>
  <c r="AO10" i="48" s="1"/>
  <c r="AO43" i="48" a="1"/>
  <c r="AO43" i="48" s="1"/>
  <c r="AO33" i="48" a="1"/>
  <c r="AO33" i="48" s="1"/>
  <c r="AO5" i="48" a="1"/>
  <c r="AO5" i="48" s="1"/>
  <c r="AO2" i="48" a="1"/>
  <c r="AO2" i="48" s="1"/>
  <c r="AO3" i="48" a="1"/>
  <c r="AO3" i="48" s="1"/>
  <c r="AO4" i="48" a="1"/>
  <c r="AO4" i="48" s="1"/>
  <c r="AP1" i="48" a="1"/>
  <c r="AP1" i="48" s="1"/>
  <c r="AP51" i="48" l="1" a="1"/>
  <c r="AP51" i="48" s="1"/>
  <c r="AP47" i="48" a="1"/>
  <c r="AP47" i="48" s="1"/>
  <c r="AP45" i="48" a="1"/>
  <c r="AP45" i="48" s="1"/>
  <c r="AP38" i="48" a="1"/>
  <c r="AP38" i="48" s="1"/>
  <c r="AP33" i="48" a="1"/>
  <c r="AP33" i="48" s="1"/>
  <c r="AP28" i="48" a="1"/>
  <c r="AP28" i="48" s="1"/>
  <c r="AP26" i="48" a="1"/>
  <c r="AP26" i="48" s="1"/>
  <c r="AP25" i="48" a="1"/>
  <c r="AP25" i="48" s="1"/>
  <c r="AP19" i="48" a="1"/>
  <c r="AP19" i="48" s="1"/>
  <c r="AP14" i="48" a="1"/>
  <c r="AP14" i="48" s="1"/>
  <c r="AP8" i="48" a="1"/>
  <c r="AP8" i="48" s="1"/>
  <c r="AP5" i="48" a="1"/>
  <c r="AP5" i="48" s="1"/>
  <c r="AP50" i="48" a="1"/>
  <c r="AP50" i="48" s="1"/>
  <c r="AP46" i="48" a="1"/>
  <c r="AP46" i="48" s="1"/>
  <c r="AP42" i="48" a="1"/>
  <c r="AP42" i="48" s="1"/>
  <c r="AP37" i="48" a="1"/>
  <c r="AP37" i="48" s="1"/>
  <c r="AP36" i="48" a="1"/>
  <c r="AP36" i="48" s="1"/>
  <c r="AP29" i="48" a="1"/>
  <c r="AP29" i="48" s="1"/>
  <c r="AP27" i="48" a="1"/>
  <c r="AP27" i="48" s="1"/>
  <c r="AP22" i="48" a="1"/>
  <c r="AP22" i="48" s="1"/>
  <c r="AP17" i="48" a="1"/>
  <c r="AP17" i="48" s="1"/>
  <c r="AP12" i="48" a="1"/>
  <c r="AP12" i="48" s="1"/>
  <c r="AP15" i="48" a="1"/>
  <c r="AP15" i="48" s="1"/>
  <c r="AP6" i="48" a="1"/>
  <c r="AP6" i="48" s="1"/>
  <c r="AP44" i="48" a="1"/>
  <c r="AP44" i="48" s="1"/>
  <c r="AP34" i="48" a="1"/>
  <c r="AP34" i="48" s="1"/>
  <c r="AP9" i="48" a="1"/>
  <c r="AP9" i="48" s="1"/>
  <c r="AP32" i="48" a="1"/>
  <c r="AP32" i="48" s="1"/>
  <c r="AP21" i="48" a="1"/>
  <c r="AP21" i="48" s="1"/>
  <c r="AP41" i="48" a="1"/>
  <c r="AP41" i="48" s="1"/>
  <c r="AP20" i="48" a="1"/>
  <c r="AP20" i="48" s="1"/>
  <c r="AP13" i="48" a="1"/>
  <c r="AP13" i="48" s="1"/>
  <c r="AP40" i="48" a="1"/>
  <c r="AP40" i="48" s="1"/>
  <c r="AP30" i="48" a="1"/>
  <c r="AP30" i="48" s="1"/>
  <c r="AP11" i="48" a="1"/>
  <c r="AP11" i="48" s="1"/>
  <c r="AP35" i="48" a="1"/>
  <c r="AP35" i="48" s="1"/>
  <c r="AP23" i="48" a="1"/>
  <c r="AP23" i="48" s="1"/>
  <c r="AP49" i="48" a="1"/>
  <c r="AP49" i="48" s="1"/>
  <c r="AP24" i="48" a="1"/>
  <c r="AP24" i="48" s="1"/>
  <c r="AP48" i="48" a="1"/>
  <c r="AP48" i="48" s="1"/>
  <c r="AP16" i="48" a="1"/>
  <c r="AP16" i="48" s="1"/>
  <c r="AP43" i="48" a="1"/>
  <c r="AP43" i="48" s="1"/>
  <c r="AP18" i="48" a="1"/>
  <c r="AP18" i="48" s="1"/>
  <c r="AP10" i="48" a="1"/>
  <c r="AP10" i="48" s="1"/>
  <c r="AP31" i="48" a="1"/>
  <c r="AP31" i="48" s="1"/>
  <c r="AP39" i="48" a="1"/>
  <c r="AP39" i="48" s="1"/>
  <c r="AP7" i="48" a="1"/>
  <c r="AP7" i="48" s="1"/>
  <c r="AP2" i="48" a="1"/>
  <c r="AP2" i="48" s="1"/>
  <c r="AP3" i="48" a="1"/>
  <c r="AP3" i="48" s="1"/>
  <c r="AP4" i="48" a="1"/>
  <c r="AP4" i="48" s="1"/>
  <c r="AQ1" i="48" a="1"/>
  <c r="AQ1" i="48" s="1"/>
  <c r="AQ51" i="48" l="1" a="1"/>
  <c r="AQ51" i="48" s="1"/>
  <c r="AQ47" i="48" a="1"/>
  <c r="AQ47" i="48" s="1"/>
  <c r="AQ44" i="48" a="1"/>
  <c r="AQ44" i="48" s="1"/>
  <c r="AQ40" i="48" a="1"/>
  <c r="AQ40" i="48" s="1"/>
  <c r="AQ35" i="48" a="1"/>
  <c r="AQ35" i="48" s="1"/>
  <c r="AQ30" i="48" a="1"/>
  <c r="AQ30" i="48" s="1"/>
  <c r="AQ24" i="48" a="1"/>
  <c r="AQ24" i="48" s="1"/>
  <c r="AQ23" i="48" a="1"/>
  <c r="AQ23" i="48" s="1"/>
  <c r="AQ18" i="48" a="1"/>
  <c r="AQ18" i="48" s="1"/>
  <c r="AQ15" i="48" a="1"/>
  <c r="AQ15" i="48" s="1"/>
  <c r="AQ12" i="48" a="1"/>
  <c r="AQ12" i="48" s="1"/>
  <c r="AQ6" i="48" a="1"/>
  <c r="AQ6" i="48" s="1"/>
  <c r="AQ50" i="48" a="1"/>
  <c r="AQ50" i="48" s="1"/>
  <c r="AQ46" i="48" a="1"/>
  <c r="AQ46" i="48" s="1"/>
  <c r="AQ42" i="48" a="1"/>
  <c r="AQ42" i="48" s="1"/>
  <c r="AQ38" i="48" a="1"/>
  <c r="AQ38" i="48" s="1"/>
  <c r="AQ33" i="48" a="1"/>
  <c r="AQ33" i="48" s="1"/>
  <c r="AQ31" i="48" a="1"/>
  <c r="AQ31" i="48" s="1"/>
  <c r="AQ25" i="48" a="1"/>
  <c r="AQ25" i="48" s="1"/>
  <c r="AQ21" i="48" a="1"/>
  <c r="AQ21" i="48" s="1"/>
  <c r="AQ17" i="48" a="1"/>
  <c r="AQ17" i="48" s="1"/>
  <c r="AQ13" i="48" a="1"/>
  <c r="AQ13" i="48" s="1"/>
  <c r="AQ10" i="48" a="1"/>
  <c r="AQ10" i="48" s="1"/>
  <c r="AQ7" i="48" a="1"/>
  <c r="AQ7" i="48" s="1"/>
  <c r="AQ48" i="48" a="1"/>
  <c r="AQ48" i="48" s="1"/>
  <c r="AQ28" i="48" a="1"/>
  <c r="AQ28" i="48" s="1"/>
  <c r="AQ16" i="48" a="1"/>
  <c r="AQ16" i="48" s="1"/>
  <c r="AQ49" i="48" a="1"/>
  <c r="AQ49" i="48" s="1"/>
  <c r="AQ37" i="48" a="1"/>
  <c r="AQ37" i="48" s="1"/>
  <c r="AQ19" i="48" a="1"/>
  <c r="AQ19" i="48" s="1"/>
  <c r="AQ36" i="48" a="1"/>
  <c r="AQ36" i="48" s="1"/>
  <c r="AQ26" i="48" a="1"/>
  <c r="AQ26" i="48" s="1"/>
  <c r="AQ45" i="48" a="1"/>
  <c r="AQ45" i="48" s="1"/>
  <c r="AQ27" i="48" a="1"/>
  <c r="AQ27" i="48" s="1"/>
  <c r="AQ11" i="48" a="1"/>
  <c r="AQ11" i="48" s="1"/>
  <c r="AQ41" i="48" a="1"/>
  <c r="AQ41" i="48" s="1"/>
  <c r="AQ20" i="48" a="1"/>
  <c r="AQ20" i="48" s="1"/>
  <c r="AQ9" i="48" a="1"/>
  <c r="AQ9" i="48" s="1"/>
  <c r="AQ14" i="48" a="1"/>
  <c r="AQ14" i="48" s="1"/>
  <c r="AQ39" i="48" a="1"/>
  <c r="AQ39" i="48" s="1"/>
  <c r="AQ34" i="48" a="1"/>
  <c r="AQ34" i="48" s="1"/>
  <c r="AQ8" i="48" a="1"/>
  <c r="AQ8" i="48" s="1"/>
  <c r="AQ29" i="48" a="1"/>
  <c r="AQ29" i="48" s="1"/>
  <c r="AQ22" i="48" a="1"/>
  <c r="AQ22" i="48" s="1"/>
  <c r="AQ43" i="48" a="1"/>
  <c r="AQ43" i="48" s="1"/>
  <c r="AQ32" i="48" a="1"/>
  <c r="AQ32" i="48" s="1"/>
  <c r="AQ5" i="48" a="1"/>
  <c r="AQ5" i="48" s="1"/>
  <c r="AQ4" i="48" a="1"/>
  <c r="AQ4" i="48" s="1"/>
  <c r="AQ2" i="48" a="1"/>
  <c r="AQ2" i="48" s="1"/>
  <c r="AQ3" i="48" a="1"/>
  <c r="AQ3" i="48" s="1"/>
  <c r="AR1" i="48" a="1"/>
  <c r="AR1" i="48" s="1"/>
  <c r="AR50" i="48" l="1" a="1"/>
  <c r="AR50" i="48" s="1"/>
  <c r="AR46" i="48" a="1"/>
  <c r="AR46" i="48" s="1"/>
  <c r="AR41" i="48" a="1"/>
  <c r="AR41" i="48" s="1"/>
  <c r="AR38" i="48" a="1"/>
  <c r="AR38" i="48" s="1"/>
  <c r="AR34" i="48" a="1"/>
  <c r="AR34" i="48" s="1"/>
  <c r="AR49" i="48" a="1"/>
  <c r="AR49" i="48" s="1"/>
  <c r="AR43" i="48" a="1"/>
  <c r="AR43" i="48" s="1"/>
  <c r="AR42" i="48" a="1"/>
  <c r="AR42" i="48" s="1"/>
  <c r="AR37" i="48" a="1"/>
  <c r="AR37" i="48" s="1"/>
  <c r="AR36" i="48" a="1"/>
  <c r="AR36" i="48" s="1"/>
  <c r="AR29" i="48" a="1"/>
  <c r="AR29" i="48" s="1"/>
  <c r="AR27" i="48" a="1"/>
  <c r="AR27" i="48" s="1"/>
  <c r="AR21" i="48" a="1"/>
  <c r="AR21" i="48" s="1"/>
  <c r="AR16" i="48" a="1"/>
  <c r="AR16" i="48" s="1"/>
  <c r="AR11" i="48" a="1"/>
  <c r="AR11" i="48" s="1"/>
  <c r="AR12" i="48" a="1"/>
  <c r="AR12" i="48" s="1"/>
  <c r="AR6" i="48" a="1"/>
  <c r="AR6" i="48" s="1"/>
  <c r="AR45" i="48" a="1"/>
  <c r="AR45" i="48" s="1"/>
  <c r="AR31" i="48" a="1"/>
  <c r="AR31" i="48" s="1"/>
  <c r="AR23" i="48" a="1"/>
  <c r="AR23" i="48" s="1"/>
  <c r="AR19" i="48" a="1"/>
  <c r="AR19" i="48" s="1"/>
  <c r="AR10" i="48" a="1"/>
  <c r="AR10" i="48" s="1"/>
  <c r="AR28" i="48" a="1"/>
  <c r="AR28" i="48" s="1"/>
  <c r="AR24" i="48" a="1"/>
  <c r="AR24" i="48" s="1"/>
  <c r="AR15" i="48" a="1"/>
  <c r="AR15" i="48" s="1"/>
  <c r="AR7" i="48" a="1"/>
  <c r="AR7" i="48" s="1"/>
  <c r="AR51" i="48" a="1"/>
  <c r="AR51" i="48" s="1"/>
  <c r="AR39" i="48" a="1"/>
  <c r="AR39" i="48" s="1"/>
  <c r="AR32" i="48" a="1"/>
  <c r="AR32" i="48" s="1"/>
  <c r="AR22" i="48" a="1"/>
  <c r="AR22" i="48" s="1"/>
  <c r="AR13" i="48" a="1"/>
  <c r="AR13" i="48" s="1"/>
  <c r="AR5" i="48" a="1"/>
  <c r="AR5" i="48" s="1"/>
  <c r="AR40" i="48" a="1"/>
  <c r="AR40" i="48" s="1"/>
  <c r="AR33" i="48" a="1"/>
  <c r="AR33" i="48" s="1"/>
  <c r="AR26" i="48" a="1"/>
  <c r="AR26" i="48" s="1"/>
  <c r="AR17" i="48" a="1"/>
  <c r="AR17" i="48" s="1"/>
  <c r="AR14" i="48" a="1"/>
  <c r="AR14" i="48" s="1"/>
  <c r="AR8" i="48" a="1"/>
  <c r="AR8" i="48" s="1"/>
  <c r="AR30" i="48" a="1"/>
  <c r="AR30" i="48" s="1"/>
  <c r="AR25" i="48" a="1"/>
  <c r="AR25" i="48" s="1"/>
  <c r="AR48" i="48" a="1"/>
  <c r="AR48" i="48" s="1"/>
  <c r="AR47" i="48" a="1"/>
  <c r="AR47" i="48" s="1"/>
  <c r="AR44" i="48" a="1"/>
  <c r="AR44" i="48" s="1"/>
  <c r="AR18" i="48" a="1"/>
  <c r="AR18" i="48" s="1"/>
  <c r="AR9" i="48" a="1"/>
  <c r="AR9" i="48" s="1"/>
  <c r="AR35" i="48" a="1"/>
  <c r="AR35" i="48" s="1"/>
  <c r="AR20" i="48" a="1"/>
  <c r="AR20" i="48" s="1"/>
  <c r="AR4" i="48" a="1"/>
  <c r="AR4" i="48" s="1"/>
  <c r="AR2" i="48" a="1"/>
  <c r="AR2" i="48" s="1"/>
  <c r="AR3" i="48" a="1"/>
  <c r="AR3" i="48" s="1"/>
  <c r="AS1" i="48" a="1"/>
  <c r="AS1" i="48" s="1"/>
  <c r="AS49" i="48" l="1" a="1"/>
  <c r="AS49" i="48" s="1"/>
  <c r="AS44" i="48" a="1"/>
  <c r="AS44" i="48" s="1"/>
  <c r="AS41" i="48" a="1"/>
  <c r="AS41" i="48" s="1"/>
  <c r="AS39" i="48" a="1"/>
  <c r="AS39" i="48" s="1"/>
  <c r="AS35" i="48" a="1"/>
  <c r="AS35" i="48" s="1"/>
  <c r="AS30" i="48" a="1"/>
  <c r="AS30" i="48" s="1"/>
  <c r="AS24" i="48" a="1"/>
  <c r="AS24" i="48" s="1"/>
  <c r="AS22" i="48" a="1"/>
  <c r="AS22" i="48" s="1"/>
  <c r="AS16" i="48" a="1"/>
  <c r="AS16" i="48" s="1"/>
  <c r="AS10" i="48" a="1"/>
  <c r="AS10" i="48" s="1"/>
  <c r="AS9" i="48" a="1"/>
  <c r="AS9" i="48" s="1"/>
  <c r="AS5" i="48" a="1"/>
  <c r="AS5" i="48" s="1"/>
  <c r="AS48" i="48" a="1"/>
  <c r="AS48" i="48" s="1"/>
  <c r="AS37" i="48" a="1"/>
  <c r="AS37" i="48" s="1"/>
  <c r="AS28" i="48" a="1"/>
  <c r="AS28" i="48" s="1"/>
  <c r="AS25" i="48" a="1"/>
  <c r="AS25" i="48" s="1"/>
  <c r="AS17" i="48" a="1"/>
  <c r="AS17" i="48" s="1"/>
  <c r="AS13" i="48" a="1"/>
  <c r="AS13" i="48" s="1"/>
  <c r="AS46" i="48" a="1"/>
  <c r="AS46" i="48" s="1"/>
  <c r="AS40" i="48" a="1"/>
  <c r="AS40" i="48" s="1"/>
  <c r="AS32" i="48" a="1"/>
  <c r="AS32" i="48" s="1"/>
  <c r="AS26" i="48" a="1"/>
  <c r="AS26" i="48" s="1"/>
  <c r="AS47" i="48" a="1"/>
  <c r="AS47" i="48" s="1"/>
  <c r="AS38" i="48" a="1"/>
  <c r="AS38" i="48" s="1"/>
  <c r="AS29" i="48" a="1"/>
  <c r="AS29" i="48" s="1"/>
  <c r="AS18" i="48" a="1"/>
  <c r="AS18" i="48" s="1"/>
  <c r="AS11" i="48" a="1"/>
  <c r="AS11" i="48" s="1"/>
  <c r="AS21" i="48" a="1"/>
  <c r="AS21" i="48" s="1"/>
  <c r="AS14" i="48" a="1"/>
  <c r="AS14" i="48" s="1"/>
  <c r="AS50" i="48" a="1"/>
  <c r="AS50" i="48" s="1"/>
  <c r="AS42" i="48" a="1"/>
  <c r="AS42" i="48" s="1"/>
  <c r="AS33" i="48" a="1"/>
  <c r="AS33" i="48" s="1"/>
  <c r="AS23" i="48" a="1"/>
  <c r="AS23" i="48" s="1"/>
  <c r="AS19" i="48" a="1"/>
  <c r="AS19" i="48" s="1"/>
  <c r="AS36" i="48" a="1"/>
  <c r="AS36" i="48" s="1"/>
  <c r="AS34" i="48" a="1"/>
  <c r="AS34" i="48" s="1"/>
  <c r="AS12" i="48" a="1"/>
  <c r="AS12" i="48" s="1"/>
  <c r="AS51" i="48" a="1"/>
  <c r="AS51" i="48" s="1"/>
  <c r="AS31" i="48" a="1"/>
  <c r="AS31" i="48" s="1"/>
  <c r="AS15" i="48" a="1"/>
  <c r="AS15" i="48" s="1"/>
  <c r="AS43" i="48" a="1"/>
  <c r="AS43" i="48" s="1"/>
  <c r="AS6" i="48" a="1"/>
  <c r="AS6" i="48" s="1"/>
  <c r="AS45" i="48" a="1"/>
  <c r="AS45" i="48" s="1"/>
  <c r="AS27" i="48" a="1"/>
  <c r="AS27" i="48" s="1"/>
  <c r="AS8" i="48" a="1"/>
  <c r="AS8" i="48" s="1"/>
  <c r="AS20" i="48" a="1"/>
  <c r="AS20" i="48" s="1"/>
  <c r="AS7" i="48" a="1"/>
  <c r="AS7" i="48" s="1"/>
  <c r="AS2" i="48" a="1"/>
  <c r="AS2" i="48" s="1"/>
  <c r="AS4" i="48" a="1"/>
  <c r="AS4" i="48" s="1"/>
  <c r="AS3" i="48" a="1"/>
  <c r="AS3" i="48" s="1"/>
  <c r="AT1" i="48" a="1"/>
  <c r="AT1" i="48" s="1"/>
  <c r="AT47" i="48" l="1" a="1"/>
  <c r="AT47" i="48" s="1"/>
  <c r="AT41" i="48" a="1"/>
  <c r="AT41" i="48" s="1"/>
  <c r="AT30" i="48" a="1"/>
  <c r="AT30" i="48" s="1"/>
  <c r="AT25" i="48" a="1"/>
  <c r="AT25" i="48" s="1"/>
  <c r="AT14" i="48" a="1"/>
  <c r="AT14" i="48" s="1"/>
  <c r="AT15" i="48" a="1"/>
  <c r="AT15" i="48" s="1"/>
  <c r="AT42" i="48" a="1"/>
  <c r="AT42" i="48" s="1"/>
  <c r="AT33" i="48" a="1"/>
  <c r="AT33" i="48" s="1"/>
  <c r="AT26" i="48" a="1"/>
  <c r="AT26" i="48" s="1"/>
  <c r="AT20" i="48" a="1"/>
  <c r="AT20" i="48" s="1"/>
  <c r="AT13" i="48" a="1"/>
  <c r="AT13" i="48" s="1"/>
  <c r="AT51" i="48" a="1"/>
  <c r="AT51" i="48" s="1"/>
  <c r="AT46" i="48" a="1"/>
  <c r="AT46" i="48" s="1"/>
  <c r="AT36" i="48" a="1"/>
  <c r="AT36" i="48" s="1"/>
  <c r="AT31" i="48" a="1"/>
  <c r="AT31" i="48" s="1"/>
  <c r="AT19" i="48" a="1"/>
  <c r="AT19" i="48" s="1"/>
  <c r="AT12" i="48" a="1"/>
  <c r="AT12" i="48" s="1"/>
  <c r="AT45" i="48" a="1"/>
  <c r="AT45" i="48" s="1"/>
  <c r="AT40" i="48" a="1"/>
  <c r="AT40" i="48" s="1"/>
  <c r="AT28" i="48" a="1"/>
  <c r="AT28" i="48" s="1"/>
  <c r="AT27" i="48" a="1"/>
  <c r="AT27" i="48" s="1"/>
  <c r="AT10" i="48" a="1"/>
  <c r="AT10" i="48" s="1"/>
  <c r="AT11" i="48" a="1"/>
  <c r="AT11" i="48" s="1"/>
  <c r="AT44" i="48" a="1"/>
  <c r="AT44" i="48" s="1"/>
  <c r="AT39" i="48" a="1"/>
  <c r="AT39" i="48" s="1"/>
  <c r="AT24" i="48" a="1"/>
  <c r="AT24" i="48" s="1"/>
  <c r="AT22" i="48" a="1"/>
  <c r="AT22" i="48" s="1"/>
  <c r="AT8" i="48" a="1"/>
  <c r="AT8" i="48" s="1"/>
  <c r="AT5" i="48" a="1"/>
  <c r="AT5" i="48" s="1"/>
  <c r="AT48" i="48" a="1"/>
  <c r="AT48" i="48" s="1"/>
  <c r="AT35" i="48" a="1"/>
  <c r="AT35" i="48" s="1"/>
  <c r="AT21" i="48" a="1"/>
  <c r="AT21" i="48" s="1"/>
  <c r="AT49" i="48" a="1"/>
  <c r="AT49" i="48" s="1"/>
  <c r="AT34" i="48" a="1"/>
  <c r="AT34" i="48" s="1"/>
  <c r="AT17" i="48" a="1"/>
  <c r="AT17" i="48" s="1"/>
  <c r="AT7" i="48" a="1"/>
  <c r="AT7" i="48" s="1"/>
  <c r="AT32" i="48" a="1"/>
  <c r="AT32" i="48" s="1"/>
  <c r="AT16" i="48" a="1"/>
  <c r="AT16" i="48" s="1"/>
  <c r="AT43" i="48" a="1"/>
  <c r="AT43" i="48" s="1"/>
  <c r="AT18" i="48" a="1"/>
  <c r="AT18" i="48" s="1"/>
  <c r="AT23" i="48" a="1"/>
  <c r="AT23" i="48" s="1"/>
  <c r="AT50" i="48" a="1"/>
  <c r="AT50" i="48" s="1"/>
  <c r="AT9" i="48" a="1"/>
  <c r="AT9" i="48" s="1"/>
  <c r="AT6" i="48" a="1"/>
  <c r="AT6" i="48" s="1"/>
  <c r="AT38" i="48" a="1"/>
  <c r="AT38" i="48" s="1"/>
  <c r="AT37" i="48" a="1"/>
  <c r="AT37" i="48" s="1"/>
  <c r="AT29" i="48" a="1"/>
  <c r="AT29" i="48" s="1"/>
  <c r="AT4" i="48" a="1"/>
  <c r="AT4" i="48" s="1"/>
  <c r="AT3" i="48" a="1"/>
  <c r="AT3" i="48" s="1"/>
  <c r="AT2" i="48" a="1"/>
  <c r="AT2" i="48" s="1"/>
  <c r="AU1" i="48" a="1"/>
  <c r="AU1" i="48" s="1"/>
  <c r="AU47" i="48" l="1" a="1"/>
  <c r="AU47" i="48" s="1"/>
  <c r="AU42" i="48" a="1"/>
  <c r="AU42" i="48" s="1"/>
  <c r="AU28" i="48" a="1"/>
  <c r="AU28" i="48" s="1"/>
  <c r="AU27" i="48" a="1"/>
  <c r="AU27" i="48" s="1"/>
  <c r="AU15" i="48" a="1"/>
  <c r="AU15" i="48" s="1"/>
  <c r="AU10" i="48" a="1"/>
  <c r="AU10" i="48" s="1"/>
  <c r="AU41" i="48" a="1"/>
  <c r="AU41" i="48" s="1"/>
  <c r="AU35" i="48" a="1"/>
  <c r="AU35" i="48" s="1"/>
  <c r="AU23" i="48" a="1"/>
  <c r="AU23" i="48" s="1"/>
  <c r="AU20" i="48" a="1"/>
  <c r="AU20" i="48" s="1"/>
  <c r="AU9" i="48" a="1"/>
  <c r="AU9" i="48" s="1"/>
  <c r="AU51" i="48" a="1"/>
  <c r="AU51" i="48" s="1"/>
  <c r="AU46" i="48" a="1"/>
  <c r="AU46" i="48" s="1"/>
  <c r="AU34" i="48" a="1"/>
  <c r="AU34" i="48" s="1"/>
  <c r="AU29" i="48" a="1"/>
  <c r="AU29" i="48" s="1"/>
  <c r="AU18" i="48" a="1"/>
  <c r="AU18" i="48" s="1"/>
  <c r="AU13" i="48" a="1"/>
  <c r="AU13" i="48" s="1"/>
  <c r="AU43" i="48" a="1"/>
  <c r="AU43" i="48" s="1"/>
  <c r="AU39" i="48" a="1"/>
  <c r="AU39" i="48" s="1"/>
  <c r="AU32" i="48" a="1"/>
  <c r="AU32" i="48" s="1"/>
  <c r="AU24" i="48" a="1"/>
  <c r="AU24" i="48" s="1"/>
  <c r="AU11" i="48" a="1"/>
  <c r="AU11" i="48" s="1"/>
  <c r="AU8" i="48" a="1"/>
  <c r="AU8" i="48" s="1"/>
  <c r="AU45" i="48" a="1"/>
  <c r="AU45" i="48" s="1"/>
  <c r="AU40" i="48" a="1"/>
  <c r="AU40" i="48" s="1"/>
  <c r="AU26" i="48" a="1"/>
  <c r="AU26" i="48" s="1"/>
  <c r="AU22" i="48" a="1"/>
  <c r="AU22" i="48" s="1"/>
  <c r="AU12" i="48" a="1"/>
  <c r="AU12" i="48" s="1"/>
  <c r="AU5" i="48" a="1"/>
  <c r="AU5" i="48" s="1"/>
  <c r="AU37" i="48" a="1"/>
  <c r="AU37" i="48" s="1"/>
  <c r="AU14" i="48" a="1"/>
  <c r="AU14" i="48" s="1"/>
  <c r="AU25" i="48" a="1"/>
  <c r="AU25" i="48" s="1"/>
  <c r="AU50" i="48" a="1"/>
  <c r="AU50" i="48" s="1"/>
  <c r="AU38" i="48" a="1"/>
  <c r="AU38" i="48" s="1"/>
  <c r="AU6" i="48" a="1"/>
  <c r="AU6" i="48" s="1"/>
  <c r="AU49" i="48" a="1"/>
  <c r="AU49" i="48" s="1"/>
  <c r="AU33" i="48" a="1"/>
  <c r="AU33" i="48" s="1"/>
  <c r="AU21" i="48" a="1"/>
  <c r="AU21" i="48" s="1"/>
  <c r="AU44" i="48" a="1"/>
  <c r="AU44" i="48" s="1"/>
  <c r="AU19" i="48" a="1"/>
  <c r="AU19" i="48" s="1"/>
  <c r="AU17" i="48" a="1"/>
  <c r="AU17" i="48" s="1"/>
  <c r="AU16" i="48" a="1"/>
  <c r="AU16" i="48" s="1"/>
  <c r="AU48" i="48" a="1"/>
  <c r="AU48" i="48" s="1"/>
  <c r="AU7" i="48" a="1"/>
  <c r="AU7" i="48" s="1"/>
  <c r="AU31" i="48" a="1"/>
  <c r="AU31" i="48" s="1"/>
  <c r="AU36" i="48" a="1"/>
  <c r="AU36" i="48" s="1"/>
  <c r="AU30" i="48" a="1"/>
  <c r="AU30" i="48" s="1"/>
  <c r="AU4" i="48" a="1"/>
  <c r="AU4" i="48" s="1"/>
  <c r="AU3" i="48" a="1"/>
  <c r="AU3" i="48" s="1"/>
  <c r="AU2" i="48" a="1"/>
  <c r="AU2" i="48" s="1"/>
  <c r="AV1" i="48" a="1"/>
  <c r="AV1" i="48" s="1"/>
  <c r="AV46" i="48" l="1" a="1"/>
  <c r="AV46" i="48" s="1"/>
  <c r="AV42" i="48" a="1"/>
  <c r="AV42" i="48" s="1"/>
  <c r="AV30" i="48" a="1"/>
  <c r="AV30" i="48" s="1"/>
  <c r="AV23" i="48" a="1"/>
  <c r="AV23" i="48" s="1"/>
  <c r="AV21" i="48" a="1"/>
  <c r="AV21" i="48" s="1"/>
  <c r="AV16" i="48" a="1"/>
  <c r="AV16" i="48" s="1"/>
  <c r="AV11" i="48" a="1"/>
  <c r="AV11" i="48" s="1"/>
  <c r="AV12" i="48" a="1"/>
  <c r="AV12" i="48" s="1"/>
  <c r="AV5" i="48" a="1"/>
  <c r="AV5" i="48" s="1"/>
  <c r="AV41" i="48" a="1"/>
  <c r="AV41" i="48" s="1"/>
  <c r="AV36" i="48" a="1"/>
  <c r="AV36" i="48" s="1"/>
  <c r="AV24" i="48" a="1"/>
  <c r="AV24" i="48" s="1"/>
  <c r="AV50" i="48" a="1"/>
  <c r="AV50" i="48" s="1"/>
  <c r="AV47" i="48" a="1"/>
  <c r="AV47" i="48" s="1"/>
  <c r="AV35" i="48" a="1"/>
  <c r="AV35" i="48" s="1"/>
  <c r="AV32" i="48" a="1"/>
  <c r="AV32" i="48" s="1"/>
  <c r="AV20" i="48" a="1"/>
  <c r="AV20" i="48" s="1"/>
  <c r="AV19" i="48" a="1"/>
  <c r="AV19" i="48" s="1"/>
  <c r="AV9" i="48" a="1"/>
  <c r="AV9" i="48" s="1"/>
  <c r="AV10" i="48" a="1"/>
  <c r="AV10" i="48" s="1"/>
  <c r="AV44" i="48" a="1"/>
  <c r="AV44" i="48" s="1"/>
  <c r="AV39" i="48" a="1"/>
  <c r="AV39" i="48" s="1"/>
  <c r="AV31" i="48" a="1"/>
  <c r="AV31" i="48" s="1"/>
  <c r="AV25" i="48" a="1"/>
  <c r="AV25" i="48" s="1"/>
  <c r="AV43" i="48" a="1"/>
  <c r="AV43" i="48" s="1"/>
  <c r="AV40" i="48" a="1"/>
  <c r="AV40" i="48" s="1"/>
  <c r="AV27" i="48" a="1"/>
  <c r="AV27" i="48" s="1"/>
  <c r="AV22" i="48" a="1"/>
  <c r="AV22" i="48" s="1"/>
  <c r="AV17" i="48" a="1"/>
  <c r="AV17" i="48" s="1"/>
  <c r="AV13" i="48" a="1"/>
  <c r="AV13" i="48" s="1"/>
  <c r="AV14" i="48" a="1"/>
  <c r="AV14" i="48" s="1"/>
  <c r="AV6" i="48" a="1"/>
  <c r="AV6" i="48" s="1"/>
  <c r="AV29" i="48" a="1"/>
  <c r="AV29" i="48" s="1"/>
  <c r="AV7" i="48" a="1"/>
  <c r="AV7" i="48" s="1"/>
  <c r="AV45" i="48" a="1"/>
  <c r="AV45" i="48" s="1"/>
  <c r="AV28" i="48" a="1"/>
  <c r="AV28" i="48" s="1"/>
  <c r="AV15" i="48" a="1"/>
  <c r="AV15" i="48" s="1"/>
  <c r="AV37" i="48" a="1"/>
  <c r="AV37" i="48" s="1"/>
  <c r="AV48" i="48" a="1"/>
  <c r="AV48" i="48" s="1"/>
  <c r="AV33" i="48" a="1"/>
  <c r="AV33" i="48" s="1"/>
  <c r="AV34" i="48" a="1"/>
  <c r="AV34" i="48" s="1"/>
  <c r="AV26" i="48" a="1"/>
  <c r="AV26" i="48" s="1"/>
  <c r="AV18" i="48" a="1"/>
  <c r="AV18" i="48" s="1"/>
  <c r="AV51" i="48" a="1"/>
  <c r="AV51" i="48" s="1"/>
  <c r="AV49" i="48" a="1"/>
  <c r="AV49" i="48" s="1"/>
  <c r="AV38" i="48" a="1"/>
  <c r="AV38" i="48" s="1"/>
  <c r="AV8" i="48" a="1"/>
  <c r="AV8" i="48" s="1"/>
  <c r="AV2" i="48" a="1"/>
  <c r="AV2" i="48" s="1"/>
  <c r="AV3" i="48" a="1"/>
  <c r="AV3" i="48" s="1"/>
  <c r="AV4" i="48" a="1"/>
  <c r="AV4" i="48" s="1"/>
  <c r="AW1" i="48" a="1"/>
  <c r="AW1" i="48" s="1"/>
  <c r="AW49" i="48" l="1" a="1"/>
  <c r="AW49" i="48" s="1"/>
  <c r="AW43" i="48" a="1"/>
  <c r="AW43" i="48" s="1"/>
  <c r="AW42" i="48" a="1"/>
  <c r="AW42" i="48" s="1"/>
  <c r="AW39" i="48" a="1"/>
  <c r="AW39" i="48" s="1"/>
  <c r="AW33" i="48" a="1"/>
  <c r="AW33" i="48" s="1"/>
  <c r="AW28" i="48" a="1"/>
  <c r="AW28" i="48" s="1"/>
  <c r="AW27" i="48" a="1"/>
  <c r="AW27" i="48" s="1"/>
  <c r="AW22" i="48" a="1"/>
  <c r="AW22" i="48" s="1"/>
  <c r="AW16" i="48" a="1"/>
  <c r="AW16" i="48" s="1"/>
  <c r="AW10" i="48" a="1"/>
  <c r="AW10" i="48" s="1"/>
  <c r="AW9" i="48" a="1"/>
  <c r="AW9" i="48" s="1"/>
  <c r="AW6" i="48" a="1"/>
  <c r="AW6" i="48" s="1"/>
  <c r="AW48" i="48" a="1"/>
  <c r="AW48" i="48" s="1"/>
  <c r="AW44" i="48" a="1"/>
  <c r="AW44" i="48" s="1"/>
  <c r="AW40" i="48" a="1"/>
  <c r="AW40" i="48" s="1"/>
  <c r="AW34" i="48" a="1"/>
  <c r="AW34" i="48" s="1"/>
  <c r="AW30" i="48" a="1"/>
  <c r="AW30" i="48" s="1"/>
  <c r="AW29" i="48" a="1"/>
  <c r="AW29" i="48" s="1"/>
  <c r="AW23" i="48" a="1"/>
  <c r="AW23" i="48" s="1"/>
  <c r="AW20" i="48" a="1"/>
  <c r="AW20" i="48" s="1"/>
  <c r="AW18" i="48" a="1"/>
  <c r="AW18" i="48" s="1"/>
  <c r="AW15" i="48" a="1"/>
  <c r="AW15" i="48" s="1"/>
  <c r="AW8" i="48" a="1"/>
  <c r="AW8" i="48" s="1"/>
  <c r="AW50" i="48" a="1"/>
  <c r="AW50" i="48" s="1"/>
  <c r="AW46" i="48" a="1"/>
  <c r="AW46" i="48" s="1"/>
  <c r="AW41" i="48" a="1"/>
  <c r="AW41" i="48" s="1"/>
  <c r="AW37" i="48" a="1"/>
  <c r="AW37" i="48" s="1"/>
  <c r="AW35" i="48" a="1"/>
  <c r="AW35" i="48" s="1"/>
  <c r="AW31" i="48" a="1"/>
  <c r="AW31" i="48" s="1"/>
  <c r="AW26" i="48" a="1"/>
  <c r="AW26" i="48" s="1"/>
  <c r="AW21" i="48" a="1"/>
  <c r="AW21" i="48" s="1"/>
  <c r="AW17" i="48" a="1"/>
  <c r="AW17" i="48" s="1"/>
  <c r="AW12" i="48" a="1"/>
  <c r="AW12" i="48" s="1"/>
  <c r="AW11" i="48" a="1"/>
  <c r="AW11" i="48" s="1"/>
  <c r="AW5" i="48" a="1"/>
  <c r="AW5" i="48" s="1"/>
  <c r="AW24" i="48" a="1"/>
  <c r="AW24" i="48" s="1"/>
  <c r="AW45" i="48" a="1"/>
  <c r="AW45" i="48" s="1"/>
  <c r="AW13" i="48" a="1"/>
  <c r="AW13" i="48" s="1"/>
  <c r="AW32" i="48" a="1"/>
  <c r="AW32" i="48" s="1"/>
  <c r="AW51" i="48" a="1"/>
  <c r="AW51" i="48" s="1"/>
  <c r="AW19" i="48" a="1"/>
  <c r="AW19" i="48" s="1"/>
  <c r="AW47" i="48" a="1"/>
  <c r="AW47" i="48" s="1"/>
  <c r="AW14" i="48" a="1"/>
  <c r="AW14" i="48" s="1"/>
  <c r="AW38" i="48" a="1"/>
  <c r="AW38" i="48" s="1"/>
  <c r="AW7" i="48" a="1"/>
  <c r="AW7" i="48" s="1"/>
  <c r="AW25" i="48" a="1"/>
  <c r="AW25" i="48" s="1"/>
  <c r="AW36" i="48" a="1"/>
  <c r="AW36" i="48" s="1"/>
  <c r="AW4" i="48" a="1"/>
  <c r="AW4" i="48" s="1"/>
  <c r="AW3" i="48" a="1"/>
  <c r="AW3" i="48" s="1"/>
  <c r="AW2" i="48" a="1"/>
  <c r="AW2" i="48" s="1"/>
  <c r="AX1" i="48" a="1"/>
  <c r="AX1" i="48" s="1"/>
  <c r="AX49" i="48" l="1" a="1"/>
  <c r="AX49" i="48" s="1"/>
  <c r="AX43" i="48" a="1"/>
  <c r="AX43" i="48" s="1"/>
  <c r="AX41" i="48" a="1"/>
  <c r="AX41" i="48" s="1"/>
  <c r="AX39" i="48" a="1"/>
  <c r="AX39" i="48" s="1"/>
  <c r="AX34" i="48" a="1"/>
  <c r="AX34" i="48" s="1"/>
  <c r="AX30" i="48" a="1"/>
  <c r="AX30" i="48" s="1"/>
  <c r="AX23" i="48" a="1"/>
  <c r="AX23" i="48" s="1"/>
  <c r="AX21" i="48" a="1"/>
  <c r="AX21" i="48" s="1"/>
  <c r="AX16" i="48" a="1"/>
  <c r="AX16" i="48" s="1"/>
  <c r="AX10" i="48" a="1"/>
  <c r="AX10" i="48" s="1"/>
  <c r="AX13" i="48" a="1"/>
  <c r="AX13" i="48" s="1"/>
  <c r="AX7" i="48" a="1"/>
  <c r="AX7" i="48" s="1"/>
  <c r="AX48" i="48" a="1"/>
  <c r="AX48" i="48" s="1"/>
  <c r="AX44" i="48" a="1"/>
  <c r="AX44" i="48" s="1"/>
  <c r="AX40" i="48" a="1"/>
  <c r="AX40" i="48" s="1"/>
  <c r="AX35" i="48" a="1"/>
  <c r="AX35" i="48" s="1"/>
  <c r="AX32" i="48" a="1"/>
  <c r="AX32" i="48" s="1"/>
  <c r="AX31" i="48" a="1"/>
  <c r="AX31" i="48" s="1"/>
  <c r="AX24" i="48" a="1"/>
  <c r="AX24" i="48" s="1"/>
  <c r="AX20" i="48" a="1"/>
  <c r="AX20" i="48" s="1"/>
  <c r="AX18" i="48" a="1"/>
  <c r="AX18" i="48" s="1"/>
  <c r="AX9" i="48" a="1"/>
  <c r="AX9" i="48" s="1"/>
  <c r="AX11" i="48" a="1"/>
  <c r="AX11" i="48" s="1"/>
  <c r="AX50" i="48" a="1"/>
  <c r="AX50" i="48" s="1"/>
  <c r="AX46" i="48" a="1"/>
  <c r="AX46" i="48" s="1"/>
  <c r="AX42" i="48" a="1"/>
  <c r="AX42" i="48" s="1"/>
  <c r="AX37" i="48" a="1"/>
  <c r="AX37" i="48" s="1"/>
  <c r="AX33" i="48" a="1"/>
  <c r="AX33" i="48" s="1"/>
  <c r="AX29" i="48" a="1"/>
  <c r="AX29" i="48" s="1"/>
  <c r="AX27" i="48" a="1"/>
  <c r="AX27" i="48" s="1"/>
  <c r="AX22" i="48" a="1"/>
  <c r="AX22" i="48" s="1"/>
  <c r="AX17" i="48" a="1"/>
  <c r="AX17" i="48" s="1"/>
  <c r="AX12" i="48" a="1"/>
  <c r="AX12" i="48" s="1"/>
  <c r="AX15" i="48" a="1"/>
  <c r="AX15" i="48" s="1"/>
  <c r="AX6" i="48" a="1"/>
  <c r="AX6" i="48" s="1"/>
  <c r="AX38" i="48" a="1"/>
  <c r="AX38" i="48" s="1"/>
  <c r="AX5" i="48" a="1"/>
  <c r="AX5" i="48" s="1"/>
  <c r="AX26" i="48" a="1"/>
  <c r="AX26" i="48" s="1"/>
  <c r="AX47" i="48" a="1"/>
  <c r="AX47" i="48" s="1"/>
  <c r="AX14" i="48" a="1"/>
  <c r="AX14" i="48" s="1"/>
  <c r="AX36" i="48" a="1"/>
  <c r="AX36" i="48" s="1"/>
  <c r="AX28" i="48" a="1"/>
  <c r="AX28" i="48" s="1"/>
  <c r="AX8" i="48" a="1"/>
  <c r="AX8" i="48" s="1"/>
  <c r="AX19" i="48" a="1"/>
  <c r="AX19" i="48" s="1"/>
  <c r="AX51" i="48" a="1"/>
  <c r="AX51" i="48" s="1"/>
  <c r="AX45" i="48" a="1"/>
  <c r="AX45" i="48" s="1"/>
  <c r="AX25" i="48" a="1"/>
  <c r="AX25" i="48" s="1"/>
  <c r="AX2" i="48" a="1"/>
  <c r="AX2" i="48" s="1"/>
  <c r="AX3" i="48" a="1"/>
  <c r="AX3" i="48" s="1"/>
  <c r="AX4" i="48" a="1"/>
  <c r="AX4" i="48" s="1"/>
  <c r="AY1" i="48" a="1"/>
  <c r="AY1" i="48" s="1"/>
  <c r="AY49" i="48" l="1" a="1"/>
  <c r="AY49" i="48" s="1"/>
  <c r="AY45" i="48" a="1"/>
  <c r="AY45" i="48" s="1"/>
  <c r="AY42" i="48" a="1"/>
  <c r="AY42" i="48" s="1"/>
  <c r="AY37" i="48" a="1"/>
  <c r="AY37" i="48" s="1"/>
  <c r="AY36" i="48" a="1"/>
  <c r="AY36" i="48" s="1"/>
  <c r="AY48" i="48" a="1"/>
  <c r="AY48" i="48" s="1"/>
  <c r="AY43" i="48" a="1"/>
  <c r="AY43" i="48" s="1"/>
  <c r="AY41" i="48" a="1"/>
  <c r="AY41" i="48" s="1"/>
  <c r="AY35" i="48" a="1"/>
  <c r="AY35" i="48" s="1"/>
  <c r="AY29" i="48" a="1"/>
  <c r="AY29" i="48" s="1"/>
  <c r="AY28" i="48" a="1"/>
  <c r="AY28" i="48" s="1"/>
  <c r="AY27" i="48" a="1"/>
  <c r="AY27" i="48" s="1"/>
  <c r="AY20" i="48" a="1"/>
  <c r="AY20" i="48" s="1"/>
  <c r="AY19" i="48" a="1"/>
  <c r="AY19" i="48" s="1"/>
  <c r="AY14" i="48" a="1"/>
  <c r="AY14" i="48" s="1"/>
  <c r="AY50" i="48" a="1"/>
  <c r="AY50" i="48" s="1"/>
  <c r="AY46" i="48" a="1"/>
  <c r="AY46" i="48" s="1"/>
  <c r="AY40" i="48" a="1"/>
  <c r="AY40" i="48" s="1"/>
  <c r="AY38" i="48" a="1"/>
  <c r="AY38" i="48" s="1"/>
  <c r="AY33" i="48" a="1"/>
  <c r="AY33" i="48" s="1"/>
  <c r="AY31" i="48" a="1"/>
  <c r="AY31" i="48" s="1"/>
  <c r="AY25" i="48" a="1"/>
  <c r="AY25" i="48" s="1"/>
  <c r="AY21" i="48" a="1"/>
  <c r="AY21" i="48" s="1"/>
  <c r="AY17" i="48" a="1"/>
  <c r="AY17" i="48" s="1"/>
  <c r="AY13" i="48" a="1"/>
  <c r="AY13" i="48" s="1"/>
  <c r="AY10" i="48" a="1"/>
  <c r="AY10" i="48" s="1"/>
  <c r="AY7" i="48" a="1"/>
  <c r="AY7" i="48" s="1"/>
  <c r="AY44" i="48" a="1"/>
  <c r="AY44" i="48" s="1"/>
  <c r="AY26" i="48" a="1"/>
  <c r="AY26" i="48" s="1"/>
  <c r="AY16" i="48" a="1"/>
  <c r="AY16" i="48" s="1"/>
  <c r="AY9" i="48" a="1"/>
  <c r="AY9" i="48" s="1"/>
  <c r="AY30" i="48" a="1"/>
  <c r="AY30" i="48" s="1"/>
  <c r="AY23" i="48" a="1"/>
  <c r="AY23" i="48" s="1"/>
  <c r="AY15" i="48" a="1"/>
  <c r="AY15" i="48" s="1"/>
  <c r="AY8" i="48" a="1"/>
  <c r="AY8" i="48" s="1"/>
  <c r="AY51" i="48" a="1"/>
  <c r="AY51" i="48" s="1"/>
  <c r="AY6" i="48" a="1"/>
  <c r="AY6" i="48" s="1"/>
  <c r="AY47" i="48" a="1"/>
  <c r="AY47" i="48" s="1"/>
  <c r="AY24" i="48" a="1"/>
  <c r="AY24" i="48" s="1"/>
  <c r="AY18" i="48" a="1"/>
  <c r="AY18" i="48" s="1"/>
  <c r="AY12" i="48" a="1"/>
  <c r="AY12" i="48" s="1"/>
  <c r="AY5" i="48" a="1"/>
  <c r="AY5" i="48" s="1"/>
  <c r="AY32" i="48" a="1"/>
  <c r="AY32" i="48" s="1"/>
  <c r="AY39" i="48" a="1"/>
  <c r="AY39" i="48" s="1"/>
  <c r="AY34" i="48" a="1"/>
  <c r="AY34" i="48" s="1"/>
  <c r="AY22" i="48" a="1"/>
  <c r="AY22" i="48" s="1"/>
  <c r="AY11" i="48" a="1"/>
  <c r="AY11" i="48" s="1"/>
  <c r="AY2" i="48" a="1"/>
  <c r="AY2" i="48" s="1"/>
  <c r="AY4" i="48" a="1"/>
  <c r="AY4" i="48" s="1"/>
  <c r="AY3" i="48" a="1"/>
  <c r="AY3" i="48" s="1"/>
  <c r="AZ1" i="48" a="1"/>
  <c r="AZ1" i="48" s="1"/>
  <c r="AZ50" i="48" l="1" a="1"/>
  <c r="AZ50" i="48" s="1"/>
  <c r="AZ47" i="48" a="1"/>
  <c r="AZ47" i="48" s="1"/>
  <c r="AZ41" i="48" a="1"/>
  <c r="AZ41" i="48" s="1"/>
  <c r="AZ38" i="48" a="1"/>
  <c r="AZ38" i="48" s="1"/>
  <c r="AZ36" i="48" a="1"/>
  <c r="AZ36" i="48" s="1"/>
  <c r="AZ32" i="48" a="1"/>
  <c r="AZ32" i="48" s="1"/>
  <c r="AZ26" i="48" a="1"/>
  <c r="AZ26" i="48" s="1"/>
  <c r="AZ22" i="48" a="1"/>
  <c r="AZ22" i="48" s="1"/>
  <c r="AZ17" i="48" a="1"/>
  <c r="AZ17" i="48" s="1"/>
  <c r="AZ13" i="48" a="1"/>
  <c r="AZ13" i="48" s="1"/>
  <c r="AZ14" i="48" a="1"/>
  <c r="AZ14" i="48" s="1"/>
  <c r="AZ5" i="48" a="1"/>
  <c r="AZ5" i="48" s="1"/>
  <c r="AZ51" i="48" a="1"/>
  <c r="AZ51" i="48" s="1"/>
  <c r="AZ43" i="48" a="1"/>
  <c r="AZ43" i="48" s="1"/>
  <c r="AZ31" i="48" a="1"/>
  <c r="AZ31" i="48" s="1"/>
  <c r="AZ18" i="48" a="1"/>
  <c r="AZ18" i="48" s="1"/>
  <c r="AZ11" i="48" a="1"/>
  <c r="AZ11" i="48" s="1"/>
  <c r="AZ44" i="48" a="1"/>
  <c r="AZ44" i="48" s="1"/>
  <c r="AZ28" i="48" a="1"/>
  <c r="AZ28" i="48" s="1"/>
  <c r="AZ27" i="48" a="1"/>
  <c r="AZ27" i="48" s="1"/>
  <c r="AZ9" i="48" a="1"/>
  <c r="AZ9" i="48" s="1"/>
  <c r="AZ45" i="48" a="1"/>
  <c r="AZ45" i="48" s="1"/>
  <c r="AZ37" i="48" a="1"/>
  <c r="AZ37" i="48" s="1"/>
  <c r="AZ23" i="48" a="1"/>
  <c r="AZ23" i="48" s="1"/>
  <c r="AZ8" i="48" a="1"/>
  <c r="AZ8" i="48" s="1"/>
  <c r="AZ6" i="48" a="1"/>
  <c r="AZ6" i="48" s="1"/>
  <c r="AZ49" i="48" a="1"/>
  <c r="AZ49" i="48" s="1"/>
  <c r="AZ34" i="48" a="1"/>
  <c r="AZ34" i="48" s="1"/>
  <c r="AZ24" i="48" a="1"/>
  <c r="AZ24" i="48" s="1"/>
  <c r="AZ16" i="48" a="1"/>
  <c r="AZ16" i="48" s="1"/>
  <c r="AZ40" i="48" a="1"/>
  <c r="AZ40" i="48" s="1"/>
  <c r="AZ25" i="48" a="1"/>
  <c r="AZ25" i="48" s="1"/>
  <c r="AZ21" i="48" a="1"/>
  <c r="AZ21" i="48" s="1"/>
  <c r="AZ10" i="48" a="1"/>
  <c r="AZ10" i="48" s="1"/>
  <c r="AZ42" i="48" a="1"/>
  <c r="AZ42" i="48" s="1"/>
  <c r="AZ7" i="48" a="1"/>
  <c r="AZ7" i="48" s="1"/>
  <c r="AZ39" i="48" a="1"/>
  <c r="AZ39" i="48" s="1"/>
  <c r="AZ33" i="48" a="1"/>
  <c r="AZ33" i="48" s="1"/>
  <c r="AZ20" i="48" a="1"/>
  <c r="AZ20" i="48" s="1"/>
  <c r="AZ19" i="48" a="1"/>
  <c r="AZ19" i="48" s="1"/>
  <c r="AZ30" i="48" a="1"/>
  <c r="AZ30" i="48" s="1"/>
  <c r="AZ35" i="48" a="1"/>
  <c r="AZ35" i="48" s="1"/>
  <c r="AZ29" i="48" a="1"/>
  <c r="AZ29" i="48" s="1"/>
  <c r="AZ15" i="48" a="1"/>
  <c r="AZ15" i="48" s="1"/>
  <c r="AZ46" i="48" a="1"/>
  <c r="AZ46" i="48" s="1"/>
  <c r="AZ12" i="48" a="1"/>
  <c r="AZ12" i="48" s="1"/>
  <c r="AZ48" i="48" a="1"/>
  <c r="AZ48" i="48" s="1"/>
  <c r="AZ4" i="48" a="1"/>
  <c r="AZ4" i="48" s="1"/>
  <c r="AZ3" i="48" a="1"/>
  <c r="AZ3" i="48" s="1"/>
  <c r="AZ2" i="48" a="1"/>
  <c r="AZ2" i="48" s="1"/>
  <c r="BA1" i="48" a="1"/>
  <c r="BA1" i="48" s="1"/>
  <c r="BA50" i="48" l="1" a="1"/>
  <c r="BA50" i="48" s="1"/>
  <c r="BA47" i="48" a="1"/>
  <c r="BA47" i="48" s="1"/>
  <c r="BA41" i="48" a="1"/>
  <c r="BA41" i="48" s="1"/>
  <c r="BA38" i="48" a="1"/>
  <c r="BA38" i="48" s="1"/>
  <c r="BA33" i="48" a="1"/>
  <c r="BA33" i="48" s="1"/>
  <c r="BA29" i="48" a="1"/>
  <c r="BA29" i="48" s="1"/>
  <c r="BA23" i="48" a="1"/>
  <c r="BA23" i="48" s="1"/>
  <c r="BA22" i="48" a="1"/>
  <c r="BA22" i="48" s="1"/>
  <c r="BA17" i="48" a="1"/>
  <c r="BA17" i="48" s="1"/>
  <c r="BA12" i="48" a="1"/>
  <c r="BA12" i="48" s="1"/>
  <c r="BA11" i="48" a="1"/>
  <c r="BA11" i="48" s="1"/>
  <c r="BA6" i="48" a="1"/>
  <c r="BA6" i="48" s="1"/>
  <c r="BA48" i="48" a="1"/>
  <c r="BA48" i="48" s="1"/>
  <c r="BA35" i="48" a="1"/>
  <c r="BA35" i="48" s="1"/>
  <c r="BA30" i="48" a="1"/>
  <c r="BA30" i="48" s="1"/>
  <c r="BA18" i="48" a="1"/>
  <c r="BA18" i="48" s="1"/>
  <c r="BA46" i="48" a="1"/>
  <c r="BA46" i="48" s="1"/>
  <c r="BA40" i="48" a="1"/>
  <c r="BA40" i="48" s="1"/>
  <c r="BA31" i="48" a="1"/>
  <c r="BA31" i="48" s="1"/>
  <c r="BA14" i="48" a="1"/>
  <c r="BA14" i="48" s="1"/>
  <c r="BA9" i="48" a="1"/>
  <c r="BA9" i="48" s="1"/>
  <c r="BA42" i="48" a="1"/>
  <c r="BA42" i="48" s="1"/>
  <c r="BA27" i="48" a="1"/>
  <c r="BA27" i="48" s="1"/>
  <c r="BA21" i="48" a="1"/>
  <c r="BA21" i="48" s="1"/>
  <c r="BA8" i="48" a="1"/>
  <c r="BA8" i="48" s="1"/>
  <c r="BA37" i="48" a="1"/>
  <c r="BA37" i="48" s="1"/>
  <c r="BA34" i="48" a="1"/>
  <c r="BA34" i="48" s="1"/>
  <c r="BA20" i="48" a="1"/>
  <c r="BA20" i="48" s="1"/>
  <c r="BA7" i="48" a="1"/>
  <c r="BA7" i="48" s="1"/>
  <c r="BA43" i="48" a="1"/>
  <c r="BA43" i="48" s="1"/>
  <c r="BA39" i="48" a="1"/>
  <c r="BA39" i="48" s="1"/>
  <c r="BA25" i="48" a="1"/>
  <c r="BA25" i="48" s="1"/>
  <c r="BA13" i="48" a="1"/>
  <c r="BA13" i="48" s="1"/>
  <c r="BA5" i="48" a="1"/>
  <c r="BA5" i="48" s="1"/>
  <c r="BA19" i="48" a="1"/>
  <c r="BA19" i="48" s="1"/>
  <c r="BA51" i="48" a="1"/>
  <c r="BA51" i="48" s="1"/>
  <c r="BA36" i="48" a="1"/>
  <c r="BA36" i="48" s="1"/>
  <c r="BA28" i="48" a="1"/>
  <c r="BA28" i="48" s="1"/>
  <c r="BA16" i="48" a="1"/>
  <c r="BA16" i="48" s="1"/>
  <c r="BA49" i="48" a="1"/>
  <c r="BA49" i="48" s="1"/>
  <c r="BA32" i="48" a="1"/>
  <c r="BA32" i="48" s="1"/>
  <c r="BA10" i="48" a="1"/>
  <c r="BA10" i="48" s="1"/>
  <c r="BA24" i="48" a="1"/>
  <c r="BA24" i="48" s="1"/>
  <c r="BA26" i="48" a="1"/>
  <c r="BA26" i="48" s="1"/>
  <c r="BA44" i="48" a="1"/>
  <c r="BA44" i="48" s="1"/>
  <c r="BA45" i="48" a="1"/>
  <c r="BA45" i="48" s="1"/>
  <c r="BA15" i="48" a="1"/>
  <c r="BA15" i="48" s="1"/>
  <c r="BA2" i="48" a="1"/>
  <c r="BA2" i="48" s="1"/>
  <c r="BA3" i="48" a="1"/>
  <c r="BA3" i="48" s="1"/>
  <c r="BA4" i="48" a="1"/>
  <c r="BA4" i="48" s="1"/>
  <c r="BB1" i="48" a="1"/>
  <c r="BB1" i="48" s="1"/>
  <c r="BB51" i="48" l="1" a="1"/>
  <c r="BB51" i="48" s="1"/>
  <c r="BB50" i="48" a="1"/>
  <c r="BB50" i="48" s="1"/>
  <c r="BB41" i="48" a="1"/>
  <c r="BB41" i="48" s="1"/>
  <c r="BB27" i="48" a="1"/>
  <c r="BB27" i="48" s="1"/>
  <c r="BB11" i="48" a="1"/>
  <c r="BB11" i="48" s="1"/>
  <c r="BB45" i="48" a="1"/>
  <c r="BB45" i="48" s="1"/>
  <c r="BB38" i="48" a="1"/>
  <c r="BB38" i="48" s="1"/>
  <c r="BB35" i="48" a="1"/>
  <c r="BB35" i="48" s="1"/>
  <c r="BB28" i="48" a="1"/>
  <c r="BB28" i="48" s="1"/>
  <c r="BB23" i="48" a="1"/>
  <c r="BB23" i="48" s="1"/>
  <c r="BB17" i="48" a="1"/>
  <c r="BB17" i="48" s="1"/>
  <c r="BB10" i="48" a="1"/>
  <c r="BB10" i="48" s="1"/>
  <c r="BB6" i="48" a="1"/>
  <c r="BB6" i="48" s="1"/>
  <c r="BB43" i="48" a="1"/>
  <c r="BB43" i="48" s="1"/>
  <c r="BB29" i="48" a="1"/>
  <c r="BB29" i="48" s="1"/>
  <c r="BB9" i="48" a="1"/>
  <c r="BB9" i="48" s="1"/>
  <c r="BB49" i="48" a="1"/>
  <c r="BB49" i="48" s="1"/>
  <c r="BB44" i="48" a="1"/>
  <c r="BB44" i="48" s="1"/>
  <c r="BB39" i="48" a="1"/>
  <c r="BB39" i="48" s="1"/>
  <c r="BB34" i="48" a="1"/>
  <c r="BB34" i="48" s="1"/>
  <c r="BB24" i="48" a="1"/>
  <c r="BB24" i="48" s="1"/>
  <c r="BB22" i="48" a="1"/>
  <c r="BB22" i="48" s="1"/>
  <c r="BB16" i="48" a="1"/>
  <c r="BB16" i="48" s="1"/>
  <c r="BB8" i="48" a="1"/>
  <c r="BB8" i="48" s="1"/>
  <c r="BB5" i="48" a="1"/>
  <c r="BB5" i="48" s="1"/>
  <c r="BB36" i="48" a="1"/>
  <c r="BB36" i="48" s="1"/>
  <c r="BB20" i="48" a="1"/>
  <c r="BB20" i="48" s="1"/>
  <c r="BB37" i="48" a="1"/>
  <c r="BB37" i="48" s="1"/>
  <c r="BB13" i="48" a="1"/>
  <c r="BB13" i="48" s="1"/>
  <c r="BB48" i="48" a="1"/>
  <c r="BB48" i="48" s="1"/>
  <c r="BB33" i="48" a="1"/>
  <c r="BB33" i="48" s="1"/>
  <c r="BB21" i="48" a="1"/>
  <c r="BB21" i="48" s="1"/>
  <c r="BB47" i="48" a="1"/>
  <c r="BB47" i="48" s="1"/>
  <c r="BB32" i="48" a="1"/>
  <c r="BB32" i="48" s="1"/>
  <c r="BB19" i="48" a="1"/>
  <c r="BB19" i="48" s="1"/>
  <c r="BB7" i="48" a="1"/>
  <c r="BB7" i="48" s="1"/>
  <c r="BB46" i="48" a="1"/>
  <c r="BB46" i="48" s="1"/>
  <c r="BB30" i="48" a="1"/>
  <c r="BB30" i="48" s="1"/>
  <c r="BB18" i="48" a="1"/>
  <c r="BB18" i="48" s="1"/>
  <c r="BB40" i="48" a="1"/>
  <c r="BB40" i="48" s="1"/>
  <c r="BB25" i="48" a="1"/>
  <c r="BB25" i="48" s="1"/>
  <c r="BB42" i="48" a="1"/>
  <c r="BB42" i="48" s="1"/>
  <c r="BB31" i="48" a="1"/>
  <c r="BB31" i="48" s="1"/>
  <c r="BB12" i="48" a="1"/>
  <c r="BB12" i="48" s="1"/>
  <c r="BB15" i="48" a="1"/>
  <c r="BB15" i="48" s="1"/>
  <c r="BB26" i="48" a="1"/>
  <c r="BB26" i="48" s="1"/>
  <c r="BB2" i="48" a="1"/>
  <c r="BB2" i="48" s="1"/>
  <c r="BB14" i="48" a="1"/>
  <c r="BB14" i="48" s="1"/>
  <c r="BB4" i="48" a="1"/>
  <c r="BB4" i="48" s="1"/>
  <c r="BB3" i="48" a="1"/>
  <c r="BB3" i="48" s="1"/>
  <c r="BC1" i="48" a="1"/>
  <c r="BC1" i="48" s="1"/>
  <c r="BC41" i="48" l="1" a="1"/>
  <c r="BC41" i="48" s="1"/>
  <c r="BC24" i="48" a="1"/>
  <c r="BC24" i="48" s="1"/>
  <c r="BC8" i="48" a="1"/>
  <c r="BC8" i="48" s="1"/>
  <c r="BC50" i="48" a="1"/>
  <c r="BC50" i="48" s="1"/>
  <c r="BC43" i="48" a="1"/>
  <c r="BC43" i="48" s="1"/>
  <c r="BC39" i="48" a="1"/>
  <c r="BC39" i="48" s="1"/>
  <c r="BC36" i="48" a="1"/>
  <c r="BC36" i="48" s="1"/>
  <c r="BC32" i="48" a="1"/>
  <c r="BC32" i="48" s="1"/>
  <c r="BC25" i="48" a="1"/>
  <c r="BC25" i="48" s="1"/>
  <c r="BC17" i="48" a="1"/>
  <c r="BC17" i="48" s="1"/>
  <c r="BC11" i="48" a="1"/>
  <c r="BC11" i="48" s="1"/>
  <c r="BC6" i="48" a="1"/>
  <c r="BC6" i="48" s="1"/>
  <c r="BC44" i="48" a="1"/>
  <c r="BC44" i="48" s="1"/>
  <c r="BC30" i="48" a="1"/>
  <c r="BC30" i="48" s="1"/>
  <c r="BC14" i="48" a="1"/>
  <c r="BC14" i="48" s="1"/>
  <c r="BC48" i="48" a="1"/>
  <c r="BC48" i="48" s="1"/>
  <c r="BC45" i="48" a="1"/>
  <c r="BC45" i="48" s="1"/>
  <c r="BC37" i="48" a="1"/>
  <c r="BC37" i="48" s="1"/>
  <c r="BC33" i="48" a="1"/>
  <c r="BC33" i="48" s="1"/>
  <c r="BC26" i="48" a="1"/>
  <c r="BC26" i="48" s="1"/>
  <c r="BC22" i="48" a="1"/>
  <c r="BC22" i="48" s="1"/>
  <c r="BC16" i="48" a="1"/>
  <c r="BC16" i="48" s="1"/>
  <c r="BC12" i="48" a="1"/>
  <c r="BC12" i="48" s="1"/>
  <c r="BC5" i="48" a="1"/>
  <c r="BC5" i="48" s="1"/>
  <c r="BC35" i="48" a="1"/>
  <c r="BC35" i="48" s="1"/>
  <c r="BC20" i="48" a="1"/>
  <c r="BC20" i="48" s="1"/>
  <c r="BC42" i="48" a="1"/>
  <c r="BC42" i="48" s="1"/>
  <c r="BC13" i="48" a="1"/>
  <c r="BC13" i="48" s="1"/>
  <c r="BC40" i="48" a="1"/>
  <c r="BC40" i="48" s="1"/>
  <c r="BC27" i="48" a="1"/>
  <c r="BC27" i="48" s="1"/>
  <c r="BC23" i="48" a="1"/>
  <c r="BC23" i="48" s="1"/>
  <c r="BC10" i="48" a="1"/>
  <c r="BC10" i="48" s="1"/>
  <c r="BC51" i="48" a="1"/>
  <c r="BC51" i="48" s="1"/>
  <c r="BC38" i="48" a="1"/>
  <c r="BC38" i="48" s="1"/>
  <c r="BC9" i="48" a="1"/>
  <c r="BC9" i="48" s="1"/>
  <c r="BC47" i="48" a="1"/>
  <c r="BC47" i="48" s="1"/>
  <c r="BC28" i="48" a="1"/>
  <c r="BC28" i="48" s="1"/>
  <c r="BC19" i="48" a="1"/>
  <c r="BC19" i="48" s="1"/>
  <c r="BC49" i="48" a="1"/>
  <c r="BC49" i="48" s="1"/>
  <c r="BC15" i="48" a="1"/>
  <c r="BC15" i="48" s="1"/>
  <c r="BC46" i="48" a="1"/>
  <c r="BC46" i="48" s="1"/>
  <c r="BC7" i="48" a="1"/>
  <c r="BC7" i="48" s="1"/>
  <c r="BC34" i="48" a="1"/>
  <c r="BC34" i="48" s="1"/>
  <c r="BC21" i="48" a="1"/>
  <c r="BC21" i="48" s="1"/>
  <c r="BC18" i="48" a="1"/>
  <c r="BC18" i="48" s="1"/>
  <c r="BC31" i="48" a="1"/>
  <c r="BC31" i="48" s="1"/>
  <c r="BC4" i="48" a="1"/>
  <c r="BC4" i="48" s="1"/>
  <c r="BC3" i="48" a="1"/>
  <c r="BC3" i="48" s="1"/>
  <c r="BC29" i="48" a="1"/>
  <c r="BC29" i="48" s="1"/>
  <c r="BC2" i="48" a="1"/>
  <c r="BC2" i="48" s="1"/>
  <c r="BD1" i="48" a="1"/>
  <c r="BD1" i="48" s="1"/>
  <c r="BD40" i="48" l="1" a="1"/>
  <c r="BD40" i="48" s="1"/>
  <c r="BD51" i="48" a="1"/>
  <c r="BD51" i="48" s="1"/>
  <c r="BD44" i="48" a="1"/>
  <c r="BD44" i="48" s="1"/>
  <c r="BD39" i="48" a="1"/>
  <c r="BD39" i="48" s="1"/>
  <c r="BD34" i="48" a="1"/>
  <c r="BD34" i="48" s="1"/>
  <c r="BD30" i="48" a="1"/>
  <c r="BD30" i="48" s="1"/>
  <c r="BD27" i="48" a="1"/>
  <c r="BD27" i="48" s="1"/>
  <c r="BD26" i="48" a="1"/>
  <c r="BD26" i="48" s="1"/>
  <c r="BD18" i="48" a="1"/>
  <c r="BD18" i="48" s="1"/>
  <c r="BD15" i="48" a="1"/>
  <c r="BD15" i="48" s="1"/>
  <c r="BD8" i="48" a="1"/>
  <c r="BD8" i="48" s="1"/>
  <c r="BD7" i="48" a="1"/>
  <c r="BD7" i="48" s="1"/>
  <c r="BD45" i="48" a="1"/>
  <c r="BD45" i="48" s="1"/>
  <c r="BD48" i="48" a="1"/>
  <c r="BD48" i="48" s="1"/>
  <c r="BD43" i="48" a="1"/>
  <c r="BD43" i="48" s="1"/>
  <c r="BD37" i="48" a="1"/>
  <c r="BD37" i="48" s="1"/>
  <c r="BD33" i="48" a="1"/>
  <c r="BD33" i="48" s="1"/>
  <c r="BD32" i="48" a="1"/>
  <c r="BD32" i="48" s="1"/>
  <c r="BD23" i="48" a="1"/>
  <c r="BD23" i="48" s="1"/>
  <c r="BD22" i="48" a="1"/>
  <c r="BD22" i="48" s="1"/>
  <c r="BD17" i="48" a="1"/>
  <c r="BD17" i="48" s="1"/>
  <c r="BD13" i="48" a="1"/>
  <c r="BD13" i="48" s="1"/>
  <c r="BD14" i="48" a="1"/>
  <c r="BD14" i="48" s="1"/>
  <c r="BD6" i="48" a="1"/>
  <c r="BD6" i="48" s="1"/>
  <c r="BD46" i="48" a="1"/>
  <c r="BD46" i="48" s="1"/>
  <c r="BD25" i="48" a="1"/>
  <c r="BD25" i="48" s="1"/>
  <c r="BD11" i="48" a="1"/>
  <c r="BD11" i="48" s="1"/>
  <c r="BD47" i="48" a="1"/>
  <c r="BD47" i="48" s="1"/>
  <c r="BD35" i="48" a="1"/>
  <c r="BD35" i="48" s="1"/>
  <c r="BD9" i="48" a="1"/>
  <c r="BD9" i="48" s="1"/>
  <c r="BD29" i="48" a="1"/>
  <c r="BD29" i="48" s="1"/>
  <c r="BD21" i="48" a="1"/>
  <c r="BD21" i="48" s="1"/>
  <c r="BD42" i="48" a="1"/>
  <c r="BD42" i="48" s="1"/>
  <c r="BD20" i="48" a="1"/>
  <c r="BD20" i="48" s="1"/>
  <c r="BD12" i="48" a="1"/>
  <c r="BD12" i="48" s="1"/>
  <c r="BD50" i="48" a="1"/>
  <c r="BD50" i="48" s="1"/>
  <c r="BD38" i="48" a="1"/>
  <c r="BD38" i="48" s="1"/>
  <c r="BD19" i="48" a="1"/>
  <c r="BD19" i="48" s="1"/>
  <c r="BD5" i="48" a="1"/>
  <c r="BD5" i="48" s="1"/>
  <c r="BD28" i="48" a="1"/>
  <c r="BD28" i="48" s="1"/>
  <c r="BD24" i="48" a="1"/>
  <c r="BD24" i="48" s="1"/>
  <c r="BD49" i="48" a="1"/>
  <c r="BD49" i="48" s="1"/>
  <c r="BD16" i="48" a="1"/>
  <c r="BD16" i="48" s="1"/>
  <c r="BD36" i="48" a="1"/>
  <c r="BD36" i="48" s="1"/>
  <c r="BD31" i="48" a="1"/>
  <c r="BD31" i="48" s="1"/>
  <c r="BD41" i="48" a="1"/>
  <c r="BD41" i="48" s="1"/>
  <c r="BD10" i="48" a="1"/>
  <c r="BD10" i="48" s="1"/>
  <c r="BD4" i="48" a="1"/>
  <c r="BD4" i="48" s="1"/>
  <c r="BD3" i="48" a="1"/>
  <c r="BD3" i="48" s="1"/>
  <c r="BD2" i="48" a="1"/>
  <c r="BD2" i="48" s="1"/>
  <c r="BE1" i="48" a="1"/>
  <c r="BE1" i="48" s="1"/>
  <c r="BE51" i="48" l="1" a="1"/>
  <c r="BE51" i="48" s="1"/>
  <c r="BE47" i="48" a="1"/>
  <c r="BE47" i="48" s="1"/>
  <c r="BE45" i="48" a="1"/>
  <c r="BE45" i="48" s="1"/>
  <c r="BE38" i="48" a="1"/>
  <c r="BE38" i="48" s="1"/>
  <c r="BE36" i="48" a="1"/>
  <c r="BE36" i="48" s="1"/>
  <c r="BE32" i="48" a="1"/>
  <c r="BE32" i="48" s="1"/>
  <c r="BE25" i="48" a="1"/>
  <c r="BE25" i="48" s="1"/>
  <c r="BE24" i="48" a="1"/>
  <c r="BE24" i="48" s="1"/>
  <c r="BE19" i="48" a="1"/>
  <c r="BE19" i="48" s="1"/>
  <c r="BE14" i="48" a="1"/>
  <c r="BE14" i="48" s="1"/>
  <c r="BE13" i="48" a="1"/>
  <c r="BE13" i="48" s="1"/>
  <c r="BE7" i="48" a="1"/>
  <c r="BE7" i="48" s="1"/>
  <c r="BE50" i="48" a="1"/>
  <c r="BE50" i="48" s="1"/>
  <c r="BE46" i="48" a="1"/>
  <c r="BE46" i="48" s="1"/>
  <c r="BE41" i="48" a="1"/>
  <c r="BE41" i="48" s="1"/>
  <c r="BE37" i="48" a="1"/>
  <c r="BE37" i="48" s="1"/>
  <c r="BE35" i="48" a="1"/>
  <c r="BE35" i="48" s="1"/>
  <c r="BE31" i="48" a="1"/>
  <c r="BE31" i="48" s="1"/>
  <c r="BE26" i="48" a="1"/>
  <c r="BE26" i="48" s="1"/>
  <c r="BE22" i="48" a="1"/>
  <c r="BE22" i="48" s="1"/>
  <c r="BE17" i="48" a="1"/>
  <c r="BE17" i="48" s="1"/>
  <c r="BE12" i="48" a="1"/>
  <c r="BE12" i="48" s="1"/>
  <c r="BE11" i="48" a="1"/>
  <c r="BE11" i="48" s="1"/>
  <c r="BE5" i="48" a="1"/>
  <c r="BE5" i="48" s="1"/>
  <c r="BE42" i="48" a="1"/>
  <c r="BE42" i="48" s="1"/>
  <c r="BE28" i="48" a="1"/>
  <c r="BE28" i="48" s="1"/>
  <c r="BE8" i="48" a="1"/>
  <c r="BE8" i="48" s="1"/>
  <c r="BE49" i="48" a="1"/>
  <c r="BE49" i="48" s="1"/>
  <c r="BE29" i="48" a="1"/>
  <c r="BE29" i="48" s="1"/>
  <c r="BE16" i="48" a="1"/>
  <c r="BE16" i="48" s="1"/>
  <c r="BE48" i="48" a="1"/>
  <c r="BE48" i="48" s="1"/>
  <c r="BE39" i="48" a="1"/>
  <c r="BE39" i="48" s="1"/>
  <c r="BE18" i="48" a="1"/>
  <c r="BE18" i="48" s="1"/>
  <c r="BE6" i="48" a="1"/>
  <c r="BE6" i="48" s="1"/>
  <c r="BE34" i="48" a="1"/>
  <c r="BE34" i="48" s="1"/>
  <c r="BE27" i="48" a="1"/>
  <c r="BE27" i="48" s="1"/>
  <c r="BE30" i="48" a="1"/>
  <c r="BE30" i="48" s="1"/>
  <c r="BE21" i="48" a="1"/>
  <c r="BE21" i="48" s="1"/>
  <c r="BE43" i="48" a="1"/>
  <c r="BE43" i="48" s="1"/>
  <c r="BE20" i="48" a="1"/>
  <c r="BE20" i="48" s="1"/>
  <c r="BE44" i="48" a="1"/>
  <c r="BE44" i="48" s="1"/>
  <c r="BE10" i="48" a="1"/>
  <c r="BE10" i="48" s="1"/>
  <c r="BE40" i="48" a="1"/>
  <c r="BE40" i="48" s="1"/>
  <c r="BE15" i="48" a="1"/>
  <c r="BE15" i="48" s="1"/>
  <c r="BE9" i="48" a="1"/>
  <c r="BE9" i="48" s="1"/>
  <c r="BE23" i="48" a="1"/>
  <c r="BE23" i="48" s="1"/>
  <c r="BE33" i="48" a="1"/>
  <c r="BE33" i="48" s="1"/>
  <c r="BE3" i="48" a="1"/>
  <c r="BE3" i="48" s="1"/>
  <c r="BE2" i="48" a="1"/>
  <c r="BE2" i="48" s="1"/>
  <c r="BE4" i="48" a="1"/>
  <c r="BE4" i="48" s="1"/>
  <c r="BF1" i="48" a="1"/>
  <c r="BF1" i="48" s="1"/>
  <c r="BF51" i="48" l="1" a="1"/>
  <c r="BF51" i="48" s="1"/>
  <c r="BF47" i="48" a="1"/>
  <c r="BF47" i="48" s="1"/>
  <c r="BF45" i="48" a="1"/>
  <c r="BF45" i="48" s="1"/>
  <c r="BF50" i="48" a="1"/>
  <c r="BF50" i="48" s="1"/>
  <c r="BF46" i="48" a="1"/>
  <c r="BF46" i="48" s="1"/>
  <c r="BF42" i="48" a="1"/>
  <c r="BF42" i="48" s="1"/>
  <c r="BF37" i="48" a="1"/>
  <c r="BF37" i="48" s="1"/>
  <c r="BF34" i="48" a="1"/>
  <c r="BF34" i="48" s="1"/>
  <c r="BF29" i="48" a="1"/>
  <c r="BF29" i="48" s="1"/>
  <c r="BF27" i="48" a="1"/>
  <c r="BF27" i="48" s="1"/>
  <c r="BF22" i="48" a="1"/>
  <c r="BF22" i="48" s="1"/>
  <c r="BF17" i="48" a="1"/>
  <c r="BF17" i="48" s="1"/>
  <c r="BF12" i="48" a="1"/>
  <c r="BF12" i="48" s="1"/>
  <c r="BF15" i="48" a="1"/>
  <c r="BF15" i="48" s="1"/>
  <c r="BF6" i="48" a="1"/>
  <c r="BF6" i="48" s="1"/>
  <c r="BF43" i="48" a="1"/>
  <c r="BF43" i="48" s="1"/>
  <c r="BF35" i="48" a="1"/>
  <c r="BF35" i="48" s="1"/>
  <c r="BF31" i="48" a="1"/>
  <c r="BF31" i="48" s="1"/>
  <c r="BF20" i="48" a="1"/>
  <c r="BF20" i="48" s="1"/>
  <c r="BF9" i="48" a="1"/>
  <c r="BF9" i="48" s="1"/>
  <c r="BF44" i="48" a="1"/>
  <c r="BF44" i="48" s="1"/>
  <c r="BF33" i="48" a="1"/>
  <c r="BF33" i="48" s="1"/>
  <c r="BF26" i="48" a="1"/>
  <c r="BF26" i="48" s="1"/>
  <c r="BF19" i="48" a="1"/>
  <c r="BF19" i="48" s="1"/>
  <c r="BF8" i="48" a="1"/>
  <c r="BF8" i="48" s="1"/>
  <c r="BF40" i="48" a="1"/>
  <c r="BF40" i="48" s="1"/>
  <c r="BF36" i="48" a="1"/>
  <c r="BF36" i="48" s="1"/>
  <c r="BF23" i="48" a="1"/>
  <c r="BF23" i="48" s="1"/>
  <c r="BF16" i="48" a="1"/>
  <c r="BF16" i="48" s="1"/>
  <c r="BF13" i="48" a="1"/>
  <c r="BF13" i="48" s="1"/>
  <c r="BF48" i="48" a="1"/>
  <c r="BF48" i="48" s="1"/>
  <c r="BF38" i="48" a="1"/>
  <c r="BF38" i="48" s="1"/>
  <c r="BF18" i="48" a="1"/>
  <c r="BF18" i="48" s="1"/>
  <c r="BF39" i="48" a="1"/>
  <c r="BF39" i="48" s="1"/>
  <c r="BF14" i="48" a="1"/>
  <c r="BF14" i="48" s="1"/>
  <c r="BF32" i="48" a="1"/>
  <c r="BF32" i="48" s="1"/>
  <c r="BF10" i="48" a="1"/>
  <c r="BF10" i="48" s="1"/>
  <c r="BF28" i="48" a="1"/>
  <c r="BF28" i="48" s="1"/>
  <c r="BF11" i="48" a="1"/>
  <c r="BF11" i="48" s="1"/>
  <c r="BF25" i="48" a="1"/>
  <c r="BF25" i="48" s="1"/>
  <c r="BF41" i="48" a="1"/>
  <c r="BF41" i="48" s="1"/>
  <c r="BF21" i="48" a="1"/>
  <c r="BF21" i="48" s="1"/>
  <c r="BF30" i="48" a="1"/>
  <c r="BF30" i="48" s="1"/>
  <c r="BF24" i="48" a="1"/>
  <c r="BF24" i="48" s="1"/>
  <c r="BF5" i="48" a="1"/>
  <c r="BF5" i="48" s="1"/>
  <c r="BF7" i="48" a="1"/>
  <c r="BF7" i="48" s="1"/>
  <c r="BF4" i="48" a="1"/>
  <c r="BF4" i="48" s="1"/>
  <c r="BF3" i="48" a="1"/>
  <c r="BF3" i="48" s="1"/>
  <c r="BF49" i="48" a="1"/>
  <c r="BF49" i="48" s="1"/>
  <c r="BF2" i="48" a="1"/>
  <c r="BF2" i="48" s="1"/>
  <c r="BG1" i="48" a="1"/>
  <c r="BG1" i="48" s="1"/>
  <c r="BG51" i="48" l="1" a="1"/>
  <c r="BG51" i="48" s="1"/>
  <c r="BG47" i="48" a="1"/>
  <c r="BG47" i="48" s="1"/>
  <c r="BG44" i="48" a="1"/>
  <c r="BG44" i="48" s="1"/>
  <c r="BG39" i="48" a="1"/>
  <c r="BG39" i="48" s="1"/>
  <c r="BG36" i="48" a="1"/>
  <c r="BG36" i="48" s="1"/>
  <c r="BG30" i="48" a="1"/>
  <c r="BG30" i="48" s="1"/>
  <c r="BG24" i="48" a="1"/>
  <c r="BG24" i="48" s="1"/>
  <c r="BG23" i="48" a="1"/>
  <c r="BG23" i="48" s="1"/>
  <c r="BG18" i="48" a="1"/>
  <c r="BG18" i="48" s="1"/>
  <c r="BG15" i="48" a="1"/>
  <c r="BG15" i="48" s="1"/>
  <c r="BG12" i="48" a="1"/>
  <c r="BG12" i="48" s="1"/>
  <c r="BG6" i="48" a="1"/>
  <c r="BG6" i="48" s="1"/>
  <c r="BG45" i="48" a="1"/>
  <c r="BG45" i="48" s="1"/>
  <c r="BG37" i="48" a="1"/>
  <c r="BG37" i="48" s="1"/>
  <c r="BG32" i="48" a="1"/>
  <c r="BG32" i="48" s="1"/>
  <c r="BG22" i="48" a="1"/>
  <c r="BG22" i="48" s="1"/>
  <c r="BG11" i="48" a="1"/>
  <c r="BG11" i="48" s="1"/>
  <c r="BG5" i="48" a="1"/>
  <c r="BG5" i="48" s="1"/>
  <c r="BG43" i="48" a="1"/>
  <c r="BG43" i="48" s="1"/>
  <c r="BG34" i="48" a="1"/>
  <c r="BG34" i="48" s="1"/>
  <c r="BG28" i="48" a="1"/>
  <c r="BG28" i="48" s="1"/>
  <c r="BG20" i="48" a="1"/>
  <c r="BG20" i="48" s="1"/>
  <c r="BG14" i="48" a="1"/>
  <c r="BG14" i="48" s="1"/>
  <c r="BG50" i="48" a="1"/>
  <c r="BG50" i="48" s="1"/>
  <c r="BG42" i="48" a="1"/>
  <c r="BG42" i="48" s="1"/>
  <c r="BG33" i="48" a="1"/>
  <c r="BG33" i="48" s="1"/>
  <c r="BG25" i="48" a="1"/>
  <c r="BG25" i="48" s="1"/>
  <c r="BG17" i="48" a="1"/>
  <c r="BG17" i="48" s="1"/>
  <c r="BG10" i="48" a="1"/>
  <c r="BG10" i="48" s="1"/>
  <c r="BG46" i="48" a="1"/>
  <c r="BG46" i="48" s="1"/>
  <c r="BG27" i="48" a="1"/>
  <c r="BG27" i="48" s="1"/>
  <c r="BG40" i="48" a="1"/>
  <c r="BG40" i="48" s="1"/>
  <c r="BG21" i="48" a="1"/>
  <c r="BG21" i="48" s="1"/>
  <c r="BG41" i="48" a="1"/>
  <c r="BG41" i="48" s="1"/>
  <c r="BG16" i="48" a="1"/>
  <c r="BG16" i="48" s="1"/>
  <c r="BG38" i="48" a="1"/>
  <c r="BG38" i="48" s="1"/>
  <c r="BG19" i="48" a="1"/>
  <c r="BG19" i="48" s="1"/>
  <c r="BG48" i="48" a="1"/>
  <c r="BG48" i="48" s="1"/>
  <c r="BG31" i="48" a="1"/>
  <c r="BG31" i="48" s="1"/>
  <c r="BG8" i="48" a="1"/>
  <c r="BG8" i="48" s="1"/>
  <c r="BG49" i="48" a="1"/>
  <c r="BG49" i="48" s="1"/>
  <c r="BG26" i="48" a="1"/>
  <c r="BG26" i="48" s="1"/>
  <c r="BG7" i="48" a="1"/>
  <c r="BG7" i="48" s="1"/>
  <c r="BG35" i="48" a="1"/>
  <c r="BG35" i="48" s="1"/>
  <c r="BG13" i="48" a="1"/>
  <c r="BG13" i="48" s="1"/>
  <c r="BG3" i="48" a="1"/>
  <c r="BG3" i="48" s="1"/>
  <c r="BG29" i="48" a="1"/>
  <c r="BG29" i="48" s="1"/>
  <c r="BG9" i="48" a="1"/>
  <c r="BG9" i="48" s="1"/>
  <c r="BG2" i="48" a="1"/>
  <c r="BG2" i="48" s="1"/>
  <c r="BG4" i="48" a="1"/>
  <c r="BG4" i="48" s="1"/>
  <c r="BH1" i="48" a="1"/>
  <c r="BH1" i="48" s="1"/>
  <c r="BH48" i="48" l="1" a="1"/>
  <c r="BH48" i="48" s="1"/>
  <c r="BH44" i="48" a="1"/>
  <c r="BH44" i="48" s="1"/>
  <c r="BH42" i="48" a="1"/>
  <c r="BH42" i="48" s="1"/>
  <c r="BH34" i="48" a="1"/>
  <c r="BH34" i="48" s="1"/>
  <c r="BH31" i="48" a="1"/>
  <c r="BH31" i="48" s="1"/>
  <c r="BH46" i="48" a="1"/>
  <c r="BH46" i="48" s="1"/>
  <c r="BH38" i="48" a="1"/>
  <c r="BH38" i="48" s="1"/>
  <c r="BH32" i="48" a="1"/>
  <c r="BH32" i="48" s="1"/>
  <c r="BH16" i="48" a="1"/>
  <c r="BH16" i="48" s="1"/>
  <c r="BH8" i="48" a="1"/>
  <c r="BH8" i="48" s="1"/>
  <c r="BH43" i="48" a="1"/>
  <c r="BH43" i="48" s="1"/>
  <c r="BH37" i="48" a="1"/>
  <c r="BH37" i="48" s="1"/>
  <c r="BH29" i="48" a="1"/>
  <c r="BH29" i="48" s="1"/>
  <c r="BH24" i="48" a="1"/>
  <c r="BH24" i="48" s="1"/>
  <c r="BH19" i="48" a="1"/>
  <c r="BH19" i="48" s="1"/>
  <c r="BH14" i="48" a="1"/>
  <c r="BH14" i="48" s="1"/>
  <c r="BH30" i="48" a="1"/>
  <c r="BH30" i="48" s="1"/>
  <c r="BH22" i="48" a="1"/>
  <c r="BH22" i="48" s="1"/>
  <c r="BH12" i="48" a="1"/>
  <c r="BH12" i="48" s="1"/>
  <c r="BH51" i="48" a="1"/>
  <c r="BH51" i="48" s="1"/>
  <c r="BH45" i="48" a="1"/>
  <c r="BH45" i="48" s="1"/>
  <c r="BH33" i="48" a="1"/>
  <c r="BH33" i="48" s="1"/>
  <c r="BH21" i="48" a="1"/>
  <c r="BH21" i="48" s="1"/>
  <c r="BH15" i="48" a="1"/>
  <c r="BH15" i="48" s="1"/>
  <c r="BH10" i="48" a="1"/>
  <c r="BH10" i="48" s="1"/>
  <c r="BH27" i="48" a="1"/>
  <c r="BH27" i="48" s="1"/>
  <c r="BH18" i="48" a="1"/>
  <c r="BH18" i="48" s="1"/>
  <c r="BH9" i="48" a="1"/>
  <c r="BH9" i="48" s="1"/>
  <c r="BH5" i="48" a="1"/>
  <c r="BH5" i="48" s="1"/>
  <c r="BH50" i="48" a="1"/>
  <c r="BH50" i="48" s="1"/>
  <c r="BH28" i="48" a="1"/>
  <c r="BH28" i="48" s="1"/>
  <c r="BH11" i="48" a="1"/>
  <c r="BH11" i="48" s="1"/>
  <c r="BH49" i="48" a="1"/>
  <c r="BH49" i="48" s="1"/>
  <c r="BH25" i="48" a="1"/>
  <c r="BH25" i="48" s="1"/>
  <c r="BH47" i="48" a="1"/>
  <c r="BH47" i="48" s="1"/>
  <c r="BH26" i="48" a="1"/>
  <c r="BH26" i="48" s="1"/>
  <c r="BH41" i="48" a="1"/>
  <c r="BH41" i="48" s="1"/>
  <c r="BH23" i="48" a="1"/>
  <c r="BH23" i="48" s="1"/>
  <c r="BH7" i="48" a="1"/>
  <c r="BH7" i="48" s="1"/>
  <c r="BH36" i="48" a="1"/>
  <c r="BH36" i="48" s="1"/>
  <c r="BH17" i="48" a="1"/>
  <c r="BH17" i="48" s="1"/>
  <c r="BH35" i="48" a="1"/>
  <c r="BH35" i="48" s="1"/>
  <c r="BH13" i="48" a="1"/>
  <c r="BH13" i="48" s="1"/>
  <c r="BH40" i="48" a="1"/>
  <c r="BH40" i="48" s="1"/>
  <c r="BH39" i="48" a="1"/>
  <c r="BH39" i="48" s="1"/>
  <c r="BH20" i="48" a="1"/>
  <c r="BH20" i="48" s="1"/>
  <c r="BH6" i="48" a="1"/>
  <c r="BH6" i="48" s="1"/>
  <c r="BH4" i="48" a="1"/>
  <c r="BH4" i="48" s="1"/>
  <c r="BH2" i="48" a="1"/>
  <c r="BH2" i="48" s="1"/>
  <c r="BH3" i="48" a="1"/>
  <c r="BH3" i="48" s="1"/>
  <c r="BI1" i="48" a="1"/>
  <c r="BI1" i="48" s="1"/>
  <c r="BI51" i="48" l="1" a="1"/>
  <c r="BI51" i="48" s="1"/>
  <c r="BI38" i="48" a="1"/>
  <c r="BI38" i="48" s="1"/>
  <c r="BI28" i="48" a="1"/>
  <c r="BI28" i="48" s="1"/>
  <c r="BI24" i="48" a="1"/>
  <c r="BI24" i="48" s="1"/>
  <c r="BI19" i="48" a="1"/>
  <c r="BI19" i="48" s="1"/>
  <c r="BI6" i="48" a="1"/>
  <c r="BI6" i="48" s="1"/>
  <c r="BI50" i="48" a="1"/>
  <c r="BI50" i="48" s="1"/>
  <c r="BI45" i="48" a="1"/>
  <c r="BI45" i="48" s="1"/>
  <c r="BI39" i="48" a="1"/>
  <c r="BI39" i="48" s="1"/>
  <c r="BI32" i="48" a="1"/>
  <c r="BI32" i="48" s="1"/>
  <c r="BI17" i="48" a="1"/>
  <c r="BI17" i="48" s="1"/>
  <c r="BI15" i="48" a="1"/>
  <c r="BI15" i="48" s="1"/>
  <c r="BI5" i="48" a="1"/>
  <c r="BI5" i="48" s="1"/>
  <c r="BI49" i="48" a="1"/>
  <c r="BI49" i="48" s="1"/>
  <c r="BI43" i="48" a="1"/>
  <c r="BI43" i="48" s="1"/>
  <c r="BI29" i="48" a="1"/>
  <c r="BI29" i="48" s="1"/>
  <c r="BI25" i="48" a="1"/>
  <c r="BI25" i="48" s="1"/>
  <c r="BI16" i="48" a="1"/>
  <c r="BI16" i="48" s="1"/>
  <c r="BI13" i="48" a="1"/>
  <c r="BI13" i="48" s="1"/>
  <c r="BI40" i="48" a="1"/>
  <c r="BI40" i="48" s="1"/>
  <c r="BI36" i="48" a="1"/>
  <c r="BI36" i="48" s="1"/>
  <c r="BI30" i="48" a="1"/>
  <c r="BI30" i="48" s="1"/>
  <c r="BI26" i="48" a="1"/>
  <c r="BI26" i="48" s="1"/>
  <c r="BI11" i="48" a="1"/>
  <c r="BI11" i="48" s="1"/>
  <c r="BI47" i="48" a="1"/>
  <c r="BI47" i="48" s="1"/>
  <c r="BI41" i="48" a="1"/>
  <c r="BI41" i="48" s="1"/>
  <c r="BI33" i="48" a="1"/>
  <c r="BI33" i="48" s="1"/>
  <c r="BI27" i="48" a="1"/>
  <c r="BI27" i="48" s="1"/>
  <c r="BI12" i="48" a="1"/>
  <c r="BI12" i="48" s="1"/>
  <c r="BI8" i="48" a="1"/>
  <c r="BI8" i="48" s="1"/>
  <c r="BI48" i="48" a="1"/>
  <c r="BI48" i="48" s="1"/>
  <c r="BI14" i="48" a="1"/>
  <c r="BI14" i="48" s="1"/>
  <c r="BI46" i="48" a="1"/>
  <c r="BI46" i="48" s="1"/>
  <c r="BI10" i="48" a="1"/>
  <c r="BI10" i="48" s="1"/>
  <c r="BI44" i="48" a="1"/>
  <c r="BI44" i="48" s="1"/>
  <c r="BI31" i="48" a="1"/>
  <c r="BI31" i="48" s="1"/>
  <c r="BI9" i="48" a="1"/>
  <c r="BI9" i="48" s="1"/>
  <c r="BI42" i="48" a="1"/>
  <c r="BI42" i="48" s="1"/>
  <c r="BI23" i="48" a="1"/>
  <c r="BI23" i="48" s="1"/>
  <c r="BI35" i="48" a="1"/>
  <c r="BI35" i="48" s="1"/>
  <c r="BI20" i="48" a="1"/>
  <c r="BI20" i="48" s="1"/>
  <c r="BI34" i="48" a="1"/>
  <c r="BI34" i="48" s="1"/>
  <c r="BI18" i="48" a="1"/>
  <c r="BI18" i="48" s="1"/>
  <c r="BI22" i="48" a="1"/>
  <c r="BI22" i="48" s="1"/>
  <c r="BI21" i="48" a="1"/>
  <c r="BI21" i="48" s="1"/>
  <c r="BI7" i="48" a="1"/>
  <c r="BI7" i="48" s="1"/>
  <c r="BI4" i="48" a="1"/>
  <c r="BI4" i="48" s="1"/>
  <c r="BI3" i="48" a="1"/>
  <c r="BI3" i="48" s="1"/>
  <c r="BI2" i="48" a="1"/>
  <c r="BI2" i="48" s="1"/>
  <c r="BI37" i="48" a="1"/>
  <c r="BI37" i="48" s="1"/>
  <c r="BJ1" i="48" a="1"/>
  <c r="BJ1" i="48" s="1"/>
  <c r="BJ46" i="48" l="1" a="1"/>
  <c r="BJ46" i="48" s="1"/>
  <c r="BJ40" i="48" a="1"/>
  <c r="BJ40" i="48" s="1"/>
  <c r="BJ24" i="48" a="1"/>
  <c r="BJ24" i="48" s="1"/>
  <c r="BJ21" i="48" a="1"/>
  <c r="BJ21" i="48" s="1"/>
  <c r="BJ12" i="48" a="1"/>
  <c r="BJ12" i="48" s="1"/>
  <c r="BJ11" i="48" a="1"/>
  <c r="BJ11" i="48" s="1"/>
  <c r="BJ38" i="48" a="1"/>
  <c r="BJ38" i="48" s="1"/>
  <c r="BJ36" i="48" a="1"/>
  <c r="BJ36" i="48" s="1"/>
  <c r="BJ25" i="48" a="1"/>
  <c r="BJ25" i="48" s="1"/>
  <c r="BJ20" i="48" a="1"/>
  <c r="BJ20" i="48" s="1"/>
  <c r="BJ6" i="48" a="1"/>
  <c r="BJ6" i="48" s="1"/>
  <c r="BJ51" i="48" a="1"/>
  <c r="BJ51" i="48" s="1"/>
  <c r="BJ45" i="48" a="1"/>
  <c r="BJ45" i="48" s="1"/>
  <c r="BJ39" i="48" a="1"/>
  <c r="BJ39" i="48" s="1"/>
  <c r="BJ32" i="48" a="1"/>
  <c r="BJ32" i="48" s="1"/>
  <c r="BJ19" i="48" a="1"/>
  <c r="BJ19" i="48" s="1"/>
  <c r="BJ10" i="48" a="1"/>
  <c r="BJ10" i="48" s="1"/>
  <c r="BJ5" i="48" a="1"/>
  <c r="BJ5" i="48" s="1"/>
  <c r="BJ50" i="48" a="1"/>
  <c r="BJ50" i="48" s="1"/>
  <c r="BJ43" i="48" a="1"/>
  <c r="BJ43" i="48" s="1"/>
  <c r="BJ30" i="48" a="1"/>
  <c r="BJ30" i="48" s="1"/>
  <c r="BJ26" i="48" a="1"/>
  <c r="BJ26" i="48" s="1"/>
  <c r="BJ17" i="48" a="1"/>
  <c r="BJ17" i="48" s="1"/>
  <c r="BJ9" i="48" a="1"/>
  <c r="BJ9" i="48" s="1"/>
  <c r="BJ49" i="48" a="1"/>
  <c r="BJ49" i="48" s="1"/>
  <c r="BJ33" i="48" a="1"/>
  <c r="BJ33" i="48" s="1"/>
  <c r="BJ28" i="48" a="1"/>
  <c r="BJ28" i="48" s="1"/>
  <c r="BJ22" i="48" a="1"/>
  <c r="BJ22" i="48" s="1"/>
  <c r="BJ18" i="48" a="1"/>
  <c r="BJ18" i="48" s="1"/>
  <c r="BJ34" i="48" a="1"/>
  <c r="BJ34" i="48" s="1"/>
  <c r="BJ16" i="48" a="1"/>
  <c r="BJ16" i="48" s="1"/>
  <c r="BJ48" i="48" a="1"/>
  <c r="BJ48" i="48" s="1"/>
  <c r="BJ31" i="48" a="1"/>
  <c r="BJ31" i="48" s="1"/>
  <c r="BJ14" i="48" a="1"/>
  <c r="BJ14" i="48" s="1"/>
  <c r="BJ47" i="48" a="1"/>
  <c r="BJ47" i="48" s="1"/>
  <c r="BJ8" i="48" a="1"/>
  <c r="BJ8" i="48" s="1"/>
  <c r="BJ44" i="48" a="1"/>
  <c r="BJ44" i="48" s="1"/>
  <c r="BJ29" i="48" a="1"/>
  <c r="BJ29" i="48" s="1"/>
  <c r="BJ15" i="48" a="1"/>
  <c r="BJ15" i="48" s="1"/>
  <c r="BJ37" i="48" a="1"/>
  <c r="BJ37" i="48" s="1"/>
  <c r="BJ35" i="48" a="1"/>
  <c r="BJ35" i="48" s="1"/>
  <c r="BJ13" i="48" a="1"/>
  <c r="BJ13" i="48" s="1"/>
  <c r="BJ7" i="48" a="1"/>
  <c r="BJ7" i="48" s="1"/>
  <c r="BJ42" i="48" a="1"/>
  <c r="BJ42" i="48" s="1"/>
  <c r="BJ27" i="48" a="1"/>
  <c r="BJ27" i="48" s="1"/>
  <c r="BJ4" i="48" a="1"/>
  <c r="BJ4" i="48" s="1"/>
  <c r="BJ41" i="48" a="1"/>
  <c r="BJ41" i="48" s="1"/>
  <c r="BJ2" i="48" a="1"/>
  <c r="BJ2" i="48" s="1"/>
  <c r="BJ23" i="48" a="1"/>
  <c r="BJ23" i="48" s="1"/>
  <c r="BJ3" i="48" a="1"/>
  <c r="BJ3" i="48" s="1"/>
  <c r="BK1" i="48" a="1"/>
  <c r="BK1" i="48" s="1"/>
  <c r="BK47" i="48" l="1" a="1"/>
  <c r="BK47" i="48" s="1"/>
  <c r="BK35" i="48" a="1"/>
  <c r="BK35" i="48" s="1"/>
  <c r="BK46" i="48" a="1"/>
  <c r="BK46" i="48" s="1"/>
  <c r="BK40" i="48" a="1"/>
  <c r="BK40" i="48" s="1"/>
  <c r="BK28" i="48" a="1"/>
  <c r="BK28" i="48" s="1"/>
  <c r="BK26" i="48" a="1"/>
  <c r="BK26" i="48" s="1"/>
  <c r="BK25" i="48" a="1"/>
  <c r="BK25" i="48" s="1"/>
  <c r="BK18" i="48" a="1"/>
  <c r="BK18" i="48" s="1"/>
  <c r="BK15" i="48" a="1"/>
  <c r="BK15" i="48" s="1"/>
  <c r="BK12" i="48" a="1"/>
  <c r="BK12" i="48" s="1"/>
  <c r="BK6" i="48" a="1"/>
  <c r="BK6" i="48" s="1"/>
  <c r="BK41" i="48" a="1"/>
  <c r="BK41" i="48" s="1"/>
  <c r="BK34" i="48" a="1"/>
  <c r="BK34" i="48" s="1"/>
  <c r="BK51" i="48" a="1"/>
  <c r="BK51" i="48" s="1"/>
  <c r="BK43" i="48" a="1"/>
  <c r="BK43" i="48" s="1"/>
  <c r="BK36" i="48" a="1"/>
  <c r="BK36" i="48" s="1"/>
  <c r="BK29" i="48" a="1"/>
  <c r="BK29" i="48" s="1"/>
  <c r="BK27" i="48" a="1"/>
  <c r="BK27" i="48" s="1"/>
  <c r="BK22" i="48" a="1"/>
  <c r="BK22" i="48" s="1"/>
  <c r="BK17" i="48" a="1"/>
  <c r="BK17" i="48" s="1"/>
  <c r="BK13" i="48" a="1"/>
  <c r="BK13" i="48" s="1"/>
  <c r="BK10" i="48" a="1"/>
  <c r="BK10" i="48" s="1"/>
  <c r="BK5" i="48" a="1"/>
  <c r="BK5" i="48" s="1"/>
  <c r="BK49" i="48" a="1"/>
  <c r="BK49" i="48" s="1"/>
  <c r="BK45" i="48" a="1"/>
  <c r="BK45" i="48" s="1"/>
  <c r="BK50" i="48" a="1"/>
  <c r="BK50" i="48" s="1"/>
  <c r="BK38" i="48" a="1"/>
  <c r="BK38" i="48" s="1"/>
  <c r="BK23" i="48" a="1"/>
  <c r="BK23" i="48" s="1"/>
  <c r="BK24" i="48" a="1"/>
  <c r="BK24" i="48" s="1"/>
  <c r="BK11" i="48" a="1"/>
  <c r="BK11" i="48" s="1"/>
  <c r="BK48" i="48" a="1"/>
  <c r="BK48" i="48" s="1"/>
  <c r="BK33" i="48" a="1"/>
  <c r="BK33" i="48" s="1"/>
  <c r="BK14" i="48" a="1"/>
  <c r="BK14" i="48" s="1"/>
  <c r="BK44" i="48" a="1"/>
  <c r="BK44" i="48" s="1"/>
  <c r="BK31" i="48" a="1"/>
  <c r="BK31" i="48" s="1"/>
  <c r="BK21" i="48" a="1"/>
  <c r="BK21" i="48" s="1"/>
  <c r="BK39" i="48" a="1"/>
  <c r="BK39" i="48" s="1"/>
  <c r="BK30" i="48" a="1"/>
  <c r="BK30" i="48" s="1"/>
  <c r="BK16" i="48" a="1"/>
  <c r="BK16" i="48" s="1"/>
  <c r="BK37" i="48" a="1"/>
  <c r="BK37" i="48" s="1"/>
  <c r="BK19" i="48" a="1"/>
  <c r="BK19" i="48" s="1"/>
  <c r="BK7" i="48" a="1"/>
  <c r="BK7" i="48" s="1"/>
  <c r="BK9" i="48" a="1"/>
  <c r="BK9" i="48" s="1"/>
  <c r="BK8" i="48" a="1"/>
  <c r="BK8" i="48" s="1"/>
  <c r="BK42" i="48" a="1"/>
  <c r="BK42" i="48" s="1"/>
  <c r="BK20" i="48" a="1"/>
  <c r="BK20" i="48" s="1"/>
  <c r="BK32" i="48" a="1"/>
  <c r="BK32" i="48" s="1"/>
  <c r="BK3" i="48" a="1"/>
  <c r="BK3" i="48" s="1"/>
  <c r="BK4" i="48" a="1"/>
  <c r="BK4" i="48" s="1"/>
  <c r="BK2" i="48" a="1"/>
  <c r="BK2" i="48" s="1"/>
  <c r="BL1" i="48" a="1"/>
  <c r="BL1" i="48" s="1"/>
  <c r="BL50" i="48" l="1" a="1"/>
  <c r="BL50" i="48" s="1"/>
  <c r="BL46" i="48" a="1"/>
  <c r="BL46" i="48" s="1"/>
  <c r="BL43" i="48" a="1"/>
  <c r="BL43" i="48" s="1"/>
  <c r="BL39" i="48" a="1"/>
  <c r="BL39" i="48" s="1"/>
  <c r="BL33" i="48" a="1"/>
  <c r="BL33" i="48" s="1"/>
  <c r="BL30" i="48" a="1"/>
  <c r="BL30" i="48" s="1"/>
  <c r="BL27" i="48" a="1"/>
  <c r="BL27" i="48" s="1"/>
  <c r="BL26" i="48" a="1"/>
  <c r="BL26" i="48" s="1"/>
  <c r="BL18" i="48" a="1"/>
  <c r="BL18" i="48" s="1"/>
  <c r="BL15" i="48" a="1"/>
  <c r="BL15" i="48" s="1"/>
  <c r="BL8" i="48" a="1"/>
  <c r="BL8" i="48" s="1"/>
  <c r="BL7" i="48" a="1"/>
  <c r="BL7" i="48" s="1"/>
  <c r="BL51" i="48" a="1"/>
  <c r="BL51" i="48" s="1"/>
  <c r="BL47" i="48" a="1"/>
  <c r="BL47" i="48" s="1"/>
  <c r="BL41" i="48" a="1"/>
  <c r="BL41" i="48" s="1"/>
  <c r="BL37" i="48" a="1"/>
  <c r="BL37" i="48" s="1"/>
  <c r="BL35" i="48" a="1"/>
  <c r="BL35" i="48" s="1"/>
  <c r="BL32" i="48" a="1"/>
  <c r="BL32" i="48" s="1"/>
  <c r="BL23" i="48" a="1"/>
  <c r="BL23" i="48" s="1"/>
  <c r="BL22" i="48" a="1"/>
  <c r="BL22" i="48" s="1"/>
  <c r="BL17" i="48" a="1"/>
  <c r="BL17" i="48" s="1"/>
  <c r="BL13" i="48" a="1"/>
  <c r="BL13" i="48" s="1"/>
  <c r="BL14" i="48" a="1"/>
  <c r="BL14" i="48" s="1"/>
  <c r="BL6" i="48" a="1"/>
  <c r="BL6" i="48" s="1"/>
  <c r="BL44" i="48" a="1"/>
  <c r="BL44" i="48" s="1"/>
  <c r="BL25" i="48" a="1"/>
  <c r="BL25" i="48" s="1"/>
  <c r="BL11" i="48" a="1"/>
  <c r="BL11" i="48" s="1"/>
  <c r="BL45" i="48" a="1"/>
  <c r="BL45" i="48" s="1"/>
  <c r="BL34" i="48" a="1"/>
  <c r="BL34" i="48" s="1"/>
  <c r="BL9" i="48" a="1"/>
  <c r="BL9" i="48" s="1"/>
  <c r="BL29" i="48" a="1"/>
  <c r="BL29" i="48" s="1"/>
  <c r="BL21" i="48" a="1"/>
  <c r="BL21" i="48" s="1"/>
  <c r="BL40" i="48" a="1"/>
  <c r="BL40" i="48" s="1"/>
  <c r="BL20" i="48" a="1"/>
  <c r="BL20" i="48" s="1"/>
  <c r="BL12" i="48" a="1"/>
  <c r="BL12" i="48" s="1"/>
  <c r="BL48" i="48" a="1"/>
  <c r="BL48" i="48" s="1"/>
  <c r="BL38" i="48" a="1"/>
  <c r="BL38" i="48" s="1"/>
  <c r="BL19" i="48" a="1"/>
  <c r="BL19" i="48" s="1"/>
  <c r="BL5" i="48" a="1"/>
  <c r="BL5" i="48" s="1"/>
  <c r="BL36" i="48" a="1"/>
  <c r="BL36" i="48" s="1"/>
  <c r="BL24" i="48" a="1"/>
  <c r="BL24" i="48" s="1"/>
  <c r="BL16" i="48" a="1"/>
  <c r="BL16" i="48" s="1"/>
  <c r="BL10" i="48" a="1"/>
  <c r="BL10" i="48" s="1"/>
  <c r="BL49" i="48" a="1"/>
  <c r="BL49" i="48" s="1"/>
  <c r="BL42" i="48" a="1"/>
  <c r="BL42" i="48" s="1"/>
  <c r="BL31" i="48" a="1"/>
  <c r="BL31" i="48" s="1"/>
  <c r="BL28" i="48" a="1"/>
  <c r="BL28" i="48" s="1"/>
  <c r="BL3" i="48" a="1"/>
  <c r="BL3" i="48" s="1"/>
  <c r="BL4" i="48" a="1"/>
  <c r="BL4" i="48" s="1"/>
  <c r="BL2" i="48" a="1"/>
  <c r="BL2" i="48" s="1"/>
  <c r="BM1" i="48" a="1"/>
  <c r="BM1" i="48" s="1"/>
  <c r="BM49" i="48" l="1" a="1"/>
  <c r="BM49" i="48" s="1"/>
  <c r="BM43" i="48" a="1"/>
  <c r="BM43" i="48" s="1"/>
  <c r="BM40" i="48" a="1"/>
  <c r="BM40" i="48" s="1"/>
  <c r="BM39" i="48" a="1"/>
  <c r="BM39" i="48" s="1"/>
  <c r="BM36" i="48" a="1"/>
  <c r="BM36" i="48" s="1"/>
  <c r="BM28" i="48" a="1"/>
  <c r="BM28" i="48" s="1"/>
  <c r="BM27" i="48" a="1"/>
  <c r="BM27" i="48" s="1"/>
  <c r="BM21" i="48" a="1"/>
  <c r="BM21" i="48" s="1"/>
  <c r="BM16" i="48" a="1"/>
  <c r="BM16" i="48" s="1"/>
  <c r="BM10" i="48" a="1"/>
  <c r="BM10" i="48" s="1"/>
  <c r="BM9" i="48" a="1"/>
  <c r="BM9" i="48" s="1"/>
  <c r="BM6" i="48" a="1"/>
  <c r="BM6" i="48" s="1"/>
  <c r="BM46" i="48" a="1"/>
  <c r="BM46" i="48" s="1"/>
  <c r="BM37" i="48" a="1"/>
  <c r="BM37" i="48" s="1"/>
  <c r="BM31" i="48" a="1"/>
  <c r="BM31" i="48" s="1"/>
  <c r="BM22" i="48" a="1"/>
  <c r="BM22" i="48" s="1"/>
  <c r="BM12" i="48" a="1"/>
  <c r="BM12" i="48" s="1"/>
  <c r="BM5" i="48" a="1"/>
  <c r="BM5" i="48" s="1"/>
  <c r="BM44" i="48" a="1"/>
  <c r="BM44" i="48" s="1"/>
  <c r="BM34" i="48" a="1"/>
  <c r="BM34" i="48" s="1"/>
  <c r="BM29" i="48" a="1"/>
  <c r="BM29" i="48" s="1"/>
  <c r="BM20" i="48" a="1"/>
  <c r="BM20" i="48" s="1"/>
  <c r="BM15" i="48" a="1"/>
  <c r="BM15" i="48" s="1"/>
  <c r="BM51" i="48" a="1"/>
  <c r="BM51" i="48" s="1"/>
  <c r="BM45" i="48" a="1"/>
  <c r="BM45" i="48" s="1"/>
  <c r="BM35" i="48" a="1"/>
  <c r="BM35" i="48" s="1"/>
  <c r="BM25" i="48" a="1"/>
  <c r="BM25" i="48" s="1"/>
  <c r="BM19" i="48" a="1"/>
  <c r="BM19" i="48" s="1"/>
  <c r="BM13" i="48" a="1"/>
  <c r="BM13" i="48" s="1"/>
  <c r="BM48" i="48" a="1"/>
  <c r="BM48" i="48" s="1"/>
  <c r="BM42" i="48" a="1"/>
  <c r="BM42" i="48" s="1"/>
  <c r="BM30" i="48" a="1"/>
  <c r="BM30" i="48" s="1"/>
  <c r="BM23" i="48" a="1"/>
  <c r="BM23" i="48" s="1"/>
  <c r="BM18" i="48" a="1"/>
  <c r="BM18" i="48" s="1"/>
  <c r="BM8" i="48" a="1"/>
  <c r="BM8" i="48" s="1"/>
  <c r="BM47" i="48" a="1"/>
  <c r="BM47" i="48" s="1"/>
  <c r="BM38" i="48" a="1"/>
  <c r="BM38" i="48" s="1"/>
  <c r="BM32" i="48" a="1"/>
  <c r="BM32" i="48" s="1"/>
  <c r="BM24" i="48" a="1"/>
  <c r="BM24" i="48" s="1"/>
  <c r="BM14" i="48" a="1"/>
  <c r="BM14" i="48" s="1"/>
  <c r="BM7" i="48" a="1"/>
  <c r="BM7" i="48" s="1"/>
  <c r="BM33" i="48" a="1"/>
  <c r="BM33" i="48" s="1"/>
  <c r="BM26" i="48" a="1"/>
  <c r="BM26" i="48" s="1"/>
  <c r="BM50" i="48" a="1"/>
  <c r="BM50" i="48" s="1"/>
  <c r="BM17" i="48" a="1"/>
  <c r="BM17" i="48" s="1"/>
  <c r="BM41" i="48" a="1"/>
  <c r="BM41" i="48" s="1"/>
  <c r="BM11" i="48" a="1"/>
  <c r="BM11" i="48" s="1"/>
  <c r="BM4" i="48" a="1"/>
  <c r="BM4" i="48" s="1"/>
  <c r="BM3" i="48" a="1"/>
  <c r="BM3" i="48" s="1"/>
  <c r="BM2" i="48" a="1"/>
  <c r="BM2" i="48" s="1"/>
  <c r="BN1" i="48" a="1"/>
  <c r="BN1" i="48" s="1"/>
  <c r="BN48" i="48" l="1" a="1"/>
  <c r="BN48" i="48" s="1"/>
  <c r="BN44" i="48" a="1"/>
  <c r="BN44" i="48" s="1"/>
  <c r="BN40" i="48" a="1"/>
  <c r="BN40" i="48" s="1"/>
  <c r="BN35" i="48" a="1"/>
  <c r="BN35" i="48" s="1"/>
  <c r="BN32" i="48" a="1"/>
  <c r="BN32" i="48" s="1"/>
  <c r="BN31" i="48" a="1"/>
  <c r="BN31" i="48" s="1"/>
  <c r="BN24" i="48" a="1"/>
  <c r="BN24" i="48" s="1"/>
  <c r="BN20" i="48" a="1"/>
  <c r="BN20" i="48" s="1"/>
  <c r="BN18" i="48" a="1"/>
  <c r="BN18" i="48" s="1"/>
  <c r="BN9" i="48" a="1"/>
  <c r="BN9" i="48" s="1"/>
  <c r="BN11" i="48" a="1"/>
  <c r="BN11" i="48" s="1"/>
  <c r="BN49" i="48" a="1"/>
  <c r="BN49" i="48" s="1"/>
  <c r="BN41" i="48" a="1"/>
  <c r="BN41" i="48" s="1"/>
  <c r="BN36" i="48" a="1"/>
  <c r="BN36" i="48" s="1"/>
  <c r="BN23" i="48" a="1"/>
  <c r="BN23" i="48" s="1"/>
  <c r="BN16" i="48" a="1"/>
  <c r="BN16" i="48" s="1"/>
  <c r="BN13" i="48" a="1"/>
  <c r="BN13" i="48" s="1"/>
  <c r="BN46" i="48" a="1"/>
  <c r="BN46" i="48" s="1"/>
  <c r="BN38" i="48" a="1"/>
  <c r="BN38" i="48" s="1"/>
  <c r="BN28" i="48" a="1"/>
  <c r="BN28" i="48" s="1"/>
  <c r="BN25" i="48" a="1"/>
  <c r="BN25" i="48" s="1"/>
  <c r="BN14" i="48" a="1"/>
  <c r="BN14" i="48" s="1"/>
  <c r="BN5" i="48" a="1"/>
  <c r="BN5" i="48" s="1"/>
  <c r="BN47" i="48" a="1"/>
  <c r="BN47" i="48" s="1"/>
  <c r="BN37" i="48" a="1"/>
  <c r="BN37" i="48" s="1"/>
  <c r="BN29" i="48" a="1"/>
  <c r="BN29" i="48" s="1"/>
  <c r="BN22" i="48" a="1"/>
  <c r="BN22" i="48" s="1"/>
  <c r="BN12" i="48" a="1"/>
  <c r="BN12" i="48" s="1"/>
  <c r="BN6" i="48" a="1"/>
  <c r="BN6" i="48" s="1"/>
  <c r="BN51" i="48" a="1"/>
  <c r="BN51" i="48" s="1"/>
  <c r="BN45" i="48" a="1"/>
  <c r="BN45" i="48" s="1"/>
  <c r="BN33" i="48" a="1"/>
  <c r="BN33" i="48" s="1"/>
  <c r="BN26" i="48" a="1"/>
  <c r="BN26" i="48" s="1"/>
  <c r="BN19" i="48" a="1"/>
  <c r="BN19" i="48" s="1"/>
  <c r="BN8" i="48" a="1"/>
  <c r="BN8" i="48" s="1"/>
  <c r="BN50" i="48" a="1"/>
  <c r="BN50" i="48" s="1"/>
  <c r="BN42" i="48" a="1"/>
  <c r="BN42" i="48" s="1"/>
  <c r="BN34" i="48" a="1"/>
  <c r="BN34" i="48" s="1"/>
  <c r="BN27" i="48" a="1"/>
  <c r="BN27" i="48" s="1"/>
  <c r="BN17" i="48" a="1"/>
  <c r="BN17" i="48" s="1"/>
  <c r="BN15" i="48" a="1"/>
  <c r="BN15" i="48" s="1"/>
  <c r="BN21" i="48" a="1"/>
  <c r="BN21" i="48" s="1"/>
  <c r="BN43" i="48" a="1"/>
  <c r="BN43" i="48" s="1"/>
  <c r="BN10" i="48" a="1"/>
  <c r="BN10" i="48" s="1"/>
  <c r="BN39" i="48" a="1"/>
  <c r="BN39" i="48" s="1"/>
  <c r="BN7" i="48" a="1"/>
  <c r="BN7" i="48" s="1"/>
  <c r="BN30" i="48" a="1"/>
  <c r="BN30" i="48" s="1"/>
  <c r="BN4" i="48" a="1"/>
  <c r="BN4" i="48" s="1"/>
  <c r="BN3" i="48" a="1"/>
  <c r="BN3" i="48" s="1"/>
  <c r="BN2" i="48" a="1"/>
  <c r="BN2" i="48" s="1"/>
  <c r="BO1" i="48" a="1"/>
  <c r="BO1" i="48" s="1"/>
  <c r="BO51" i="48" l="1" a="1"/>
  <c r="BO51" i="48" s="1"/>
  <c r="BO47" i="48" a="1"/>
  <c r="BO47" i="48" s="1"/>
  <c r="BO44" i="48" a="1"/>
  <c r="BO44" i="48" s="1"/>
  <c r="BO39" i="48" a="1"/>
  <c r="BO39" i="48" s="1"/>
  <c r="BO35" i="48" a="1"/>
  <c r="BO35" i="48" s="1"/>
  <c r="BO30" i="48" a="1"/>
  <c r="BO30" i="48" s="1"/>
  <c r="BO24" i="48" a="1"/>
  <c r="BO24" i="48" s="1"/>
  <c r="BO23" i="48" a="1"/>
  <c r="BO23" i="48" s="1"/>
  <c r="BO18" i="48" a="1"/>
  <c r="BO18" i="48" s="1"/>
  <c r="BO43" i="48" a="1"/>
  <c r="BO43" i="48" s="1"/>
  <c r="BO36" i="48" a="1"/>
  <c r="BO36" i="48" s="1"/>
  <c r="BO28" i="48" a="1"/>
  <c r="BO28" i="48" s="1"/>
  <c r="BO20" i="48" a="1"/>
  <c r="BO20" i="48" s="1"/>
  <c r="BO11" i="48" a="1"/>
  <c r="BO11" i="48" s="1"/>
  <c r="BO14" i="48" a="1"/>
  <c r="BO14" i="48" s="1"/>
  <c r="BO7" i="48" a="1"/>
  <c r="BO7" i="48" s="1"/>
  <c r="BO50" i="48" a="1"/>
  <c r="BO50" i="48" s="1"/>
  <c r="BO41" i="48" a="1"/>
  <c r="BO41" i="48" s="1"/>
  <c r="BO33" i="48" a="1"/>
  <c r="BO33" i="48" s="1"/>
  <c r="BO25" i="48" a="1"/>
  <c r="BO25" i="48" s="1"/>
  <c r="BO17" i="48" a="1"/>
  <c r="BO17" i="48" s="1"/>
  <c r="BO12" i="48" a="1"/>
  <c r="BO12" i="48" s="1"/>
  <c r="BO5" i="48" a="1"/>
  <c r="BO5" i="48" s="1"/>
  <c r="BO48" i="48" a="1"/>
  <c r="BO48" i="48" s="1"/>
  <c r="BO40" i="48" a="1"/>
  <c r="BO40" i="48" s="1"/>
  <c r="BO34" i="48" a="1"/>
  <c r="BO34" i="48" s="1"/>
  <c r="BO26" i="48" a="1"/>
  <c r="BO26" i="48" s="1"/>
  <c r="BO16" i="48" a="1"/>
  <c r="BO16" i="48" s="1"/>
  <c r="BO46" i="48" a="1"/>
  <c r="BO46" i="48" s="1"/>
  <c r="BO38" i="48" a="1"/>
  <c r="BO38" i="48" s="1"/>
  <c r="BO31" i="48" a="1"/>
  <c r="BO31" i="48" s="1"/>
  <c r="BO21" i="48" a="1"/>
  <c r="BO21" i="48" s="1"/>
  <c r="BO8" i="48" a="1"/>
  <c r="BO8" i="48" s="1"/>
  <c r="BO45" i="48" a="1"/>
  <c r="BO45" i="48" s="1"/>
  <c r="BO37" i="48" a="1"/>
  <c r="BO37" i="48" s="1"/>
  <c r="BO32" i="48" a="1"/>
  <c r="BO32" i="48" s="1"/>
  <c r="BO22" i="48" a="1"/>
  <c r="BO22" i="48" s="1"/>
  <c r="BO13" i="48" a="1"/>
  <c r="BO13" i="48" s="1"/>
  <c r="BO6" i="48" a="1"/>
  <c r="BO6" i="48" s="1"/>
  <c r="BO42" i="48" a="1"/>
  <c r="BO42" i="48" s="1"/>
  <c r="BO10" i="48" a="1"/>
  <c r="BO10" i="48" s="1"/>
  <c r="BO9" i="48" a="1"/>
  <c r="BO9" i="48" s="1"/>
  <c r="BO29" i="48" a="1"/>
  <c r="BO29" i="48" s="1"/>
  <c r="BO27" i="48" a="1"/>
  <c r="BO27" i="48" s="1"/>
  <c r="BO49" i="48" a="1"/>
  <c r="BO49" i="48" s="1"/>
  <c r="BO19" i="48" a="1"/>
  <c r="BO19" i="48" s="1"/>
  <c r="BO4" i="48" a="1"/>
  <c r="BO4" i="48" s="1"/>
  <c r="BO2" i="48" a="1"/>
  <c r="BO2" i="48" s="1"/>
  <c r="BO15" i="48" a="1"/>
  <c r="BO15" i="48" s="1"/>
  <c r="BO3" i="48" a="1"/>
  <c r="BO3" i="48" s="1"/>
  <c r="BP1" i="48" a="1"/>
  <c r="BP1" i="48" s="1"/>
  <c r="BP51" i="48" l="1" a="1"/>
  <c r="BP51" i="48" s="1"/>
  <c r="BP44" i="48" a="1"/>
  <c r="BP44" i="48" s="1"/>
  <c r="BP37" i="48" a="1"/>
  <c r="BP37" i="48" s="1"/>
  <c r="BP28" i="48" a="1"/>
  <c r="BP28" i="48" s="1"/>
  <c r="BP17" i="48" a="1"/>
  <c r="BP17" i="48" s="1"/>
  <c r="BP9" i="48" a="1"/>
  <c r="BP9" i="48" s="1"/>
  <c r="BP49" i="48" a="1"/>
  <c r="BP49" i="48" s="1"/>
  <c r="BP45" i="48" a="1"/>
  <c r="BP45" i="48" s="1"/>
  <c r="BP32" i="48" a="1"/>
  <c r="BP32" i="48" s="1"/>
  <c r="BP23" i="48" a="1"/>
  <c r="BP23" i="48" s="1"/>
  <c r="BP16" i="48" a="1"/>
  <c r="BP16" i="48" s="1"/>
  <c r="BP8" i="48" a="1"/>
  <c r="BP8" i="48" s="1"/>
  <c r="BP41" i="48" a="1"/>
  <c r="BP41" i="48" s="1"/>
  <c r="BP34" i="48" a="1"/>
  <c r="BP34" i="48" s="1"/>
  <c r="BP29" i="48" a="1"/>
  <c r="BP29" i="48" s="1"/>
  <c r="BP24" i="48" a="1"/>
  <c r="BP24" i="48" s="1"/>
  <c r="BP14" i="48" a="1"/>
  <c r="BP14" i="48" s="1"/>
  <c r="BP48" i="48" a="1"/>
  <c r="BP48" i="48" s="1"/>
  <c r="BP42" i="48" a="1"/>
  <c r="BP42" i="48" s="1"/>
  <c r="BP36" i="48" a="1"/>
  <c r="BP36" i="48" s="1"/>
  <c r="BP22" i="48" a="1"/>
  <c r="BP22" i="48" s="1"/>
  <c r="BP19" i="48" a="1"/>
  <c r="BP19" i="48" s="1"/>
  <c r="BP12" i="48" a="1"/>
  <c r="BP12" i="48" s="1"/>
  <c r="BP43" i="48" a="1"/>
  <c r="BP43" i="48" s="1"/>
  <c r="BP39" i="48" a="1"/>
  <c r="BP39" i="48" s="1"/>
  <c r="BP26" i="48" a="1"/>
  <c r="BP26" i="48" s="1"/>
  <c r="BP20" i="48" a="1"/>
  <c r="BP20" i="48" s="1"/>
  <c r="BP11" i="48" a="1"/>
  <c r="BP11" i="48" s="1"/>
  <c r="BP7" i="48" a="1"/>
  <c r="BP7" i="48" s="1"/>
  <c r="BP50" i="48" a="1"/>
  <c r="BP50" i="48" s="1"/>
  <c r="BP38" i="48" a="1"/>
  <c r="BP38" i="48" s="1"/>
  <c r="BP31" i="48" a="1"/>
  <c r="BP31" i="48" s="1"/>
  <c r="BP27" i="48" a="1"/>
  <c r="BP27" i="48" s="1"/>
  <c r="BP18" i="48" a="1"/>
  <c r="BP18" i="48" s="1"/>
  <c r="BP6" i="48" a="1"/>
  <c r="BP6" i="48" s="1"/>
  <c r="BP33" i="48" a="1"/>
  <c r="BP33" i="48" s="1"/>
  <c r="BP35" i="48" a="1"/>
  <c r="BP35" i="48" s="1"/>
  <c r="BP10" i="48" a="1"/>
  <c r="BP10" i="48" s="1"/>
  <c r="BP5" i="48" a="1"/>
  <c r="BP5" i="48" s="1"/>
  <c r="BP30" i="48" a="1"/>
  <c r="BP30" i="48" s="1"/>
  <c r="BP25" i="48" a="1"/>
  <c r="BP25" i="48" s="1"/>
  <c r="BP47" i="48" a="1"/>
  <c r="BP47" i="48" s="1"/>
  <c r="BP21" i="48" a="1"/>
  <c r="BP21" i="48" s="1"/>
  <c r="BP15" i="48" a="1"/>
  <c r="BP15" i="48" s="1"/>
  <c r="BP13" i="48" a="1"/>
  <c r="BP13" i="48" s="1"/>
  <c r="BP3" i="48" a="1"/>
  <c r="BP3" i="48" s="1"/>
  <c r="BP46" i="48" a="1"/>
  <c r="BP46" i="48" s="1"/>
  <c r="BP40" i="48" a="1"/>
  <c r="BP40" i="48" s="1"/>
  <c r="BP2" i="48" a="1"/>
  <c r="BP2" i="48" s="1"/>
  <c r="BP4" i="48" a="1"/>
  <c r="BP4" i="48" s="1"/>
  <c r="BQ1" i="48" a="1"/>
  <c r="BQ1" i="48" s="1"/>
  <c r="BQ48" i="48" l="1" a="1"/>
  <c r="BQ48" i="48" s="1"/>
  <c r="BQ35" i="48" a="1"/>
  <c r="BQ35" i="48" s="1"/>
  <c r="BQ30" i="48" a="1"/>
  <c r="BQ30" i="48" s="1"/>
  <c r="BQ22" i="48" a="1"/>
  <c r="BQ22" i="48" s="1"/>
  <c r="BQ18" i="48" a="1"/>
  <c r="BQ18" i="48" s="1"/>
  <c r="BQ46" i="48" a="1"/>
  <c r="BQ46" i="48" s="1"/>
  <c r="BQ42" i="48" a="1"/>
  <c r="BQ42" i="48" s="1"/>
  <c r="BQ34" i="48" a="1"/>
  <c r="BQ34" i="48" s="1"/>
  <c r="BQ31" i="48" a="1"/>
  <c r="BQ31" i="48" s="1"/>
  <c r="BQ14" i="48" a="1"/>
  <c r="BQ14" i="48" s="1"/>
  <c r="BQ9" i="48" a="1"/>
  <c r="BQ9" i="48" s="1"/>
  <c r="BQ47" i="48" a="1"/>
  <c r="BQ47" i="48" s="1"/>
  <c r="BQ41" i="48" a="1"/>
  <c r="BQ41" i="48" s="1"/>
  <c r="BQ27" i="48" a="1"/>
  <c r="BQ27" i="48" s="1"/>
  <c r="BQ21" i="48" a="1"/>
  <c r="BQ21" i="48" s="1"/>
  <c r="BQ12" i="48" a="1"/>
  <c r="BQ12" i="48" s="1"/>
  <c r="BQ8" i="48" a="1"/>
  <c r="BQ8" i="48" s="1"/>
  <c r="BQ37" i="48" a="1"/>
  <c r="BQ37" i="48" s="1"/>
  <c r="BQ33" i="48" a="1"/>
  <c r="BQ33" i="48" s="1"/>
  <c r="BQ23" i="48" a="1"/>
  <c r="BQ23" i="48" s="1"/>
  <c r="BQ20" i="48" a="1"/>
  <c r="BQ20" i="48" s="1"/>
  <c r="BQ7" i="48" a="1"/>
  <c r="BQ7" i="48" s="1"/>
  <c r="BQ43" i="48" a="1"/>
  <c r="BQ43" i="48" s="1"/>
  <c r="BQ39" i="48" a="1"/>
  <c r="BQ39" i="48" s="1"/>
  <c r="BQ29" i="48" a="1"/>
  <c r="BQ29" i="48" s="1"/>
  <c r="BQ25" i="48" a="1"/>
  <c r="BQ25" i="48" s="1"/>
  <c r="BQ13" i="48" a="1"/>
  <c r="BQ13" i="48" s="1"/>
  <c r="BQ5" i="48" a="1"/>
  <c r="BQ5" i="48" s="1"/>
  <c r="BQ49" i="48" a="1"/>
  <c r="BQ49" i="48" s="1"/>
  <c r="BQ40" i="48" a="1"/>
  <c r="BQ40" i="48" s="1"/>
  <c r="BQ36" i="48" a="1"/>
  <c r="BQ36" i="48" s="1"/>
  <c r="BQ26" i="48" a="1"/>
  <c r="BQ26" i="48" s="1"/>
  <c r="BQ16" i="48" a="1"/>
  <c r="BQ16" i="48" s="1"/>
  <c r="BQ11" i="48" a="1"/>
  <c r="BQ11" i="48" s="1"/>
  <c r="BQ28" i="48" a="1"/>
  <c r="BQ28" i="48" s="1"/>
  <c r="BQ6" i="48" a="1"/>
  <c r="BQ6" i="48" s="1"/>
  <c r="BQ32" i="48" a="1"/>
  <c r="BQ32" i="48" s="1"/>
  <c r="BQ51" i="48" a="1"/>
  <c r="BQ51" i="48" s="1"/>
  <c r="BQ50" i="48" a="1"/>
  <c r="BQ50" i="48" s="1"/>
  <c r="BQ24" i="48" a="1"/>
  <c r="BQ24" i="48" s="1"/>
  <c r="BQ44" i="48" a="1"/>
  <c r="BQ44" i="48" s="1"/>
  <c r="BQ19" i="48" a="1"/>
  <c r="BQ19" i="48" s="1"/>
  <c r="BQ38" i="48" a="1"/>
  <c r="BQ38" i="48" s="1"/>
  <c r="BQ10" i="48" a="1"/>
  <c r="BQ10" i="48" s="1"/>
  <c r="BQ2" i="48" a="1"/>
  <c r="BQ2" i="48" s="1"/>
  <c r="BQ45" i="48" a="1"/>
  <c r="BQ45" i="48" s="1"/>
  <c r="BQ17" i="48" a="1"/>
  <c r="BQ17" i="48" s="1"/>
  <c r="BQ4" i="48" a="1"/>
  <c r="BQ4" i="48" s="1"/>
  <c r="BQ3" i="48" a="1"/>
  <c r="BQ3" i="48" s="1"/>
  <c r="BQ15" i="48" a="1"/>
  <c r="BQ15" i="48" s="1"/>
  <c r="BR1" i="48" a="1"/>
  <c r="BR1" i="48" s="1"/>
  <c r="BR47" i="48" l="1" a="1"/>
  <c r="BR47" i="48" s="1"/>
  <c r="BR40" i="48" a="1"/>
  <c r="BR40" i="48" s="1"/>
  <c r="BR36" i="48" a="1"/>
  <c r="BR36" i="48" s="1"/>
  <c r="BR21" i="48" a="1"/>
  <c r="BR21" i="48" s="1"/>
  <c r="BR14" i="48" a="1"/>
  <c r="BR14" i="48" s="1"/>
  <c r="BR46" i="48" a="1"/>
  <c r="BR46" i="48" s="1"/>
  <c r="BR35" i="48" a="1"/>
  <c r="BR35" i="48" s="1"/>
  <c r="BR24" i="48" a="1"/>
  <c r="BR24" i="48" s="1"/>
  <c r="BR20" i="48" a="1"/>
  <c r="BR20" i="48" s="1"/>
  <c r="BR12" i="48" a="1"/>
  <c r="BR12" i="48" s="1"/>
  <c r="BR15" i="48" a="1"/>
  <c r="BR15" i="48" s="1"/>
  <c r="BR5" i="48" a="1"/>
  <c r="BR5" i="48" s="1"/>
  <c r="BR45" i="48" a="1"/>
  <c r="BR45" i="48" s="1"/>
  <c r="BR38" i="48" a="1"/>
  <c r="BR38" i="48" s="1"/>
  <c r="BR32" i="48" a="1"/>
  <c r="BR32" i="48" s="1"/>
  <c r="BR25" i="48" a="1"/>
  <c r="BR25" i="48" s="1"/>
  <c r="BR51" i="48" a="1"/>
  <c r="BR51" i="48" s="1"/>
  <c r="BR43" i="48" a="1"/>
  <c r="BR43" i="48" s="1"/>
  <c r="BR39" i="48" a="1"/>
  <c r="BR39" i="48" s="1"/>
  <c r="BR26" i="48" a="1"/>
  <c r="BR26" i="48" s="1"/>
  <c r="BR19" i="48" a="1"/>
  <c r="BR19" i="48" s="1"/>
  <c r="BR10" i="48" a="1"/>
  <c r="BR10" i="48" s="1"/>
  <c r="BR13" i="48" a="1"/>
  <c r="BR13" i="48" s="1"/>
  <c r="BR7" i="48" a="1"/>
  <c r="BR7" i="48" s="1"/>
  <c r="BR49" i="48" a="1"/>
  <c r="BR49" i="48" s="1"/>
  <c r="BR42" i="48" a="1"/>
  <c r="BR42" i="48" s="1"/>
  <c r="BR28" i="48" a="1"/>
  <c r="BR28" i="48" s="1"/>
  <c r="BR23" i="48" a="1"/>
  <c r="BR23" i="48" s="1"/>
  <c r="BR18" i="48" a="1"/>
  <c r="BR18" i="48" s="1"/>
  <c r="BR41" i="48" a="1"/>
  <c r="BR41" i="48" s="1"/>
  <c r="BR33" i="48" a="1"/>
  <c r="BR33" i="48" s="1"/>
  <c r="BR29" i="48" a="1"/>
  <c r="BR29" i="48" s="1"/>
  <c r="BR22" i="48" a="1"/>
  <c r="BR22" i="48" s="1"/>
  <c r="BR8" i="48" a="1"/>
  <c r="BR8" i="48" s="1"/>
  <c r="BR6" i="48" a="1"/>
  <c r="BR6" i="48" s="1"/>
  <c r="BR30" i="48" a="1"/>
  <c r="BR30" i="48" s="1"/>
  <c r="BR31" i="48" a="1"/>
  <c r="BR31" i="48" s="1"/>
  <c r="BR11" i="48" a="1"/>
  <c r="BR11" i="48" s="1"/>
  <c r="BR50" i="48" a="1"/>
  <c r="BR50" i="48" s="1"/>
  <c r="BR27" i="48" a="1"/>
  <c r="BR27" i="48" s="1"/>
  <c r="BR48" i="48" a="1"/>
  <c r="BR48" i="48" s="1"/>
  <c r="BR17" i="48" a="1"/>
  <c r="BR17" i="48" s="1"/>
  <c r="BR37" i="48" a="1"/>
  <c r="BR37" i="48" s="1"/>
  <c r="BR16" i="48" a="1"/>
  <c r="BR16" i="48" s="1"/>
  <c r="BR9" i="48" a="1"/>
  <c r="BR9" i="48" s="1"/>
  <c r="BR3" i="48" a="1"/>
  <c r="BR3" i="48" s="1"/>
  <c r="BR2" i="48" a="1"/>
  <c r="BR2" i="48" s="1"/>
  <c r="BR4" i="48" a="1"/>
  <c r="BR4" i="48" s="1"/>
  <c r="BR44" i="48" a="1"/>
  <c r="BR44" i="48" s="1"/>
  <c r="BR34" i="48" a="1"/>
  <c r="BR34" i="48" s="1"/>
  <c r="BS1" i="48" a="1"/>
  <c r="BS1" i="48" s="1"/>
  <c r="BS48" i="48" l="1" a="1"/>
  <c r="BS48" i="48" s="1"/>
  <c r="BS44" i="48" a="1"/>
  <c r="BS44" i="48" s="1"/>
  <c r="BS40" i="48" a="1"/>
  <c r="BS40" i="48" s="1"/>
  <c r="BS35" i="48" a="1"/>
  <c r="BS35" i="48" s="1"/>
  <c r="BS31" i="48" a="1"/>
  <c r="BS31" i="48" s="1"/>
  <c r="BS30" i="48" a="1"/>
  <c r="BS30" i="48" s="1"/>
  <c r="BS24" i="48" a="1"/>
  <c r="BS24" i="48" s="1"/>
  <c r="BS20" i="48" a="1"/>
  <c r="BS20" i="48" s="1"/>
  <c r="BS51" i="48" a="1"/>
  <c r="BS51" i="48" s="1"/>
  <c r="BS47" i="48" a="1"/>
  <c r="BS47" i="48" s="1"/>
  <c r="BS45" i="48" a="1"/>
  <c r="BS45" i="48" s="1"/>
  <c r="BS39" i="48" a="1"/>
  <c r="BS39" i="48" s="1"/>
  <c r="BS49" i="48" a="1"/>
  <c r="BS49" i="48" s="1"/>
  <c r="BS43" i="48" a="1"/>
  <c r="BS43" i="48" s="1"/>
  <c r="BS41" i="48" a="1"/>
  <c r="BS41" i="48" s="1"/>
  <c r="BS38" i="48" a="1"/>
  <c r="BS38" i="48" s="1"/>
  <c r="BS32" i="48" a="1"/>
  <c r="BS32" i="48" s="1"/>
  <c r="BS13" i="48" a="1"/>
  <c r="BS13" i="48" s="1"/>
  <c r="BS10" i="48" a="1"/>
  <c r="BS10" i="48" s="1"/>
  <c r="BS5" i="48" a="1"/>
  <c r="BS5" i="48" s="1"/>
  <c r="BS42" i="48" a="1"/>
  <c r="BS42" i="48" s="1"/>
  <c r="BS33" i="48" a="1"/>
  <c r="BS33" i="48" s="1"/>
  <c r="BS25" i="48" a="1"/>
  <c r="BS25" i="48" s="1"/>
  <c r="BS17" i="48" a="1"/>
  <c r="BS17" i="48" s="1"/>
  <c r="BS34" i="48" a="1"/>
  <c r="BS34" i="48" s="1"/>
  <c r="BS16" i="48" a="1"/>
  <c r="BS16" i="48" s="1"/>
  <c r="BS11" i="48" a="1"/>
  <c r="BS11" i="48" s="1"/>
  <c r="BS9" i="48" a="1"/>
  <c r="BS9" i="48" s="1"/>
  <c r="BS7" i="48" a="1"/>
  <c r="BS7" i="48" s="1"/>
  <c r="BS26" i="48" a="1"/>
  <c r="BS26" i="48" s="1"/>
  <c r="BS22" i="48" a="1"/>
  <c r="BS22" i="48" s="1"/>
  <c r="BS37" i="48" a="1"/>
  <c r="BS37" i="48" s="1"/>
  <c r="BS21" i="48" a="1"/>
  <c r="BS21" i="48" s="1"/>
  <c r="BS19" i="48" a="1"/>
  <c r="BS19" i="48" s="1"/>
  <c r="BS14" i="48" a="1"/>
  <c r="BS14" i="48" s="1"/>
  <c r="BS8" i="48" a="1"/>
  <c r="BS8" i="48" s="1"/>
  <c r="BS23" i="48" a="1"/>
  <c r="BS23" i="48" s="1"/>
  <c r="BS15" i="48" a="1"/>
  <c r="BS15" i="48" s="1"/>
  <c r="BS12" i="48" a="1"/>
  <c r="BS12" i="48" s="1"/>
  <c r="BS6" i="48" a="1"/>
  <c r="BS6" i="48" s="1"/>
  <c r="BS27" i="48" a="1"/>
  <c r="BS27" i="48" s="1"/>
  <c r="BS50" i="48" a="1"/>
  <c r="BS50" i="48" s="1"/>
  <c r="BS4" i="48" a="1"/>
  <c r="BS4" i="48" s="1"/>
  <c r="BS46" i="48" a="1"/>
  <c r="BS46" i="48" s="1"/>
  <c r="BS18" i="48" a="1"/>
  <c r="BS18" i="48" s="1"/>
  <c r="BS2" i="48" a="1"/>
  <c r="BS2" i="48" s="1"/>
  <c r="BS28" i="48" a="1"/>
  <c r="BS28" i="48" s="1"/>
  <c r="BS29" i="48" a="1"/>
  <c r="BS29" i="48" s="1"/>
  <c r="BS36" i="48" a="1"/>
  <c r="BS36" i="48" s="1"/>
  <c r="BS3" i="48" a="1"/>
  <c r="BS3" i="48" s="1"/>
  <c r="BT1" i="48" a="1"/>
  <c r="BT1" i="48" s="1"/>
  <c r="BT48" i="48" l="1" a="1"/>
  <c r="BT48" i="48" s="1"/>
  <c r="BT45" i="48" a="1"/>
  <c r="BT45" i="48" s="1"/>
  <c r="BT41" i="48" a="1"/>
  <c r="BT41" i="48" s="1"/>
  <c r="BT36" i="48" a="1"/>
  <c r="BT36" i="48" s="1"/>
  <c r="BT29" i="48" a="1"/>
  <c r="BT29" i="48" s="1"/>
  <c r="BT28" i="48" a="1"/>
  <c r="BT28" i="48" s="1"/>
  <c r="BT25" i="48" a="1"/>
  <c r="BT25" i="48" s="1"/>
  <c r="BT20" i="48" a="1"/>
  <c r="BT20" i="48" s="1"/>
  <c r="BT19" i="48" a="1"/>
  <c r="BT19" i="48" s="1"/>
  <c r="BT9" i="48" a="1"/>
  <c r="BT9" i="48" s="1"/>
  <c r="BT10" i="48" a="1"/>
  <c r="BT10" i="48" s="1"/>
  <c r="BT51" i="48" a="1"/>
  <c r="BT51" i="48" s="1"/>
  <c r="BT46" i="48" a="1"/>
  <c r="BT46" i="48" s="1"/>
  <c r="BT43" i="48" a="1"/>
  <c r="BT43" i="48" s="1"/>
  <c r="BT39" i="48" a="1"/>
  <c r="BT39" i="48" s="1"/>
  <c r="BT33" i="48" a="1"/>
  <c r="BT33" i="48" s="1"/>
  <c r="BT30" i="48" a="1"/>
  <c r="BT30" i="48" s="1"/>
  <c r="BT27" i="48" a="1"/>
  <c r="BT27" i="48" s="1"/>
  <c r="BT26" i="48" a="1"/>
  <c r="BT26" i="48" s="1"/>
  <c r="BT18" i="48" a="1"/>
  <c r="BT18" i="48" s="1"/>
  <c r="BT15" i="48" a="1"/>
  <c r="BT15" i="48" s="1"/>
  <c r="BT8" i="48" a="1"/>
  <c r="BT8" i="48" s="1"/>
  <c r="BT7" i="48" a="1"/>
  <c r="BT7" i="48" s="1"/>
  <c r="BT50" i="48" a="1"/>
  <c r="BT50" i="48" s="1"/>
  <c r="BT47" i="48" a="1"/>
  <c r="BT47" i="48" s="1"/>
  <c r="BT42" i="48" a="1"/>
  <c r="BT42" i="48" s="1"/>
  <c r="BT37" i="48" a="1"/>
  <c r="BT37" i="48" s="1"/>
  <c r="BT35" i="48" a="1"/>
  <c r="BT35" i="48" s="1"/>
  <c r="BT32" i="48" a="1"/>
  <c r="BT32" i="48" s="1"/>
  <c r="BT23" i="48" a="1"/>
  <c r="BT23" i="48" s="1"/>
  <c r="BT22" i="48" a="1"/>
  <c r="BT22" i="48" s="1"/>
  <c r="BT17" i="48" a="1"/>
  <c r="BT17" i="48" s="1"/>
  <c r="BT13" i="48" a="1"/>
  <c r="BT13" i="48" s="1"/>
  <c r="BT14" i="48" a="1"/>
  <c r="BT14" i="48" s="1"/>
  <c r="BT6" i="48" a="1"/>
  <c r="BT6" i="48" s="1"/>
  <c r="BT49" i="48" a="1"/>
  <c r="BT49" i="48" s="1"/>
  <c r="BT44" i="48" a="1"/>
  <c r="BT44" i="48" s="1"/>
  <c r="BT40" i="48" a="1"/>
  <c r="BT40" i="48" s="1"/>
  <c r="BT38" i="48" a="1"/>
  <c r="BT38" i="48" s="1"/>
  <c r="BT34" i="48" a="1"/>
  <c r="BT34" i="48" s="1"/>
  <c r="BT31" i="48" a="1"/>
  <c r="BT31" i="48" s="1"/>
  <c r="BT24" i="48" a="1"/>
  <c r="BT24" i="48" s="1"/>
  <c r="BT21" i="48" a="1"/>
  <c r="BT21" i="48" s="1"/>
  <c r="BT16" i="48" a="1"/>
  <c r="BT16" i="48" s="1"/>
  <c r="BT11" i="48" a="1"/>
  <c r="BT11" i="48" s="1"/>
  <c r="BT12" i="48" a="1"/>
  <c r="BT12" i="48" s="1"/>
  <c r="BT5" i="48" a="1"/>
  <c r="BT5" i="48" s="1"/>
  <c r="BT3" i="48" a="1"/>
  <c r="BT3" i="48" s="1"/>
  <c r="BT4" i="48" a="1"/>
  <c r="BT4" i="48" s="1"/>
  <c r="BT2" i="48" a="1"/>
  <c r="BT2" i="48" s="1"/>
  <c r="BU1" i="48" a="1"/>
  <c r="BU1" i="48" s="1"/>
  <c r="BU50" i="48" l="1" a="1"/>
  <c r="BU50" i="48" s="1"/>
  <c r="BU47" i="48" a="1"/>
  <c r="BU47" i="48" s="1"/>
  <c r="BU41" i="48" a="1"/>
  <c r="BU41" i="48" s="1"/>
  <c r="BU37" i="48" a="1"/>
  <c r="BU37" i="48" s="1"/>
  <c r="BU33" i="48" a="1"/>
  <c r="BU33" i="48" s="1"/>
  <c r="BU31" i="48" a="1"/>
  <c r="BU31" i="48" s="1"/>
  <c r="BU26" i="48" a="1"/>
  <c r="BU26" i="48" s="1"/>
  <c r="BU22" i="48" a="1"/>
  <c r="BU22" i="48" s="1"/>
  <c r="BU17" i="48" a="1"/>
  <c r="BU17" i="48" s="1"/>
  <c r="BU12" i="48" a="1"/>
  <c r="BU12" i="48" s="1"/>
  <c r="BU11" i="48" a="1"/>
  <c r="BU11" i="48" s="1"/>
  <c r="BU5" i="48" a="1"/>
  <c r="BU5" i="48" s="1"/>
  <c r="BU49" i="48" a="1"/>
  <c r="BU49" i="48" s="1"/>
  <c r="BU43" i="48" a="1"/>
  <c r="BU43" i="48" s="1"/>
  <c r="BU42" i="48" a="1"/>
  <c r="BU42" i="48" s="1"/>
  <c r="BU39" i="48" a="1"/>
  <c r="BU39" i="48" s="1"/>
  <c r="BU35" i="48" a="1"/>
  <c r="BU35" i="48" s="1"/>
  <c r="BU28" i="48" a="1"/>
  <c r="BU28" i="48" s="1"/>
  <c r="BU27" i="48" a="1"/>
  <c r="BU27" i="48" s="1"/>
  <c r="BU21" i="48" a="1"/>
  <c r="BU21" i="48" s="1"/>
  <c r="BU16" i="48" a="1"/>
  <c r="BU16" i="48" s="1"/>
  <c r="BU10" i="48" a="1"/>
  <c r="BU10" i="48" s="1"/>
  <c r="BU9" i="48" a="1"/>
  <c r="BU9" i="48" s="1"/>
  <c r="BU6" i="48" a="1"/>
  <c r="BU6" i="48" s="1"/>
  <c r="BU48" i="48" a="1"/>
  <c r="BU48" i="48" s="1"/>
  <c r="BU44" i="48" a="1"/>
  <c r="BU44" i="48" s="1"/>
  <c r="BU40" i="48" a="1"/>
  <c r="BU40" i="48" s="1"/>
  <c r="BU34" i="48" a="1"/>
  <c r="BU34" i="48" s="1"/>
  <c r="BU30" i="48" a="1"/>
  <c r="BU30" i="48" s="1"/>
  <c r="BU29" i="48" a="1"/>
  <c r="BU29" i="48" s="1"/>
  <c r="BU23" i="48" a="1"/>
  <c r="BU23" i="48" s="1"/>
  <c r="BU20" i="48" a="1"/>
  <c r="BU20" i="48" s="1"/>
  <c r="BU18" i="48" a="1"/>
  <c r="BU18" i="48" s="1"/>
  <c r="BU15" i="48" a="1"/>
  <c r="BU15" i="48" s="1"/>
  <c r="BU8" i="48" a="1"/>
  <c r="BU8" i="48" s="1"/>
  <c r="BU51" i="48" a="1"/>
  <c r="BU51" i="48" s="1"/>
  <c r="BU46" i="48" a="1"/>
  <c r="BU46" i="48" s="1"/>
  <c r="BU45" i="48" a="1"/>
  <c r="BU45" i="48" s="1"/>
  <c r="BU38" i="48" a="1"/>
  <c r="BU38" i="48" s="1"/>
  <c r="BU36" i="48" a="1"/>
  <c r="BU36" i="48" s="1"/>
  <c r="BU32" i="48" a="1"/>
  <c r="BU32" i="48" s="1"/>
  <c r="BU25" i="48" a="1"/>
  <c r="BU25" i="48" s="1"/>
  <c r="BU24" i="48" a="1"/>
  <c r="BU24" i="48" s="1"/>
  <c r="BU19" i="48" a="1"/>
  <c r="BU19" i="48" s="1"/>
  <c r="BU14" i="48" a="1"/>
  <c r="BU14" i="48" s="1"/>
  <c r="BU13" i="48" a="1"/>
  <c r="BU13" i="48" s="1"/>
  <c r="BU7" i="48" a="1"/>
  <c r="BU7" i="48" s="1"/>
  <c r="BU4" i="48" a="1"/>
  <c r="BU4" i="48" s="1"/>
  <c r="BU3" i="48" a="1"/>
  <c r="BU3" i="48" s="1"/>
  <c r="BU2" i="48" a="1"/>
  <c r="BU2" i="48" s="1"/>
  <c r="BV1" i="48" a="1"/>
  <c r="BV1" i="48" s="1"/>
  <c r="BV48" i="48" l="1" a="1"/>
  <c r="BV48" i="48" s="1"/>
  <c r="BV44" i="48" a="1"/>
  <c r="BV44" i="48" s="1"/>
  <c r="BV40" i="48" a="1"/>
  <c r="BV40" i="48" s="1"/>
  <c r="BV35" i="48" a="1"/>
  <c r="BV35" i="48" s="1"/>
  <c r="BV32" i="48" a="1"/>
  <c r="BV32" i="48" s="1"/>
  <c r="BV31" i="48" a="1"/>
  <c r="BV31" i="48" s="1"/>
  <c r="BV24" i="48" a="1"/>
  <c r="BV24" i="48" s="1"/>
  <c r="BV20" i="48" a="1"/>
  <c r="BV20" i="48" s="1"/>
  <c r="BV18" i="48" a="1"/>
  <c r="BV18" i="48" s="1"/>
  <c r="BV9" i="48" a="1"/>
  <c r="BV9" i="48" s="1"/>
  <c r="BV11" i="48" a="1"/>
  <c r="BV11" i="48" s="1"/>
  <c r="BV51" i="48" a="1"/>
  <c r="BV51" i="48" s="1"/>
  <c r="BV47" i="48" a="1"/>
  <c r="BV47" i="48" s="1"/>
  <c r="BV45" i="48" a="1"/>
  <c r="BV45" i="48" s="1"/>
  <c r="BV38" i="48" a="1"/>
  <c r="BV38" i="48" s="1"/>
  <c r="BV34" i="48" a="1"/>
  <c r="BV34" i="48" s="1"/>
  <c r="BV28" i="48" a="1"/>
  <c r="BV28" i="48" s="1"/>
  <c r="BV26" i="48" a="1"/>
  <c r="BV26" i="48" s="1"/>
  <c r="BV25" i="48" a="1"/>
  <c r="BV25" i="48" s="1"/>
  <c r="BV19" i="48" a="1"/>
  <c r="BV19" i="48" s="1"/>
  <c r="BV14" i="48" a="1"/>
  <c r="BV14" i="48" s="1"/>
  <c r="BV8" i="48" a="1"/>
  <c r="BV8" i="48" s="1"/>
  <c r="BV5" i="48" a="1"/>
  <c r="BV5" i="48" s="1"/>
  <c r="BV50" i="48" a="1"/>
  <c r="BV50" i="48" s="1"/>
  <c r="BV46" i="48" a="1"/>
  <c r="BV46" i="48" s="1"/>
  <c r="BV42" i="48" a="1"/>
  <c r="BV42" i="48" s="1"/>
  <c r="BV37" i="48" a="1"/>
  <c r="BV37" i="48" s="1"/>
  <c r="BV33" i="48" a="1"/>
  <c r="BV33" i="48" s="1"/>
  <c r="BV29" i="48" a="1"/>
  <c r="BV29" i="48" s="1"/>
  <c r="BV27" i="48" a="1"/>
  <c r="BV27" i="48" s="1"/>
  <c r="BV22" i="48" a="1"/>
  <c r="BV22" i="48" s="1"/>
  <c r="BV17" i="48" a="1"/>
  <c r="BV17" i="48" s="1"/>
  <c r="BV12" i="48" a="1"/>
  <c r="BV12" i="48" s="1"/>
  <c r="BV15" i="48" a="1"/>
  <c r="BV15" i="48" s="1"/>
  <c r="BV6" i="48" a="1"/>
  <c r="BV6" i="48" s="1"/>
  <c r="BV49" i="48" a="1"/>
  <c r="BV49" i="48" s="1"/>
  <c r="BV43" i="48" a="1"/>
  <c r="BV43" i="48" s="1"/>
  <c r="BV41" i="48" a="1"/>
  <c r="BV41" i="48" s="1"/>
  <c r="BV39" i="48" a="1"/>
  <c r="BV39" i="48" s="1"/>
  <c r="BV36" i="48" a="1"/>
  <c r="BV36" i="48" s="1"/>
  <c r="BV30" i="48" a="1"/>
  <c r="BV30" i="48" s="1"/>
  <c r="BV23" i="48" a="1"/>
  <c r="BV23" i="48" s="1"/>
  <c r="BV21" i="48" a="1"/>
  <c r="BV21" i="48" s="1"/>
  <c r="BV16" i="48" a="1"/>
  <c r="BV16" i="48" s="1"/>
  <c r="BV10" i="48" a="1"/>
  <c r="BV10" i="48" s="1"/>
  <c r="BV13" i="48" a="1"/>
  <c r="BV13" i="48" s="1"/>
  <c r="BV7" i="48" a="1"/>
  <c r="BV7" i="48" s="1"/>
  <c r="BV3" i="48" a="1"/>
  <c r="BV3" i="48" s="1"/>
  <c r="BV4" i="48" a="1"/>
  <c r="BV4" i="48" s="1"/>
  <c r="BV2" i="48" a="1"/>
  <c r="BV2" i="48" s="1"/>
  <c r="BW1" i="48" a="1"/>
  <c r="BW1" i="48" s="1"/>
  <c r="BW48" i="48" l="1" a="1"/>
  <c r="BW48" i="48" s="1"/>
  <c r="BW45" i="48" a="1"/>
  <c r="BW45" i="48" s="1"/>
  <c r="BW42" i="48" a="1"/>
  <c r="BW42" i="48" s="1"/>
  <c r="BW37" i="48" a="1"/>
  <c r="BW37" i="48" s="1"/>
  <c r="BW33" i="48" a="1"/>
  <c r="BW33" i="48" s="1"/>
  <c r="BW32" i="48" a="1"/>
  <c r="BW32" i="48" s="1"/>
  <c r="BW26" i="48" a="1"/>
  <c r="BW26" i="48" s="1"/>
  <c r="BW22" i="48" a="1"/>
  <c r="BW22" i="48" s="1"/>
  <c r="BW16" i="48" a="1"/>
  <c r="BW16" i="48" s="1"/>
  <c r="BW11" i="48" a="1"/>
  <c r="BW11" i="48" s="1"/>
  <c r="BW9" i="48" a="1"/>
  <c r="BW9" i="48" s="1"/>
  <c r="BW5" i="48" a="1"/>
  <c r="BW5" i="48" s="1"/>
  <c r="BW49" i="48" a="1"/>
  <c r="BW49" i="48" s="1"/>
  <c r="BW43" i="48" a="1"/>
  <c r="BW43" i="48" s="1"/>
  <c r="BW41" i="48" a="1"/>
  <c r="BW41" i="48" s="1"/>
  <c r="BW36" i="48" a="1"/>
  <c r="BW36" i="48" s="1"/>
  <c r="BW29" i="48" a="1"/>
  <c r="BW29" i="48" s="1"/>
  <c r="BW28" i="48" a="1"/>
  <c r="BW28" i="48" s="1"/>
  <c r="BW27" i="48" a="1"/>
  <c r="BW27" i="48" s="1"/>
  <c r="BW20" i="48" a="1"/>
  <c r="BW20" i="48" s="1"/>
  <c r="BW19" i="48" a="1"/>
  <c r="BW19" i="48" s="1"/>
  <c r="BW14" i="48" a="1"/>
  <c r="BW14" i="48" s="1"/>
  <c r="BW8" i="48" a="1"/>
  <c r="BW8" i="48" s="1"/>
  <c r="BW51" i="48" a="1"/>
  <c r="BW51" i="48" s="1"/>
  <c r="BW47" i="48" a="1"/>
  <c r="BW47" i="48" s="1"/>
  <c r="BW44" i="48" a="1"/>
  <c r="BW44" i="48" s="1"/>
  <c r="BW39" i="48" a="1"/>
  <c r="BW39" i="48" s="1"/>
  <c r="BW35" i="48" a="1"/>
  <c r="BW35" i="48" s="1"/>
  <c r="BW30" i="48" a="1"/>
  <c r="BW30" i="48" s="1"/>
  <c r="BW24" i="48" a="1"/>
  <c r="BW24" i="48" s="1"/>
  <c r="BW23" i="48" a="1"/>
  <c r="BW23" i="48" s="1"/>
  <c r="BW18" i="48" a="1"/>
  <c r="BW18" i="48" s="1"/>
  <c r="BW15" i="48" a="1"/>
  <c r="BW15" i="48" s="1"/>
  <c r="BW12" i="48" a="1"/>
  <c r="BW12" i="48" s="1"/>
  <c r="BW6" i="48" a="1"/>
  <c r="BW6" i="48" s="1"/>
  <c r="BW50" i="48" a="1"/>
  <c r="BW50" i="48" s="1"/>
  <c r="BW46" i="48" a="1"/>
  <c r="BW46" i="48" s="1"/>
  <c r="BW40" i="48" a="1"/>
  <c r="BW40" i="48" s="1"/>
  <c r="BW38" i="48" a="1"/>
  <c r="BW38" i="48" s="1"/>
  <c r="BW34" i="48" a="1"/>
  <c r="BW34" i="48" s="1"/>
  <c r="BW31" i="48" a="1"/>
  <c r="BW31" i="48" s="1"/>
  <c r="BW25" i="48" a="1"/>
  <c r="BW25" i="48" s="1"/>
  <c r="BW21" i="48" a="1"/>
  <c r="BW21" i="48" s="1"/>
  <c r="BW17" i="48" a="1"/>
  <c r="BW17" i="48" s="1"/>
  <c r="BW13" i="48" a="1"/>
  <c r="BW13" i="48" s="1"/>
  <c r="BW10" i="48" a="1"/>
  <c r="BW10" i="48" s="1"/>
  <c r="BW7" i="48" a="1"/>
  <c r="BW7" i="48" s="1"/>
  <c r="BW3" i="48" a="1"/>
  <c r="BW3" i="48" s="1"/>
  <c r="BW2" i="48" a="1"/>
  <c r="BW2" i="48" s="1"/>
  <c r="BW4" i="48" a="1"/>
  <c r="BW4" i="48" s="1"/>
  <c r="BX1" i="48" a="1"/>
  <c r="BX1" i="48" s="1"/>
  <c r="BX50" i="48" l="1" a="1"/>
  <c r="BX50" i="48" s="1"/>
  <c r="BX46" i="48" a="1"/>
  <c r="BX46" i="48" s="1"/>
  <c r="BX41" i="48" a="1"/>
  <c r="BX41" i="48" s="1"/>
  <c r="BX38" i="48" a="1"/>
  <c r="BX38" i="48" s="1"/>
  <c r="BX33" i="48" a="1"/>
  <c r="BX33" i="48" s="1"/>
  <c r="BX32" i="48" a="1"/>
  <c r="BX32" i="48" s="1"/>
  <c r="BX26" i="48" a="1"/>
  <c r="BX26" i="48" s="1"/>
  <c r="BX22" i="48" a="1"/>
  <c r="BX22" i="48" s="1"/>
  <c r="BX17" i="48" a="1"/>
  <c r="BX17" i="48" s="1"/>
  <c r="BX13" i="48" a="1"/>
  <c r="BX13" i="48" s="1"/>
  <c r="BX14" i="48" a="1"/>
  <c r="BX14" i="48" s="1"/>
  <c r="BX5" i="48" a="1"/>
  <c r="BX5" i="48" s="1"/>
  <c r="BX49" i="48" a="1"/>
  <c r="BX49" i="48" s="1"/>
  <c r="BX43" i="48" a="1"/>
  <c r="BX43" i="48" s="1"/>
  <c r="BX42" i="48" a="1"/>
  <c r="BX42" i="48" s="1"/>
  <c r="BX37" i="48" a="1"/>
  <c r="BX37" i="48" s="1"/>
  <c r="BX36" i="48" a="1"/>
  <c r="BX36" i="48" s="1"/>
  <c r="BX29" i="48" a="1"/>
  <c r="BX29" i="48" s="1"/>
  <c r="BX27" i="48" a="1"/>
  <c r="BX27" i="48" s="1"/>
  <c r="BX21" i="48" a="1"/>
  <c r="BX21" i="48" s="1"/>
  <c r="BX16" i="48" a="1"/>
  <c r="BX16" i="48" s="1"/>
  <c r="BX11" i="48" a="1"/>
  <c r="BX11" i="48" s="1"/>
  <c r="BX12" i="48" a="1"/>
  <c r="BX12" i="48" s="1"/>
  <c r="BX6" i="48" a="1"/>
  <c r="BX6" i="48" s="1"/>
  <c r="BX48" i="48" a="1"/>
  <c r="BX48" i="48" s="1"/>
  <c r="BX44" i="48" a="1"/>
  <c r="BX44" i="48" s="1"/>
  <c r="BX40" i="48" a="1"/>
  <c r="BX40" i="48" s="1"/>
  <c r="BX34" i="48" a="1"/>
  <c r="BX34" i="48" s="1"/>
  <c r="BX31" i="48" a="1"/>
  <c r="BX31" i="48" s="1"/>
  <c r="BX30" i="48" a="1"/>
  <c r="BX30" i="48" s="1"/>
  <c r="BX23" i="48" a="1"/>
  <c r="BX23" i="48" s="1"/>
  <c r="BX20" i="48" a="1"/>
  <c r="BX20" i="48" s="1"/>
  <c r="BX19" i="48" a="1"/>
  <c r="BX19" i="48" s="1"/>
  <c r="BX9" i="48" a="1"/>
  <c r="BX9" i="48" s="1"/>
  <c r="BX10" i="48" a="1"/>
  <c r="BX10" i="48" s="1"/>
  <c r="BX51" i="48" a="1"/>
  <c r="BX51" i="48" s="1"/>
  <c r="BX47" i="48" a="1"/>
  <c r="BX47" i="48" s="1"/>
  <c r="BX45" i="48" a="1"/>
  <c r="BX45" i="48" s="1"/>
  <c r="BX39" i="48" a="1"/>
  <c r="BX39" i="48" s="1"/>
  <c r="BX35" i="48" a="1"/>
  <c r="BX35" i="48" s="1"/>
  <c r="BX28" i="48" a="1"/>
  <c r="BX28" i="48" s="1"/>
  <c r="BX25" i="48" a="1"/>
  <c r="BX25" i="48" s="1"/>
  <c r="BX24" i="48" a="1"/>
  <c r="BX24" i="48" s="1"/>
  <c r="BX18" i="48" a="1"/>
  <c r="BX18" i="48" s="1"/>
  <c r="BX15" i="48" a="1"/>
  <c r="BX15" i="48" s="1"/>
  <c r="BX8" i="48" a="1"/>
  <c r="BX8" i="48" s="1"/>
  <c r="BX7" i="48" a="1"/>
  <c r="BX7" i="48" s="1"/>
  <c r="BX4" i="48" a="1"/>
  <c r="BX4" i="48" s="1"/>
  <c r="BX3" i="48" a="1"/>
  <c r="BX3" i="48" s="1"/>
  <c r="BX2" i="48" a="1"/>
  <c r="BX2" i="48" s="1"/>
  <c r="BY1" i="48" a="1"/>
  <c r="BY1" i="48" s="1"/>
  <c r="BY50" i="48" l="1" a="1"/>
  <c r="BY50" i="48" s="1"/>
  <c r="BY47" i="48" a="1"/>
  <c r="BY47" i="48" s="1"/>
  <c r="BY42" i="48" a="1"/>
  <c r="BY42" i="48" s="1"/>
  <c r="BY38" i="48" a="1"/>
  <c r="BY38" i="48" s="1"/>
  <c r="BY33" i="48" a="1"/>
  <c r="BY33" i="48" s="1"/>
  <c r="BY29" i="48" a="1"/>
  <c r="BY29" i="48" s="1"/>
  <c r="BY23" i="48" a="1"/>
  <c r="BY23" i="48" s="1"/>
  <c r="BY22" i="48" a="1"/>
  <c r="BY22" i="48" s="1"/>
  <c r="BY17" i="48" a="1"/>
  <c r="BY17" i="48" s="1"/>
  <c r="BY12" i="48" a="1"/>
  <c r="BY12" i="48" s="1"/>
  <c r="BY11" i="48" a="1"/>
  <c r="BY11" i="48" s="1"/>
  <c r="BY6" i="48" a="1"/>
  <c r="BY6" i="48" s="1"/>
  <c r="BY5" i="48" a="1"/>
  <c r="BY5" i="48" s="1"/>
  <c r="BY49" i="48" a="1"/>
  <c r="BY49" i="48" s="1"/>
  <c r="BY44" i="48" a="1"/>
  <c r="BY44" i="48" s="1"/>
  <c r="BY40" i="48" a="1"/>
  <c r="BY40" i="48" s="1"/>
  <c r="BY39" i="48" a="1"/>
  <c r="BY39" i="48" s="1"/>
  <c r="BY35" i="48" a="1"/>
  <c r="BY35" i="48" s="1"/>
  <c r="BY30" i="48" a="1"/>
  <c r="BY30" i="48" s="1"/>
  <c r="BY24" i="48" a="1"/>
  <c r="BY24" i="48" s="1"/>
  <c r="BY21" i="48" a="1"/>
  <c r="BY21" i="48" s="1"/>
  <c r="BY16" i="48" a="1"/>
  <c r="BY16" i="48" s="1"/>
  <c r="BY10" i="48" a="1"/>
  <c r="BY10" i="48" s="1"/>
  <c r="BY9" i="48" a="1"/>
  <c r="BY9" i="48" s="1"/>
  <c r="BY48" i="48" a="1"/>
  <c r="BY48" i="48" s="1"/>
  <c r="BY45" i="48" a="1"/>
  <c r="BY45" i="48" s="1"/>
  <c r="BY41" i="48" a="1"/>
  <c r="BY41" i="48" s="1"/>
  <c r="BY36" i="48" a="1"/>
  <c r="BY36" i="48" s="1"/>
  <c r="BY28" i="48" a="1"/>
  <c r="BY28" i="48" s="1"/>
  <c r="BY31" i="48" a="1"/>
  <c r="BY31" i="48" s="1"/>
  <c r="BY25" i="48" a="1"/>
  <c r="BY25" i="48" s="1"/>
  <c r="BY20" i="48" a="1"/>
  <c r="BY20" i="48" s="1"/>
  <c r="BY18" i="48" a="1"/>
  <c r="BY18" i="48" s="1"/>
  <c r="BY15" i="48" a="1"/>
  <c r="BY15" i="48" s="1"/>
  <c r="BY8" i="48" a="1"/>
  <c r="BY8" i="48" s="1"/>
  <c r="BY51" i="48" a="1"/>
  <c r="BY51" i="48" s="1"/>
  <c r="BY46" i="48" a="1"/>
  <c r="BY46" i="48" s="1"/>
  <c r="BY43" i="48" a="1"/>
  <c r="BY43" i="48" s="1"/>
  <c r="BY37" i="48" a="1"/>
  <c r="BY37" i="48" s="1"/>
  <c r="BY34" i="48" a="1"/>
  <c r="BY34" i="48" s="1"/>
  <c r="BY32" i="48" a="1"/>
  <c r="BY32" i="48" s="1"/>
  <c r="BY27" i="48" a="1"/>
  <c r="BY27" i="48" s="1"/>
  <c r="BY26" i="48" a="1"/>
  <c r="BY26" i="48" s="1"/>
  <c r="BY19" i="48" a="1"/>
  <c r="BY19" i="48" s="1"/>
  <c r="BY14" i="48" a="1"/>
  <c r="BY14" i="48" s="1"/>
  <c r="BY13" i="48" a="1"/>
  <c r="BY13" i="48" s="1"/>
  <c r="BY7" i="48" a="1"/>
  <c r="BY7" i="48" s="1"/>
  <c r="BY3" i="48" a="1"/>
  <c r="BY3" i="48" s="1"/>
  <c r="BY2" i="48" a="1"/>
  <c r="BY2" i="48" s="1"/>
  <c r="BY4" i="48" a="1"/>
  <c r="BY4" i="48" s="1"/>
  <c r="BZ1" i="48" a="1"/>
  <c r="BZ1" i="48" s="1"/>
  <c r="BZ50" i="48" l="1" a="1"/>
  <c r="BZ50" i="48" s="1"/>
  <c r="BZ47" i="48" a="1"/>
  <c r="BZ47" i="48" s="1"/>
  <c r="BZ44" i="48" a="1"/>
  <c r="BZ44" i="48" s="1"/>
  <c r="BZ38" i="48" a="1"/>
  <c r="BZ38" i="48" s="1"/>
  <c r="BZ36" i="48" a="1"/>
  <c r="BZ36" i="48" s="1"/>
  <c r="BZ30" i="48" a="1"/>
  <c r="BZ30" i="48" s="1"/>
  <c r="BZ24" i="48" a="1"/>
  <c r="BZ24" i="48" s="1"/>
  <c r="BZ23" i="48" a="1"/>
  <c r="BZ23" i="48" s="1"/>
  <c r="BZ19" i="48" a="1"/>
  <c r="BZ19" i="48" s="1"/>
  <c r="BZ14" i="48" a="1"/>
  <c r="BZ14" i="48" s="1"/>
  <c r="BZ8" i="48" a="1"/>
  <c r="BZ8" i="48" s="1"/>
  <c r="BZ6" i="48" a="1"/>
  <c r="BZ6" i="48" s="1"/>
  <c r="BZ51" i="48" a="1"/>
  <c r="BZ51" i="48" s="1"/>
  <c r="BZ46" i="48" a="1"/>
  <c r="BZ46" i="48" s="1"/>
  <c r="BZ41" i="48" a="1"/>
  <c r="BZ41" i="48" s="1"/>
  <c r="BZ39" i="48" a="1"/>
  <c r="BZ39" i="48" s="1"/>
  <c r="BZ35" i="48" a="1"/>
  <c r="BZ35" i="48" s="1"/>
  <c r="BZ31" i="48" a="1"/>
  <c r="BZ31" i="48" s="1"/>
  <c r="BZ25" i="48" a="1"/>
  <c r="BZ25" i="48" s="1"/>
  <c r="BZ22" i="48" a="1"/>
  <c r="BZ22" i="48" s="1"/>
  <c r="BZ17" i="48" a="1"/>
  <c r="BZ17" i="48" s="1"/>
  <c r="BZ12" i="48" a="1"/>
  <c r="BZ12" i="48" s="1"/>
  <c r="BZ15" i="48" a="1"/>
  <c r="BZ15" i="48" s="1"/>
  <c r="BZ5" i="48" a="1"/>
  <c r="BZ5" i="48" s="1"/>
  <c r="BZ4" i="48" a="1"/>
  <c r="BZ4" i="48" s="1"/>
  <c r="BZ37" i="48" a="1"/>
  <c r="BZ37" i="48" s="1"/>
  <c r="BZ21" i="48" a="1"/>
  <c r="BZ21" i="48" s="1"/>
  <c r="BZ7" i="48" a="1"/>
  <c r="BZ7" i="48" s="1"/>
  <c r="BZ33" i="48" a="1"/>
  <c r="BZ33" i="48" s="1"/>
  <c r="BZ20" i="48" a="1"/>
  <c r="BZ20" i="48" s="1"/>
  <c r="BZ48" i="48" a="1"/>
  <c r="BZ48" i="48" s="1"/>
  <c r="BZ34" i="48" a="1"/>
  <c r="BZ34" i="48" s="1"/>
  <c r="BZ16" i="48" a="1"/>
  <c r="BZ16" i="48" s="1"/>
  <c r="BZ2" i="48" a="1"/>
  <c r="BZ2" i="48" s="1"/>
  <c r="BZ49" i="48" a="1"/>
  <c r="BZ49" i="48" s="1"/>
  <c r="BZ32" i="48" a="1"/>
  <c r="BZ32" i="48" s="1"/>
  <c r="BZ18" i="48" a="1"/>
  <c r="BZ18" i="48" s="1"/>
  <c r="BZ45" i="48" a="1"/>
  <c r="BZ45" i="48" s="1"/>
  <c r="BZ28" i="48" a="1"/>
  <c r="BZ28" i="48" s="1"/>
  <c r="BZ10" i="48" a="1"/>
  <c r="BZ10" i="48" s="1"/>
  <c r="BZ3" i="48" a="1"/>
  <c r="BZ3" i="48" s="1"/>
  <c r="BZ40" i="48" a="1"/>
  <c r="BZ40" i="48" s="1"/>
  <c r="BZ26" i="48" a="1"/>
  <c r="BZ26" i="48" s="1"/>
  <c r="BZ13" i="48" a="1"/>
  <c r="BZ13" i="48" s="1"/>
  <c r="BZ42" i="48" a="1"/>
  <c r="BZ42" i="48" s="1"/>
  <c r="BZ27" i="48" a="1"/>
  <c r="BZ27" i="48" s="1"/>
  <c r="BZ11" i="48" a="1"/>
  <c r="BZ11" i="48" s="1"/>
  <c r="BZ43" i="48" a="1"/>
  <c r="BZ43" i="48" s="1"/>
  <c r="BZ29" i="48" a="1"/>
  <c r="BZ29" i="48" s="1"/>
  <c r="BZ9" i="48" a="1"/>
  <c r="BZ9" i="48" s="1"/>
  <c r="CA1" i="48" a="1"/>
  <c r="CA1" i="48" s="1"/>
  <c r="CA51" i="48" l="1" a="1"/>
  <c r="CA51" i="48" s="1"/>
  <c r="CA47" i="48" a="1"/>
  <c r="CA47" i="48" s="1"/>
  <c r="CA45" i="48" a="1"/>
  <c r="CA45" i="48" s="1"/>
  <c r="CA39" i="48" a="1"/>
  <c r="CA39" i="48" s="1"/>
  <c r="CA34" i="48" a="1"/>
  <c r="CA34" i="48" s="1"/>
  <c r="CA28" i="48" a="1"/>
  <c r="CA28" i="48" s="1"/>
  <c r="CA26" i="48" a="1"/>
  <c r="CA26" i="48" s="1"/>
  <c r="CA25" i="48" a="1"/>
  <c r="CA25" i="48" s="1"/>
  <c r="CA18" i="48" a="1"/>
  <c r="CA18" i="48" s="1"/>
  <c r="CA19" i="48" a="1"/>
  <c r="CA19" i="48" s="1"/>
  <c r="CA12" i="48" a="1"/>
  <c r="CA12" i="48" s="1"/>
  <c r="CA6" i="48" a="1"/>
  <c r="CA6" i="48" s="1"/>
  <c r="CA50" i="48" a="1"/>
  <c r="CA50" i="48" s="1"/>
  <c r="CA46" i="48" a="1"/>
  <c r="CA46" i="48" s="1"/>
  <c r="CA42" i="48" a="1"/>
  <c r="CA42" i="48" s="1"/>
  <c r="CA37" i="48" a="1"/>
  <c r="CA37" i="48" s="1"/>
  <c r="CA33" i="48" a="1"/>
  <c r="CA33" i="48" s="1"/>
  <c r="CA29" i="48" a="1"/>
  <c r="CA29" i="48" s="1"/>
  <c r="CA27" i="48" a="1"/>
  <c r="CA27" i="48" s="1"/>
  <c r="CA22" i="48" a="1"/>
  <c r="CA22" i="48" s="1"/>
  <c r="CA17" i="48" a="1"/>
  <c r="CA17" i="48" s="1"/>
  <c r="CA13" i="48" a="1"/>
  <c r="CA13" i="48" s="1"/>
  <c r="CA10" i="48" a="1"/>
  <c r="CA10" i="48" s="1"/>
  <c r="CA5" i="48" a="1"/>
  <c r="CA5" i="48" s="1"/>
  <c r="CA40" i="48" a="1"/>
  <c r="CA40" i="48" s="1"/>
  <c r="CA30" i="48" a="1"/>
  <c r="CA30" i="48" s="1"/>
  <c r="CA16" i="48" a="1"/>
  <c r="CA16" i="48" s="1"/>
  <c r="CA41" i="48" a="1"/>
  <c r="CA41" i="48" s="1"/>
  <c r="CA15" i="48" a="1"/>
  <c r="CA15" i="48" s="1"/>
  <c r="CA7" i="48" a="1"/>
  <c r="CA7" i="48" s="1"/>
  <c r="CA38" i="48" a="1"/>
  <c r="CA38" i="48" s="1"/>
  <c r="CA23" i="48" a="1"/>
  <c r="CA23" i="48" s="1"/>
  <c r="CA3" i="48" a="1"/>
  <c r="CA3" i="48" s="1"/>
  <c r="CA35" i="48" a="1"/>
  <c r="CA35" i="48" s="1"/>
  <c r="CA24" i="48" a="1"/>
  <c r="CA24" i="48" s="1"/>
  <c r="CA11" i="48" a="1"/>
  <c r="CA11" i="48" s="1"/>
  <c r="CA49" i="48" a="1"/>
  <c r="CA49" i="48" s="1"/>
  <c r="CA36" i="48" a="1"/>
  <c r="CA36" i="48" s="1"/>
  <c r="CA14" i="48" a="1"/>
  <c r="CA14" i="48" s="1"/>
  <c r="CA43" i="48" a="1"/>
  <c r="CA43" i="48" s="1"/>
  <c r="CA20" i="48" a="1"/>
  <c r="CA20" i="48" s="1"/>
  <c r="CA9" i="48" a="1"/>
  <c r="CA9" i="48" s="1"/>
  <c r="CA44" i="48" a="1"/>
  <c r="CA44" i="48" s="1"/>
  <c r="CA32" i="48" a="1"/>
  <c r="CA32" i="48" s="1"/>
  <c r="CA8" i="48" a="1"/>
  <c r="CA8" i="48" s="1"/>
  <c r="CA4" i="48" a="1"/>
  <c r="CA4" i="48" s="1"/>
  <c r="CA48" i="48" a="1"/>
  <c r="CA48" i="48" s="1"/>
  <c r="CA31" i="48" a="1"/>
  <c r="CA31" i="48" s="1"/>
  <c r="CA21" i="48" a="1"/>
  <c r="CA21" i="48" s="1"/>
  <c r="CA2" i="48" a="1"/>
  <c r="CA2" i="48" s="1"/>
  <c r="CB1" i="48" a="1"/>
  <c r="CB1" i="48" s="1"/>
  <c r="CB49" i="48" l="1" a="1"/>
  <c r="CB49" i="48" s="1"/>
  <c r="CB45" i="48" a="1"/>
  <c r="CB45" i="48" s="1"/>
  <c r="CB40" i="48" a="1"/>
  <c r="CB40" i="48" s="1"/>
  <c r="CB36" i="48" a="1"/>
  <c r="CB36" i="48" s="1"/>
  <c r="CB29" i="48" a="1"/>
  <c r="CB29" i="48" s="1"/>
  <c r="CB28" i="48" a="1"/>
  <c r="CB28" i="48" s="1"/>
  <c r="CB25" i="48" a="1"/>
  <c r="CB25" i="48" s="1"/>
  <c r="CB20" i="48" a="1"/>
  <c r="CB20" i="48" s="1"/>
  <c r="CB19" i="48" a="1"/>
  <c r="CB19" i="48" s="1"/>
  <c r="CB9" i="48" a="1"/>
  <c r="CB9" i="48" s="1"/>
  <c r="CB10" i="48" a="1"/>
  <c r="CB10" i="48" s="1"/>
  <c r="CB50" i="48" a="1"/>
  <c r="CB50" i="48" s="1"/>
  <c r="CB46" i="48" a="1"/>
  <c r="CB46" i="48" s="1"/>
  <c r="CB43" i="48" a="1"/>
  <c r="CB43" i="48" s="1"/>
  <c r="CB39" i="48" a="1"/>
  <c r="CB39" i="48" s="1"/>
  <c r="CB35" i="48" a="1"/>
  <c r="CB35" i="48" s="1"/>
  <c r="CB30" i="48" a="1"/>
  <c r="CB30" i="48" s="1"/>
  <c r="CB27" i="48" a="1"/>
  <c r="CB27" i="48" s="1"/>
  <c r="CB26" i="48" a="1"/>
  <c r="CB26" i="48" s="1"/>
  <c r="CB18" i="48" a="1"/>
  <c r="CB18" i="48" s="1"/>
  <c r="CB13" i="48" a="1"/>
  <c r="CB13" i="48" s="1"/>
  <c r="CB8" i="48" a="1"/>
  <c r="CB8" i="48" s="1"/>
  <c r="CB7" i="48" a="1"/>
  <c r="CB7" i="48" s="1"/>
  <c r="CB48" i="48" a="1"/>
  <c r="CB48" i="48" s="1"/>
  <c r="CB44" i="48" a="1"/>
  <c r="CB44" i="48" s="1"/>
  <c r="CB41" i="48" a="1"/>
  <c r="CB41" i="48" s="1"/>
  <c r="CB38" i="48" a="1"/>
  <c r="CB38" i="48" s="1"/>
  <c r="CB34" i="48" a="1"/>
  <c r="CB34" i="48" s="1"/>
  <c r="CB31" i="48" a="1"/>
  <c r="CB31" i="48" s="1"/>
  <c r="CB24" i="48" a="1"/>
  <c r="CB24" i="48" s="1"/>
  <c r="CB21" i="48" a="1"/>
  <c r="CB21" i="48" s="1"/>
  <c r="CB16" i="48" a="1"/>
  <c r="CB16" i="48" s="1"/>
  <c r="CB15" i="48" a="1"/>
  <c r="CB15" i="48" s="1"/>
  <c r="CB12" i="48" a="1"/>
  <c r="CB12" i="48" s="1"/>
  <c r="CB5" i="48" a="1"/>
  <c r="CB5" i="48" s="1"/>
  <c r="CB42" i="48" a="1"/>
  <c r="CB42" i="48" s="1"/>
  <c r="CB14" i="48" a="1"/>
  <c r="CB14" i="48" s="1"/>
  <c r="CB2" i="48" a="1"/>
  <c r="CB2" i="48" s="1"/>
  <c r="CB32" i="48" a="1"/>
  <c r="CB32" i="48" s="1"/>
  <c r="CB51" i="48" a="1"/>
  <c r="CB51" i="48" s="1"/>
  <c r="CB17" i="48" a="1"/>
  <c r="CB17" i="48" s="1"/>
  <c r="CB37" i="48" a="1"/>
  <c r="CB37" i="48" s="1"/>
  <c r="CB6" i="48" a="1"/>
  <c r="CB6" i="48" s="1"/>
  <c r="CB23" i="48" a="1"/>
  <c r="CB23" i="48" s="1"/>
  <c r="CB4" i="48" a="1"/>
  <c r="CB4" i="48" s="1"/>
  <c r="CB33" i="48" a="1"/>
  <c r="CB33" i="48" s="1"/>
  <c r="CB22" i="48" a="1"/>
  <c r="CB22" i="48" s="1"/>
  <c r="CB47" i="48" a="1"/>
  <c r="CB47" i="48" s="1"/>
  <c r="CB3" i="48" a="1"/>
  <c r="CB3" i="48" s="1"/>
  <c r="CB11" i="48" a="1"/>
  <c r="CB11" i="48" s="1"/>
  <c r="CC1" i="48" a="1"/>
  <c r="CC1" i="48" s="1"/>
  <c r="CC48" i="48" l="1" a="1"/>
  <c r="CC48" i="48" s="1"/>
  <c r="CC44" i="48" a="1"/>
  <c r="CC44" i="48" s="1"/>
  <c r="CC42" i="48" a="1"/>
  <c r="CC42" i="48" s="1"/>
  <c r="CC34" i="48" a="1"/>
  <c r="CC34" i="48" s="1"/>
  <c r="CC30" i="48" a="1"/>
  <c r="CC30" i="48" s="1"/>
  <c r="CC29" i="48" a="1"/>
  <c r="CC29" i="48" s="1"/>
  <c r="CC23" i="48" a="1"/>
  <c r="CC23" i="48" s="1"/>
  <c r="CC20" i="48" a="1"/>
  <c r="CC20" i="48" s="1"/>
  <c r="CC15" i="48" a="1"/>
  <c r="CC15" i="48" s="1"/>
  <c r="CC10" i="48" a="1"/>
  <c r="CC10" i="48" s="1"/>
  <c r="CC8" i="48" a="1"/>
  <c r="CC8" i="48" s="1"/>
  <c r="CC51" i="48" a="1"/>
  <c r="CC51" i="48" s="1"/>
  <c r="CC47" i="48" a="1"/>
  <c r="CC47" i="48" s="1"/>
  <c r="CC45" i="48" a="1"/>
  <c r="CC45" i="48" s="1"/>
  <c r="CC38" i="48" a="1"/>
  <c r="CC38" i="48" s="1"/>
  <c r="CC36" i="48" a="1"/>
  <c r="CC36" i="48" s="1"/>
  <c r="CC32" i="48" a="1"/>
  <c r="CC32" i="48" s="1"/>
  <c r="CC25" i="48" a="1"/>
  <c r="CC25" i="48" s="1"/>
  <c r="CC24" i="48" a="1"/>
  <c r="CC24" i="48" s="1"/>
  <c r="CC19" i="48" a="1"/>
  <c r="CC19" i="48" s="1"/>
  <c r="CC18" i="48" a="1"/>
  <c r="CC18" i="48" s="1"/>
  <c r="CC13" i="48" a="1"/>
  <c r="CC13" i="48" s="1"/>
  <c r="CC7" i="48" a="1"/>
  <c r="CC7" i="48" s="1"/>
  <c r="CC40" i="48" a="1"/>
  <c r="CC40" i="48" s="1"/>
  <c r="CC31" i="48" a="1"/>
  <c r="CC31" i="48" s="1"/>
  <c r="CC9" i="48" a="1"/>
  <c r="CC9" i="48" s="1"/>
  <c r="CC2" i="48" a="1"/>
  <c r="CC2" i="48" s="1"/>
  <c r="CC50" i="48" a="1"/>
  <c r="CC50" i="48" s="1"/>
  <c r="CC28" i="48" a="1"/>
  <c r="CC28" i="48" s="1"/>
  <c r="CC17" i="48" a="1"/>
  <c r="CC17" i="48" s="1"/>
  <c r="CC49" i="48" a="1"/>
  <c r="CC49" i="48" s="1"/>
  <c r="CC37" i="48" a="1"/>
  <c r="CC37" i="48" s="1"/>
  <c r="CC16" i="48" a="1"/>
  <c r="CC16" i="48" s="1"/>
  <c r="CC5" i="48" a="1"/>
  <c r="CC5" i="48" s="1"/>
  <c r="CC39" i="48" a="1"/>
  <c r="CC39" i="48" s="1"/>
  <c r="CC26" i="48" a="1"/>
  <c r="CC26" i="48" s="1"/>
  <c r="CC6" i="48" a="1"/>
  <c r="CC6" i="48" s="1"/>
  <c r="CC46" i="48" a="1"/>
  <c r="CC46" i="48" s="1"/>
  <c r="CC27" i="48" a="1"/>
  <c r="CC27" i="48" s="1"/>
  <c r="CC14" i="48" a="1"/>
  <c r="CC14" i="48" s="1"/>
  <c r="CC33" i="48" a="1"/>
  <c r="CC33" i="48" s="1"/>
  <c r="CC22" i="48" a="1"/>
  <c r="CC22" i="48" s="1"/>
  <c r="CC4" i="48" a="1"/>
  <c r="CC4" i="48" s="1"/>
  <c r="CC3" i="48" a="1"/>
  <c r="CC3" i="48" s="1"/>
  <c r="CC41" i="48" a="1"/>
  <c r="CC41" i="48" s="1"/>
  <c r="CC21" i="48" a="1"/>
  <c r="CC21" i="48" s="1"/>
  <c r="CC11" i="48" a="1"/>
  <c r="CC11" i="48" s="1"/>
  <c r="CC43" i="48" a="1"/>
  <c r="CC43" i="48" s="1"/>
  <c r="CC35" i="48" a="1"/>
  <c r="CC35" i="48" s="1"/>
  <c r="CC12" i="48" a="1"/>
  <c r="CC12" i="48" s="1"/>
  <c r="CD1" i="48" a="1"/>
  <c r="CD1" i="48" s="1"/>
  <c r="CD48" i="48" l="1" a="1"/>
  <c r="CD48" i="48" s="1"/>
  <c r="CD44" i="48" a="1"/>
  <c r="CD44" i="48" s="1"/>
  <c r="CD40" i="48" a="1"/>
  <c r="CD40" i="48" s="1"/>
  <c r="CD35" i="48" a="1"/>
  <c r="CD35" i="48" s="1"/>
  <c r="CD32" i="48" a="1"/>
  <c r="CD32" i="48" s="1"/>
  <c r="CD31" i="48" a="1"/>
  <c r="CD31" i="48" s="1"/>
  <c r="CD24" i="48" a="1"/>
  <c r="CD24" i="48" s="1"/>
  <c r="CD20" i="48" a="1"/>
  <c r="CD20" i="48" s="1"/>
  <c r="CD49" i="48" a="1"/>
  <c r="CD49" i="48" s="1"/>
  <c r="CD41" i="48" a="1"/>
  <c r="CD41" i="48" s="1"/>
  <c r="CD34" i="48" a="1"/>
  <c r="CD34" i="48" s="1"/>
  <c r="CD23" i="48" a="1"/>
  <c r="CD23" i="48" s="1"/>
  <c r="CD16" i="48" a="1"/>
  <c r="CD16" i="48" s="1"/>
  <c r="CD47" i="48" a="1"/>
  <c r="CD47" i="48" s="1"/>
  <c r="CD38" i="48" a="1"/>
  <c r="CD38" i="48" s="1"/>
  <c r="CD28" i="48" a="1"/>
  <c r="CD28" i="48" s="1"/>
  <c r="CD25" i="48" a="1"/>
  <c r="CD25" i="48" s="1"/>
  <c r="CD18" i="48" a="1"/>
  <c r="CD18" i="48" s="1"/>
  <c r="CD8" i="48" a="1"/>
  <c r="CD8" i="48" s="1"/>
  <c r="CD15" i="48" a="1"/>
  <c r="CD15" i="48" s="1"/>
  <c r="CD13" i="48" a="1"/>
  <c r="CD13" i="48" s="1"/>
  <c r="CD4" i="48" a="1"/>
  <c r="CD4" i="48" s="1"/>
  <c r="CD46" i="48" a="1"/>
  <c r="CD46" i="48" s="1"/>
  <c r="CD37" i="48" a="1"/>
  <c r="CD37" i="48" s="1"/>
  <c r="CD29" i="48" a="1"/>
  <c r="CD29" i="48" s="1"/>
  <c r="CD22" i="48" a="1"/>
  <c r="CD22" i="48" s="1"/>
  <c r="CD11" i="48" a="1"/>
  <c r="CD11" i="48" s="1"/>
  <c r="CD43" i="48" a="1"/>
  <c r="CD43" i="48" s="1"/>
  <c r="CD39" i="48" a="1"/>
  <c r="CD39" i="48" s="1"/>
  <c r="CD30" i="48" a="1"/>
  <c r="CD30" i="48" s="1"/>
  <c r="CD21" i="48" a="1"/>
  <c r="CD21" i="48" s="1"/>
  <c r="CD14" i="48" a="1"/>
  <c r="CD14" i="48" s="1"/>
  <c r="CD5" i="48" a="1"/>
  <c r="CD5" i="48" s="1"/>
  <c r="CD10" i="48" a="1"/>
  <c r="CD10" i="48" s="1"/>
  <c r="CD6" i="48" a="1"/>
  <c r="CD6" i="48" s="1"/>
  <c r="CD3" i="48" a="1"/>
  <c r="CD3" i="48" s="1"/>
  <c r="CD2" i="48" a="1"/>
  <c r="CD2" i="48" s="1"/>
  <c r="CD50" i="48" a="1"/>
  <c r="CD50" i="48" s="1"/>
  <c r="CD42" i="48" a="1"/>
  <c r="CD42" i="48" s="1"/>
  <c r="CD33" i="48" a="1"/>
  <c r="CD33" i="48" s="1"/>
  <c r="CD27" i="48" a="1"/>
  <c r="CD27" i="48" s="1"/>
  <c r="CD17" i="48" a="1"/>
  <c r="CD17" i="48" s="1"/>
  <c r="CD9" i="48" a="1"/>
  <c r="CD9" i="48" s="1"/>
  <c r="CD7" i="48" a="1"/>
  <c r="CD7" i="48" s="1"/>
  <c r="CD12" i="48" a="1"/>
  <c r="CD12" i="48" s="1"/>
  <c r="CD51" i="48" a="1"/>
  <c r="CD51" i="48" s="1"/>
  <c r="CD45" i="48" a="1"/>
  <c r="CD45" i="48" s="1"/>
  <c r="CD36" i="48" a="1"/>
  <c r="CD36" i="48" s="1"/>
  <c r="CD26" i="48" a="1"/>
  <c r="CD26" i="48" s="1"/>
  <c r="CD19" i="48" a="1"/>
  <c r="CD19" i="48" s="1"/>
  <c r="CE1" i="48" a="1"/>
  <c r="CE1" i="48" s="1"/>
  <c r="CE49" i="48" l="1" a="1"/>
  <c r="CE49" i="48" s="1"/>
  <c r="CE44" i="48" a="1"/>
  <c r="CE44" i="48" s="1"/>
  <c r="CE31" i="48" a="1"/>
  <c r="CE31" i="48" s="1"/>
  <c r="CE27" i="48" a="1"/>
  <c r="CE27" i="48" s="1"/>
  <c r="CE16" i="48" a="1"/>
  <c r="CE16" i="48" s="1"/>
  <c r="CE12" i="48" a="1"/>
  <c r="CE12" i="48" s="1"/>
  <c r="CE4" i="48" a="1"/>
  <c r="CE4" i="48" s="1"/>
  <c r="CE40" i="48" a="1"/>
  <c r="CE40" i="48" s="1"/>
  <c r="CE35" i="48" a="1"/>
  <c r="CE35" i="48" s="1"/>
  <c r="CE32" i="48" a="1"/>
  <c r="CE32" i="48" s="1"/>
  <c r="CE23" i="48" a="1"/>
  <c r="CE23" i="48" s="1"/>
  <c r="CE10" i="48" a="1"/>
  <c r="CE10" i="48" s="1"/>
  <c r="CE48" i="48" a="1"/>
  <c r="CE48" i="48" s="1"/>
  <c r="CE42" i="48" a="1"/>
  <c r="CE42" i="48" s="1"/>
  <c r="CE34" i="48" a="1"/>
  <c r="CE34" i="48" s="1"/>
  <c r="CE21" i="48" a="1"/>
  <c r="CE21" i="48" s="1"/>
  <c r="CE15" i="48" a="1"/>
  <c r="CE15" i="48" s="1"/>
  <c r="CE9" i="48" a="1"/>
  <c r="CE9" i="48" s="1"/>
  <c r="CE3" i="48" a="1"/>
  <c r="CE3" i="48" s="1"/>
  <c r="CE47" i="48" a="1"/>
  <c r="CE47" i="48" s="1"/>
  <c r="CE33" i="48" a="1"/>
  <c r="CE33" i="48" s="1"/>
  <c r="CE28" i="48" a="1"/>
  <c r="CE28" i="48" s="1"/>
  <c r="CE22" i="48" a="1"/>
  <c r="CE22" i="48" s="1"/>
  <c r="CE19" i="48" a="1"/>
  <c r="CE19" i="48" s="1"/>
  <c r="CE46" i="48" a="1"/>
  <c r="CE46" i="48" s="1"/>
  <c r="CE41" i="48" a="1"/>
  <c r="CE41" i="48" s="1"/>
  <c r="CE36" i="48" a="1"/>
  <c r="CE36" i="48" s="1"/>
  <c r="CE24" i="48" a="1"/>
  <c r="CE24" i="48" s="1"/>
  <c r="CE13" i="48" a="1"/>
  <c r="CE13" i="48" s="1"/>
  <c r="CE8" i="48" a="1"/>
  <c r="CE8" i="48" s="1"/>
  <c r="CE7" i="48" a="1"/>
  <c r="CE7" i="48" s="1"/>
  <c r="CE2" i="48" a="1"/>
  <c r="CE2" i="48" s="1"/>
  <c r="CE51" i="48" a="1"/>
  <c r="CE51" i="48" s="1"/>
  <c r="CE38" i="48" a="1"/>
  <c r="CE38" i="48" s="1"/>
  <c r="CE29" i="48" a="1"/>
  <c r="CE29" i="48" s="1"/>
  <c r="CE26" i="48" a="1"/>
  <c r="CE26" i="48" s="1"/>
  <c r="CE18" i="48" a="1"/>
  <c r="CE18" i="48" s="1"/>
  <c r="CE6" i="48" a="1"/>
  <c r="CE6" i="48" s="1"/>
  <c r="CE5" i="48" a="1"/>
  <c r="CE5" i="48" s="1"/>
  <c r="CE50" i="48" a="1"/>
  <c r="CE50" i="48" s="1"/>
  <c r="CE43" i="48" a="1"/>
  <c r="CE43" i="48" s="1"/>
  <c r="CE37" i="48" a="1"/>
  <c r="CE37" i="48" s="1"/>
  <c r="CE30" i="48" a="1"/>
  <c r="CE30" i="48" s="1"/>
  <c r="CE17" i="48" a="1"/>
  <c r="CE17" i="48" s="1"/>
  <c r="CE14" i="48" a="1"/>
  <c r="CE14" i="48" s="1"/>
  <c r="CE25" i="48" a="1"/>
  <c r="CE25" i="48" s="1"/>
  <c r="CE20" i="48" a="1"/>
  <c r="CE20" i="48" s="1"/>
  <c r="CE11" i="48" a="1"/>
  <c r="CE11" i="48" s="1"/>
  <c r="CE45" i="48" a="1"/>
  <c r="CE45" i="48" s="1"/>
  <c r="CE39" i="48" a="1"/>
  <c r="CE39" i="48" s="1"/>
  <c r="CF1" i="48" a="1"/>
  <c r="CF1" i="48" s="1"/>
  <c r="CF51" i="48" l="1" a="1"/>
  <c r="CF51" i="48" s="1"/>
  <c r="CF39" i="48" a="1"/>
  <c r="CF39" i="48" s="1"/>
  <c r="CF35" i="48" a="1"/>
  <c r="CF35" i="48" s="1"/>
  <c r="CF30" i="48" a="1"/>
  <c r="CF30" i="48" s="1"/>
  <c r="CF24" i="48" a="1"/>
  <c r="CF24" i="48" s="1"/>
  <c r="CF16" i="48" a="1"/>
  <c r="CF16" i="48" s="1"/>
  <c r="CF8" i="48" a="1"/>
  <c r="CF8" i="48" s="1"/>
  <c r="CF4" i="48" a="1"/>
  <c r="CF4" i="48" s="1"/>
  <c r="CF50" i="48" a="1"/>
  <c r="CF50" i="48" s="1"/>
  <c r="CF44" i="48" a="1"/>
  <c r="CF44" i="48" s="1"/>
  <c r="CF36" i="48" a="1"/>
  <c r="CF36" i="48" s="1"/>
  <c r="CF22" i="48" a="1"/>
  <c r="CF22" i="48" s="1"/>
  <c r="CF7" i="48" a="1"/>
  <c r="CF7" i="48" s="1"/>
  <c r="CF49" i="48" a="1"/>
  <c r="CF49" i="48" s="1"/>
  <c r="CF45" i="48" a="1"/>
  <c r="CF45" i="48" s="1"/>
  <c r="CF38" i="48" a="1"/>
  <c r="CF38" i="48" s="1"/>
  <c r="CF31" i="48" a="1"/>
  <c r="CF31" i="48" s="1"/>
  <c r="CF25" i="48" a="1"/>
  <c r="CF25" i="48" s="1"/>
  <c r="CF21" i="48" a="1"/>
  <c r="CF21" i="48" s="1"/>
  <c r="CF19" i="48" a="1"/>
  <c r="CF19" i="48" s="1"/>
  <c r="CF14" i="48" a="1"/>
  <c r="CF14" i="48" s="1"/>
  <c r="CF5" i="48" a="1"/>
  <c r="CF5" i="48" s="1"/>
  <c r="CF41" i="48" a="1"/>
  <c r="CF41" i="48" s="1"/>
  <c r="CF26" i="48" a="1"/>
  <c r="CF26" i="48" s="1"/>
  <c r="CF12" i="48" a="1"/>
  <c r="CF12" i="48" s="1"/>
  <c r="CF46" i="48" a="1"/>
  <c r="CF46" i="48" s="1"/>
  <c r="CF32" i="48" a="1"/>
  <c r="CF32" i="48" s="1"/>
  <c r="CF11" i="48" a="1"/>
  <c r="CF11" i="48" s="1"/>
  <c r="CF47" i="48" a="1"/>
  <c r="CF47" i="48" s="1"/>
  <c r="CF40" i="48" a="1"/>
  <c r="CF40" i="48" s="1"/>
  <c r="CF34" i="48" a="1"/>
  <c r="CF34" i="48" s="1"/>
  <c r="CF29" i="48" a="1"/>
  <c r="CF29" i="48" s="1"/>
  <c r="CF23" i="48" a="1"/>
  <c r="CF23" i="48" s="1"/>
  <c r="CF18" i="48" a="1"/>
  <c r="CF18" i="48" s="1"/>
  <c r="CF9" i="48" a="1"/>
  <c r="CF9" i="48" s="1"/>
  <c r="CF15" i="48" a="1"/>
  <c r="CF15" i="48" s="1"/>
  <c r="CF3" i="48" a="1"/>
  <c r="CF3" i="48" s="1"/>
  <c r="CF28" i="48" a="1"/>
  <c r="CF28" i="48" s="1"/>
  <c r="CF10" i="48" a="1"/>
  <c r="CF10" i="48" s="1"/>
  <c r="CF48" i="48" a="1"/>
  <c r="CF48" i="48" s="1"/>
  <c r="CF27" i="48" a="1"/>
  <c r="CF27" i="48" s="1"/>
  <c r="CF6" i="48" a="1"/>
  <c r="CF6" i="48" s="1"/>
  <c r="CF43" i="48" a="1"/>
  <c r="CF43" i="48" s="1"/>
  <c r="CF2" i="48" a="1"/>
  <c r="CF2" i="48" s="1"/>
  <c r="CF42" i="48" a="1"/>
  <c r="CF42" i="48" s="1"/>
  <c r="CF20" i="48" a="1"/>
  <c r="CF20" i="48" s="1"/>
  <c r="CF37" i="48" a="1"/>
  <c r="CF37" i="48" s="1"/>
  <c r="CF13" i="48" a="1"/>
  <c r="CF13" i="48" s="1"/>
  <c r="CF33" i="48" a="1"/>
  <c r="CF33" i="48" s="1"/>
  <c r="CF17" i="48" a="1"/>
  <c r="CF17" i="48" s="1"/>
  <c r="CG1" i="48" a="1"/>
  <c r="CG1" i="48" s="1"/>
  <c r="CG50" i="48" l="1" a="1"/>
  <c r="CG50" i="48" s="1"/>
  <c r="CG47" i="48" a="1"/>
  <c r="CG47" i="48" s="1"/>
  <c r="CG41" i="48" a="1"/>
  <c r="CG41" i="48" s="1"/>
  <c r="CG38" i="48" a="1"/>
  <c r="CG38" i="48" s="1"/>
  <c r="CG33" i="48" a="1"/>
  <c r="CG33" i="48" s="1"/>
  <c r="CG29" i="48" a="1"/>
  <c r="CG29" i="48" s="1"/>
  <c r="CG23" i="48" a="1"/>
  <c r="CG23" i="48" s="1"/>
  <c r="CG22" i="48" a="1"/>
  <c r="CG22" i="48" s="1"/>
  <c r="CG17" i="48" a="1"/>
  <c r="CG17" i="48" s="1"/>
  <c r="CG14" i="48" a="1"/>
  <c r="CG14" i="48" s="1"/>
  <c r="CG11" i="48" a="1"/>
  <c r="CG11" i="48" s="1"/>
  <c r="CG3" i="48" a="1"/>
  <c r="CG3" i="48" s="1"/>
  <c r="CG5" i="48" a="1"/>
  <c r="CG5" i="48" s="1"/>
  <c r="CG49" i="48" a="1"/>
  <c r="CG49" i="48" s="1"/>
  <c r="CG44" i="48" a="1"/>
  <c r="CG44" i="48" s="1"/>
  <c r="CG48" i="48" a="1"/>
  <c r="CG48" i="48" s="1"/>
  <c r="CG45" i="48" a="1"/>
  <c r="CG45" i="48" s="1"/>
  <c r="CG42" i="48" a="1"/>
  <c r="CG42" i="48" s="1"/>
  <c r="CG36" i="48" a="1"/>
  <c r="CG36" i="48" s="1"/>
  <c r="CG28" i="48" a="1"/>
  <c r="CG28" i="48" s="1"/>
  <c r="CG31" i="48" a="1"/>
  <c r="CG31" i="48" s="1"/>
  <c r="CG25" i="48" a="1"/>
  <c r="CG25" i="48" s="1"/>
  <c r="CG20" i="48" a="1"/>
  <c r="CG20" i="48" s="1"/>
  <c r="CG15" i="48" a="1"/>
  <c r="CG15" i="48" s="1"/>
  <c r="CG10" i="48" a="1"/>
  <c r="CG10" i="48" s="1"/>
  <c r="CG8" i="48" a="1"/>
  <c r="CG8" i="48" s="1"/>
  <c r="CG6" i="48" a="1"/>
  <c r="CG6" i="48" s="1"/>
  <c r="CG34" i="48" a="1"/>
  <c r="CG34" i="48" s="1"/>
  <c r="CG43" i="48" a="1"/>
  <c r="CG43" i="48" s="1"/>
  <c r="CG26" i="48" a="1"/>
  <c r="CG26" i="48" s="1"/>
  <c r="CG18" i="48" a="1"/>
  <c r="CG18" i="48" s="1"/>
  <c r="CG7" i="48" a="1"/>
  <c r="CG7" i="48" s="1"/>
  <c r="CG40" i="48" a="1"/>
  <c r="CG40" i="48" s="1"/>
  <c r="CG32" i="48" a="1"/>
  <c r="CG32" i="48" s="1"/>
  <c r="CG21" i="48" a="1"/>
  <c r="CG21" i="48" s="1"/>
  <c r="CG12" i="48" a="1"/>
  <c r="CG12" i="48" s="1"/>
  <c r="CG2" i="48" a="1"/>
  <c r="CG2" i="48" s="1"/>
  <c r="CG30" i="48" a="1"/>
  <c r="CG30" i="48" s="1"/>
  <c r="CG37" i="48" a="1"/>
  <c r="CG37" i="48" s="1"/>
  <c r="CG24" i="48" a="1"/>
  <c r="CG24" i="48" s="1"/>
  <c r="CG16" i="48" a="1"/>
  <c r="CG16" i="48" s="1"/>
  <c r="CG9" i="48" a="1"/>
  <c r="CG9" i="48" s="1"/>
  <c r="CG46" i="48" a="1"/>
  <c r="CG46" i="48" s="1"/>
  <c r="CG35" i="48" a="1"/>
  <c r="CG35" i="48" s="1"/>
  <c r="CG51" i="48" a="1"/>
  <c r="CG51" i="48" s="1"/>
  <c r="CG39" i="48" a="1"/>
  <c r="CG39" i="48" s="1"/>
  <c r="CG27" i="48" a="1"/>
  <c r="CG27" i="48" s="1"/>
  <c r="CG19" i="48" a="1"/>
  <c r="CG19" i="48" s="1"/>
  <c r="CG13" i="48" a="1"/>
  <c r="CG13" i="48" s="1"/>
  <c r="CG4" i="48" a="1"/>
  <c r="CG4" i="48" s="1"/>
  <c r="CH1" i="48" a="1"/>
  <c r="CH1" i="48" s="1"/>
  <c r="CH46" i="48" l="1" a="1"/>
  <c r="CH46" i="48" s="1"/>
  <c r="CH40" i="48" a="1"/>
  <c r="CH40" i="48" s="1"/>
  <c r="CH33" i="48" a="1"/>
  <c r="CH33" i="48" s="1"/>
  <c r="CH31" i="48" a="1"/>
  <c r="CH31" i="48" s="1"/>
  <c r="CH26" i="48" a="1"/>
  <c r="CH26" i="48" s="1"/>
  <c r="CH20" i="48" a="1"/>
  <c r="CH20" i="48" s="1"/>
  <c r="CH12" i="48" a="1"/>
  <c r="CH12" i="48" s="1"/>
  <c r="CH13" i="48" a="1"/>
  <c r="CH13" i="48" s="1"/>
  <c r="CH2" i="48" a="1"/>
  <c r="CH2" i="48" s="1"/>
  <c r="CH50" i="48" a="1"/>
  <c r="CH50" i="48" s="1"/>
  <c r="CH36" i="48" a="1"/>
  <c r="CH36" i="48" s="1"/>
  <c r="CH19" i="48" a="1"/>
  <c r="CH19" i="48" s="1"/>
  <c r="CH7" i="48" a="1"/>
  <c r="CH7" i="48" s="1"/>
  <c r="CH51" i="48" a="1"/>
  <c r="CH51" i="48" s="1"/>
  <c r="CH45" i="48" a="1"/>
  <c r="CH45" i="48" s="1"/>
  <c r="CH41" i="48" a="1"/>
  <c r="CH41" i="48" s="1"/>
  <c r="CH35" i="48" a="1"/>
  <c r="CH35" i="48" s="1"/>
  <c r="CH28" i="48" a="1"/>
  <c r="CH28" i="48" s="1"/>
  <c r="CH27" i="48" a="1"/>
  <c r="CH27" i="48" s="1"/>
  <c r="CH17" i="48" a="1"/>
  <c r="CH17" i="48" s="1"/>
  <c r="CH10" i="48" a="1"/>
  <c r="CH10" i="48" s="1"/>
  <c r="CH11" i="48" a="1"/>
  <c r="CH11" i="48" s="1"/>
  <c r="CH3" i="48" a="1"/>
  <c r="CH3" i="48" s="1"/>
  <c r="CH38" i="48" a="1"/>
  <c r="CH38" i="48" s="1"/>
  <c r="CH23" i="48" a="1"/>
  <c r="CH23" i="48" s="1"/>
  <c r="CH6" i="48" a="1"/>
  <c r="CH6" i="48" s="1"/>
  <c r="CH49" i="48" a="1"/>
  <c r="CH49" i="48" s="1"/>
  <c r="CH43" i="48" a="1"/>
  <c r="CH43" i="48" s="1"/>
  <c r="CH39" i="48" a="1"/>
  <c r="CH39" i="48" s="1"/>
  <c r="CH34" i="48" a="1"/>
  <c r="CH34" i="48" s="1"/>
  <c r="CH29" i="48" a="1"/>
  <c r="CH29" i="48" s="1"/>
  <c r="CH22" i="48" a="1"/>
  <c r="CH22" i="48" s="1"/>
  <c r="CH16" i="48" a="1"/>
  <c r="CH16" i="48" s="1"/>
  <c r="CH9" i="48" a="1"/>
  <c r="CH9" i="48" s="1"/>
  <c r="CH4" i="48" a="1"/>
  <c r="CH4" i="48" s="1"/>
  <c r="CH48" i="48" a="1"/>
  <c r="CH48" i="48" s="1"/>
  <c r="CH42" i="48" a="1"/>
  <c r="CH42" i="48" s="1"/>
  <c r="CH37" i="48" a="1"/>
  <c r="CH37" i="48" s="1"/>
  <c r="CH32" i="48" a="1"/>
  <c r="CH32" i="48" s="1"/>
  <c r="CH25" i="48" a="1"/>
  <c r="CH25" i="48" s="1"/>
  <c r="CH21" i="48" a="1"/>
  <c r="CH21" i="48" s="1"/>
  <c r="CH18" i="48" a="1"/>
  <c r="CH18" i="48" s="1"/>
  <c r="CH15" i="48" a="1"/>
  <c r="CH15" i="48" s="1"/>
  <c r="CH5" i="48" a="1"/>
  <c r="CH5" i="48" s="1"/>
  <c r="CH47" i="48" a="1"/>
  <c r="CH47" i="48" s="1"/>
  <c r="CH30" i="48" a="1"/>
  <c r="CH30" i="48" s="1"/>
  <c r="CH14" i="48" a="1"/>
  <c r="CH14" i="48" s="1"/>
  <c r="CH24" i="48" a="1"/>
  <c r="CH24" i="48" s="1"/>
  <c r="CH8" i="48" a="1"/>
  <c r="CH8" i="48" s="1"/>
  <c r="CH44" i="48" a="1"/>
  <c r="CH44" i="48" s="1"/>
  <c r="CI1" i="48" a="1"/>
  <c r="CI1" i="48" s="1"/>
  <c r="CI51" i="48" l="1" a="1"/>
  <c r="CI51" i="48" s="1"/>
  <c r="CI47" i="48" a="1"/>
  <c r="CI47" i="48" s="1"/>
  <c r="CI40" i="48" a="1"/>
  <c r="CI40" i="48" s="1"/>
  <c r="CI35" i="48" a="1"/>
  <c r="CI35" i="48" s="1"/>
  <c r="CI29" i="48" a="1"/>
  <c r="CI29" i="48" s="1"/>
  <c r="CI27" i="48" a="1"/>
  <c r="CI27" i="48" s="1"/>
  <c r="CI22" i="48" a="1"/>
  <c r="CI22" i="48" s="1"/>
  <c r="CI17" i="48" a="1"/>
  <c r="CI17" i="48" s="1"/>
  <c r="CI13" i="48" a="1"/>
  <c r="CI13" i="48" s="1"/>
  <c r="CI10" i="48" a="1"/>
  <c r="CI10" i="48" s="1"/>
  <c r="CI5" i="48" a="1"/>
  <c r="CI5" i="48" s="1"/>
  <c r="CI4" i="48" a="1"/>
  <c r="CI4" i="48" s="1"/>
  <c r="CI41" i="48" a="1"/>
  <c r="CI41" i="48" s="1"/>
  <c r="CI50" i="48" a="1"/>
  <c r="CI50" i="48" s="1"/>
  <c r="CI43" i="48" a="1"/>
  <c r="CI43" i="48" s="1"/>
  <c r="CI36" i="48" a="1"/>
  <c r="CI36" i="48" s="1"/>
  <c r="CI34" i="48" a="1"/>
  <c r="CI34" i="48" s="1"/>
  <c r="CI32" i="48" a="1"/>
  <c r="CI32" i="48" s="1"/>
  <c r="CI23" i="48" a="1"/>
  <c r="CI23" i="48" s="1"/>
  <c r="CI21" i="48" a="1"/>
  <c r="CI21" i="48" s="1"/>
  <c r="CI16" i="48" a="1"/>
  <c r="CI16" i="48" s="1"/>
  <c r="CI11" i="48" a="1"/>
  <c r="CI11" i="48" s="1"/>
  <c r="CI9" i="48" a="1"/>
  <c r="CI9" i="48" s="1"/>
  <c r="CI2" i="48" a="1"/>
  <c r="CI2" i="48" s="1"/>
  <c r="CI44" i="48" a="1"/>
  <c r="CI44" i="48" s="1"/>
  <c r="CI48" i="48" a="1"/>
  <c r="CI48" i="48" s="1"/>
  <c r="CI45" i="48" a="1"/>
  <c r="CI45" i="48" s="1"/>
  <c r="CI39" i="48" a="1"/>
  <c r="CI39" i="48" s="1"/>
  <c r="CI33" i="48" a="1"/>
  <c r="CI33" i="48" s="1"/>
  <c r="CI30" i="48" a="1"/>
  <c r="CI30" i="48" s="1"/>
  <c r="CI24" i="48" a="1"/>
  <c r="CI24" i="48" s="1"/>
  <c r="CI20" i="48" a="1"/>
  <c r="CI20" i="48" s="1"/>
  <c r="CI15" i="48" a="1"/>
  <c r="CI15" i="48" s="1"/>
  <c r="CI14" i="48" a="1"/>
  <c r="CI14" i="48" s="1"/>
  <c r="CI8" i="48" a="1"/>
  <c r="CI8" i="48" s="1"/>
  <c r="CI3" i="48" a="1"/>
  <c r="CI3" i="48" s="1"/>
  <c r="CI46" i="48" a="1"/>
  <c r="CI46" i="48" s="1"/>
  <c r="CI42" i="48" a="1"/>
  <c r="CI42" i="48" s="1"/>
  <c r="CI37" i="48" a="1"/>
  <c r="CI37" i="48" s="1"/>
  <c r="CI28" i="48" a="1"/>
  <c r="CI28" i="48" s="1"/>
  <c r="CI26" i="48" a="1"/>
  <c r="CI26" i="48" s="1"/>
  <c r="CI25" i="48" a="1"/>
  <c r="CI25" i="48" s="1"/>
  <c r="CI18" i="48" a="1"/>
  <c r="CI18" i="48" s="1"/>
  <c r="CI19" i="48" a="1"/>
  <c r="CI19" i="48" s="1"/>
  <c r="CI12" i="48" a="1"/>
  <c r="CI12" i="48" s="1"/>
  <c r="CI6" i="48" a="1"/>
  <c r="CI6" i="48" s="1"/>
  <c r="CI7" i="48" a="1"/>
  <c r="CI7" i="48" s="1"/>
  <c r="CI38" i="48" a="1"/>
  <c r="CI38" i="48" s="1"/>
  <c r="CI49" i="48" a="1"/>
  <c r="CI49" i="48" s="1"/>
  <c r="CI31" i="48" a="1"/>
  <c r="CI31" i="48" s="1"/>
  <c r="CJ1" i="48" a="1"/>
  <c r="CJ1" i="48" s="1"/>
  <c r="CJ50" i="48" l="1" a="1"/>
  <c r="CJ50" i="48" s="1"/>
  <c r="CJ46" i="48" a="1"/>
  <c r="CJ46" i="48" s="1"/>
  <c r="CJ43" i="48" a="1"/>
  <c r="CJ43" i="48" s="1"/>
  <c r="CJ39" i="48" a="1"/>
  <c r="CJ39" i="48" s="1"/>
  <c r="CJ34" i="48" a="1"/>
  <c r="CJ34" i="48" s="1"/>
  <c r="CJ30" i="48" a="1"/>
  <c r="CJ30" i="48" s="1"/>
  <c r="CJ27" i="48" a="1"/>
  <c r="CJ27" i="48" s="1"/>
  <c r="CJ26" i="48" a="1"/>
  <c r="CJ26" i="48" s="1"/>
  <c r="CJ18" i="48" a="1"/>
  <c r="CJ18" i="48" s="1"/>
  <c r="CJ13" i="48" a="1"/>
  <c r="CJ13" i="48" s="1"/>
  <c r="CJ8" i="48" a="1"/>
  <c r="CJ8" i="48" s="1"/>
  <c r="CJ7" i="48" a="1"/>
  <c r="CJ7" i="48" s="1"/>
  <c r="CJ3" i="48" a="1"/>
  <c r="CJ3" i="48" s="1"/>
  <c r="CJ51" i="48" a="1"/>
  <c r="CJ51" i="48" s="1"/>
  <c r="CJ47" i="48" a="1"/>
  <c r="CJ47" i="48" s="1"/>
  <c r="CJ42" i="48" a="1"/>
  <c r="CJ42" i="48" s="1"/>
  <c r="CJ37" i="48" a="1"/>
  <c r="CJ37" i="48" s="1"/>
  <c r="CJ33" i="48" a="1"/>
  <c r="CJ33" i="48" s="1"/>
  <c r="CJ32" i="48" a="1"/>
  <c r="CJ32" i="48" s="1"/>
  <c r="CJ23" i="48" a="1"/>
  <c r="CJ23" i="48" s="1"/>
  <c r="CJ22" i="48" a="1"/>
  <c r="CJ22" i="48" s="1"/>
  <c r="CJ17" i="48" a="1"/>
  <c r="CJ17" i="48" s="1"/>
  <c r="CJ11" i="48" a="1"/>
  <c r="CJ11" i="48" s="1"/>
  <c r="CJ14" i="48" a="1"/>
  <c r="CJ14" i="48" s="1"/>
  <c r="CJ4" i="48" a="1"/>
  <c r="CJ4" i="48" s="1"/>
  <c r="CJ2" i="48" a="1"/>
  <c r="CJ2" i="48" s="1"/>
  <c r="CJ48" i="48" a="1"/>
  <c r="CJ48" i="48" s="1"/>
  <c r="CJ44" i="48" a="1"/>
  <c r="CJ44" i="48" s="1"/>
  <c r="CJ41" i="48" a="1"/>
  <c r="CJ41" i="48" s="1"/>
  <c r="CJ38" i="48" a="1"/>
  <c r="CJ38" i="48" s="1"/>
  <c r="CJ35" i="48" a="1"/>
  <c r="CJ35" i="48" s="1"/>
  <c r="CJ31" i="48" a="1"/>
  <c r="CJ31" i="48" s="1"/>
  <c r="CJ24" i="48" a="1"/>
  <c r="CJ24" i="48" s="1"/>
  <c r="CJ21" i="48" a="1"/>
  <c r="CJ21" i="48" s="1"/>
  <c r="CJ16" i="48" a="1"/>
  <c r="CJ16" i="48" s="1"/>
  <c r="CJ15" i="48" a="1"/>
  <c r="CJ15" i="48" s="1"/>
  <c r="CJ12" i="48" a="1"/>
  <c r="CJ12" i="48" s="1"/>
  <c r="CJ6" i="48" a="1"/>
  <c r="CJ6" i="48" s="1"/>
  <c r="CJ49" i="48" a="1"/>
  <c r="CJ49" i="48" s="1"/>
  <c r="CJ45" i="48" a="1"/>
  <c r="CJ45" i="48" s="1"/>
  <c r="CJ40" i="48" a="1"/>
  <c r="CJ40" i="48" s="1"/>
  <c r="CJ36" i="48" a="1"/>
  <c r="CJ36" i="48" s="1"/>
  <c r="CJ29" i="48" a="1"/>
  <c r="CJ29" i="48" s="1"/>
  <c r="CJ28" i="48" a="1"/>
  <c r="CJ28" i="48" s="1"/>
  <c r="CJ25" i="48" a="1"/>
  <c r="CJ25" i="48" s="1"/>
  <c r="CJ20" i="48" a="1"/>
  <c r="CJ20" i="48" s="1"/>
  <c r="CJ19" i="48" a="1"/>
  <c r="CJ19" i="48" s="1"/>
  <c r="CJ9" i="48" a="1"/>
  <c r="CJ9" i="48" s="1"/>
  <c r="CJ10" i="48" a="1"/>
  <c r="CJ10" i="48" s="1"/>
  <c r="CJ5" i="48" a="1"/>
  <c r="CJ5" i="48" s="1"/>
  <c r="CK1" i="48" a="1"/>
  <c r="CK1" i="48" s="1"/>
  <c r="CK48" i="48" l="1" a="1"/>
  <c r="CK48" i="48" s="1"/>
  <c r="CK44" i="48" a="1"/>
  <c r="CK44" i="48" s="1"/>
  <c r="CK42" i="48" a="1"/>
  <c r="CK42" i="48" s="1"/>
  <c r="CK39" i="48" a="1"/>
  <c r="CK39" i="48" s="1"/>
  <c r="CK30" i="48" a="1"/>
  <c r="CK30" i="48" s="1"/>
  <c r="CK29" i="48" a="1"/>
  <c r="CK29" i="48" s="1"/>
  <c r="CK23" i="48" a="1"/>
  <c r="CK23" i="48" s="1"/>
  <c r="CK20" i="48" a="1"/>
  <c r="CK20" i="48" s="1"/>
  <c r="CK15" i="48" a="1"/>
  <c r="CK15" i="48" s="1"/>
  <c r="CK10" i="48" a="1"/>
  <c r="CK10" i="48" s="1"/>
  <c r="CK8" i="48" a="1"/>
  <c r="CK8" i="48" s="1"/>
  <c r="CK5" i="48" a="1"/>
  <c r="CK5" i="48" s="1"/>
  <c r="CK51" i="48" a="1"/>
  <c r="CK51" i="48" s="1"/>
  <c r="CK47" i="48" a="1"/>
  <c r="CK47" i="48" s="1"/>
  <c r="CK45" i="48" a="1"/>
  <c r="CK45" i="48" s="1"/>
  <c r="CK38" i="48" a="1"/>
  <c r="CK38" i="48" s="1"/>
  <c r="CK34" i="48" a="1"/>
  <c r="CK34" i="48" s="1"/>
  <c r="CK32" i="48" a="1"/>
  <c r="CK32" i="48" s="1"/>
  <c r="CK25" i="48" a="1"/>
  <c r="CK25" i="48" s="1"/>
  <c r="CK24" i="48" a="1"/>
  <c r="CK24" i="48" s="1"/>
  <c r="CK19" i="48" a="1"/>
  <c r="CK19" i="48" s="1"/>
  <c r="CK18" i="48" a="1"/>
  <c r="CK18" i="48" s="1"/>
  <c r="CK13" i="48" a="1"/>
  <c r="CK13" i="48" s="1"/>
  <c r="CK7" i="48" a="1"/>
  <c r="CK7" i="48" s="1"/>
  <c r="CK3" i="48" a="1"/>
  <c r="CK3" i="48" s="1"/>
  <c r="CK50" i="48" a="1"/>
  <c r="CK50" i="48" s="1"/>
  <c r="CK46" i="48" a="1"/>
  <c r="CK46" i="48" s="1"/>
  <c r="CK41" i="48" a="1"/>
  <c r="CK41" i="48" s="1"/>
  <c r="CK36" i="48" a="1"/>
  <c r="CK36" i="48" s="1"/>
  <c r="CK35" i="48" a="1"/>
  <c r="CK35" i="48" s="1"/>
  <c r="CK31" i="48" a="1"/>
  <c r="CK31" i="48" s="1"/>
  <c r="CK26" i="48" a="1"/>
  <c r="CK26" i="48" s="1"/>
  <c r="CK22" i="48" a="1"/>
  <c r="CK22" i="48" s="1"/>
  <c r="CK17" i="48" a="1"/>
  <c r="CK17" i="48" s="1"/>
  <c r="CK14" i="48" a="1"/>
  <c r="CK14" i="48" s="1"/>
  <c r="CK11" i="48" a="1"/>
  <c r="CK11" i="48" s="1"/>
  <c r="CK4" i="48" a="1"/>
  <c r="CK4" i="48" s="1"/>
  <c r="CK6" i="48" a="1"/>
  <c r="CK6" i="48" s="1"/>
  <c r="CK49" i="48" a="1"/>
  <c r="CK49" i="48" s="1"/>
  <c r="CK43" i="48" a="1"/>
  <c r="CK43" i="48" s="1"/>
  <c r="CK40" i="48" a="1"/>
  <c r="CK40" i="48" s="1"/>
  <c r="CK37" i="48" a="1"/>
  <c r="CK37" i="48" s="1"/>
  <c r="CK33" i="48" a="1"/>
  <c r="CK33" i="48" s="1"/>
  <c r="CK28" i="48" a="1"/>
  <c r="CK28" i="48" s="1"/>
  <c r="CK27" i="48" a="1"/>
  <c r="CK27" i="48" s="1"/>
  <c r="CK21" i="48" a="1"/>
  <c r="CK21" i="48" s="1"/>
  <c r="CK16" i="48" a="1"/>
  <c r="CK16" i="48" s="1"/>
  <c r="CK12" i="48" a="1"/>
  <c r="CK12" i="48" s="1"/>
  <c r="CK9" i="48" a="1"/>
  <c r="CK9" i="48" s="1"/>
  <c r="CK2" i="48" a="1"/>
  <c r="CK2" i="48" s="1"/>
  <c r="CL1" i="48" a="1"/>
  <c r="CL1" i="48" s="1"/>
  <c r="CL49" i="48" l="1" a="1"/>
  <c r="CL49" i="48" s="1"/>
  <c r="CL43" i="48" a="1"/>
  <c r="CL43" i="48" s="1"/>
  <c r="CL40" i="48" a="1"/>
  <c r="CL40" i="48" s="1"/>
  <c r="CL37" i="48" a="1"/>
  <c r="CL37" i="48" s="1"/>
  <c r="CL34" i="48" a="1"/>
  <c r="CL34" i="48" s="1"/>
  <c r="CL30" i="48" a="1"/>
  <c r="CL30" i="48" s="1"/>
  <c r="CL23" i="48" a="1"/>
  <c r="CL23" i="48" s="1"/>
  <c r="CL21" i="48" a="1"/>
  <c r="CL21" i="48" s="1"/>
  <c r="CL16" i="48" a="1"/>
  <c r="CL16" i="48" s="1"/>
  <c r="CL12" i="48" a="1"/>
  <c r="CL12" i="48" s="1"/>
  <c r="CL13" i="48" a="1"/>
  <c r="CL13" i="48" s="1"/>
  <c r="CL2" i="48" a="1"/>
  <c r="CL2" i="48" s="1"/>
  <c r="CL48" i="48" a="1"/>
  <c r="CL48" i="48" s="1"/>
  <c r="CL44" i="48" a="1"/>
  <c r="CL44" i="48" s="1"/>
  <c r="CL41" i="48" a="1"/>
  <c r="CL41" i="48" s="1"/>
  <c r="CL39" i="48" a="1"/>
  <c r="CL39" i="48" s="1"/>
  <c r="CL32" i="48" a="1"/>
  <c r="CL32" i="48" s="1"/>
  <c r="CL31" i="48" a="1"/>
  <c r="CL31" i="48" s="1"/>
  <c r="CL24" i="48" a="1"/>
  <c r="CL24" i="48" s="1"/>
  <c r="CL20" i="48" a="1"/>
  <c r="CL20" i="48" s="1"/>
  <c r="CL18" i="48" a="1"/>
  <c r="CL18" i="48" s="1"/>
  <c r="CL10" i="48" a="1"/>
  <c r="CL10" i="48" s="1"/>
  <c r="CL11" i="48" a="1"/>
  <c r="CL11" i="48" s="1"/>
  <c r="CL7" i="48" a="1"/>
  <c r="CL7" i="48" s="1"/>
  <c r="CL51" i="48" a="1"/>
  <c r="CL51" i="48" s="1"/>
  <c r="CL47" i="48" a="1"/>
  <c r="CL47" i="48" s="1"/>
  <c r="CL45" i="48" a="1"/>
  <c r="CL45" i="48" s="1"/>
  <c r="CL38" i="48" a="1"/>
  <c r="CL38" i="48" s="1"/>
  <c r="CL35" i="48" a="1"/>
  <c r="CL35" i="48" s="1"/>
  <c r="CL28" i="48" a="1"/>
  <c r="CL28" i="48" s="1"/>
  <c r="CL26" i="48" a="1"/>
  <c r="CL26" i="48" s="1"/>
  <c r="CL25" i="48" a="1"/>
  <c r="CL25" i="48" s="1"/>
  <c r="CL19" i="48" a="1"/>
  <c r="CL19" i="48" s="1"/>
  <c r="CL15" i="48" a="1"/>
  <c r="CL15" i="48" s="1"/>
  <c r="CL9" i="48" a="1"/>
  <c r="CL9" i="48" s="1"/>
  <c r="CL5" i="48" a="1"/>
  <c r="CL5" i="48" s="1"/>
  <c r="CL4" i="48" a="1"/>
  <c r="CL4" i="48" s="1"/>
  <c r="CL50" i="48" a="1"/>
  <c r="CL50" i="48" s="1"/>
  <c r="CL46" i="48" a="1"/>
  <c r="CL46" i="48" s="1"/>
  <c r="CL42" i="48" a="1"/>
  <c r="CL42" i="48" s="1"/>
  <c r="CL36" i="48" a="1"/>
  <c r="CL36" i="48" s="1"/>
  <c r="CL33" i="48" a="1"/>
  <c r="CL33" i="48" s="1"/>
  <c r="CL29" i="48" a="1"/>
  <c r="CL29" i="48" s="1"/>
  <c r="CL27" i="48" a="1"/>
  <c r="CL27" i="48" s="1"/>
  <c r="CL22" i="48" a="1"/>
  <c r="CL22" i="48" s="1"/>
  <c r="CL17" i="48" a="1"/>
  <c r="CL17" i="48" s="1"/>
  <c r="CL14" i="48" a="1"/>
  <c r="CL14" i="48" s="1"/>
  <c r="CL8" i="48" a="1"/>
  <c r="CL8" i="48" s="1"/>
  <c r="CL6" i="48" a="1"/>
  <c r="CL6" i="48" s="1"/>
  <c r="CL3" i="48" a="1"/>
  <c r="CL3" i="48" s="1"/>
  <c r="CM1" i="48" a="1"/>
  <c r="CM1" i="48" s="1"/>
  <c r="CM50" i="48" l="1" a="1"/>
  <c r="CM50" i="48" s="1"/>
  <c r="CM46" i="48" a="1"/>
  <c r="CM46" i="48" s="1"/>
  <c r="CM42" i="48" a="1"/>
  <c r="CM42" i="48" s="1"/>
  <c r="CM38" i="48" a="1"/>
  <c r="CM38" i="48" s="1"/>
  <c r="CM36" i="48" a="1"/>
  <c r="CM36" i="48" s="1"/>
  <c r="CM31" i="48" a="1"/>
  <c r="CM31" i="48" s="1"/>
  <c r="CM48" i="48" a="1"/>
  <c r="CM48" i="48" s="1"/>
  <c r="CM45" i="48" a="1"/>
  <c r="CM45" i="48" s="1"/>
  <c r="CM40" i="48" a="1"/>
  <c r="CM40" i="48" s="1"/>
  <c r="CM37" i="48" a="1"/>
  <c r="CM37" i="48" s="1"/>
  <c r="CM35" i="48" a="1"/>
  <c r="CM35" i="48" s="1"/>
  <c r="CM32" i="48" a="1"/>
  <c r="CM32" i="48" s="1"/>
  <c r="CM22" i="48" a="1"/>
  <c r="CM22" i="48" s="1"/>
  <c r="CM21" i="48" a="1"/>
  <c r="CM21" i="48" s="1"/>
  <c r="CM16" i="48" a="1"/>
  <c r="CM16" i="48" s="1"/>
  <c r="CM11" i="48" a="1"/>
  <c r="CM11" i="48" s="1"/>
  <c r="CM9" i="48" a="1"/>
  <c r="CM9" i="48" s="1"/>
  <c r="CM3" i="48" a="1"/>
  <c r="CM3" i="48" s="1"/>
  <c r="CM49" i="48" a="1"/>
  <c r="CM49" i="48" s="1"/>
  <c r="CM43" i="48" a="1"/>
  <c r="CM43" i="48" s="1"/>
  <c r="CM41" i="48" a="1"/>
  <c r="CM41" i="48" s="1"/>
  <c r="CM34" i="48" a="1"/>
  <c r="CM34" i="48" s="1"/>
  <c r="CM29" i="48" a="1"/>
  <c r="CM29" i="48" s="1"/>
  <c r="CM51" i="48" a="1"/>
  <c r="CM51" i="48" s="1"/>
  <c r="CM47" i="48" a="1"/>
  <c r="CM47" i="48" s="1"/>
  <c r="CM44" i="48" a="1"/>
  <c r="CM44" i="48" s="1"/>
  <c r="CM39" i="48" a="1"/>
  <c r="CM39" i="48" s="1"/>
  <c r="CM33" i="48" a="1"/>
  <c r="CM33" i="48" s="1"/>
  <c r="CM30" i="48" a="1"/>
  <c r="CM30" i="48" s="1"/>
  <c r="CM24" i="48" a="1"/>
  <c r="CM24" i="48" s="1"/>
  <c r="CM27" i="48" a="1"/>
  <c r="CM27" i="48" s="1"/>
  <c r="CM18" i="48" a="1"/>
  <c r="CM18" i="48" s="1"/>
  <c r="CM19" i="48" a="1"/>
  <c r="CM19" i="48" s="1"/>
  <c r="CM12" i="48" a="1"/>
  <c r="CM12" i="48" s="1"/>
  <c r="CM6" i="48" a="1"/>
  <c r="CM6" i="48" s="1"/>
  <c r="CM7" i="48" a="1"/>
  <c r="CM7" i="48" s="1"/>
  <c r="CM8" i="48" a="1"/>
  <c r="CM8" i="48" s="1"/>
  <c r="CM28" i="48" a="1"/>
  <c r="CM28" i="48" s="1"/>
  <c r="CM17" i="48" a="1"/>
  <c r="CM17" i="48" s="1"/>
  <c r="CM15" i="48" a="1"/>
  <c r="CM15" i="48" s="1"/>
  <c r="CM4" i="48" a="1"/>
  <c r="CM4" i="48" s="1"/>
  <c r="CM25" i="48" a="1"/>
  <c r="CM25" i="48" s="1"/>
  <c r="CM2" i="48" a="1"/>
  <c r="CM2" i="48" s="1"/>
  <c r="CM26" i="48" a="1"/>
  <c r="CM26" i="48" s="1"/>
  <c r="CM13" i="48" a="1"/>
  <c r="CM13" i="48" s="1"/>
  <c r="CM23" i="48" a="1"/>
  <c r="CM23" i="48" s="1"/>
  <c r="CM20" i="48" a="1"/>
  <c r="CM20" i="48" s="1"/>
  <c r="CM10" i="48" a="1"/>
  <c r="CM10" i="48" s="1"/>
  <c r="CM14" i="48" a="1"/>
  <c r="CM14" i="48" s="1"/>
  <c r="CM5" i="48" a="1"/>
  <c r="CM5" i="48" s="1"/>
  <c r="CN1" i="48" a="1"/>
  <c r="CN1" i="48" s="1"/>
  <c r="CN51" i="48" l="1" a="1"/>
  <c r="CN51" i="48" s="1"/>
  <c r="CN46" i="48" a="1"/>
  <c r="CN46" i="48" s="1"/>
  <c r="CN41" i="48" a="1"/>
  <c r="CN41" i="48" s="1"/>
  <c r="CN36" i="48" a="1"/>
  <c r="CN36" i="48" s="1"/>
  <c r="CN33" i="48" a="1"/>
  <c r="CN33" i="48" s="1"/>
  <c r="CN32" i="48" a="1"/>
  <c r="CN32" i="48" s="1"/>
  <c r="CN26" i="48" a="1"/>
  <c r="CN26" i="48" s="1"/>
  <c r="CN22" i="48" a="1"/>
  <c r="CN22" i="48" s="1"/>
  <c r="CN17" i="48" a="1"/>
  <c r="CN17" i="48" s="1"/>
  <c r="CN11" i="48" a="1"/>
  <c r="CN11" i="48" s="1"/>
  <c r="CN12" i="48" a="1"/>
  <c r="CN12" i="48" s="1"/>
  <c r="CN7" i="48" a="1"/>
  <c r="CN7" i="48" s="1"/>
  <c r="CN2" i="48" a="1"/>
  <c r="CN2" i="48" s="1"/>
  <c r="CN44" i="48" a="1"/>
  <c r="CN44" i="48" s="1"/>
  <c r="CN37" i="48" a="1"/>
  <c r="CN37" i="48" s="1"/>
  <c r="CN30" i="48" a="1"/>
  <c r="CN30" i="48" s="1"/>
  <c r="CN20" i="48" a="1"/>
  <c r="CN20" i="48" s="1"/>
  <c r="CN8" i="48" a="1"/>
  <c r="CN8" i="48" s="1"/>
  <c r="CN6" i="48" a="1"/>
  <c r="CN6" i="48" s="1"/>
  <c r="CN50" i="48" a="1"/>
  <c r="CN50" i="48" s="1"/>
  <c r="CN45" i="48" a="1"/>
  <c r="CN45" i="48" s="1"/>
  <c r="CN34" i="48" a="1"/>
  <c r="CN34" i="48" s="1"/>
  <c r="CN25" i="48" a="1"/>
  <c r="CN25" i="48" s="1"/>
  <c r="CN18" i="48" a="1"/>
  <c r="CN18" i="48" s="1"/>
  <c r="CN14" i="48" a="1"/>
  <c r="CN14" i="48" s="1"/>
  <c r="CN3" i="48" a="1"/>
  <c r="CN3" i="48" s="1"/>
  <c r="CN49" i="48" a="1"/>
  <c r="CN49" i="48" s="1"/>
  <c r="CN40" i="48" a="1"/>
  <c r="CN40" i="48" s="1"/>
  <c r="CN35" i="48" a="1"/>
  <c r="CN35" i="48" s="1"/>
  <c r="CN27" i="48" a="1"/>
  <c r="CN27" i="48" s="1"/>
  <c r="CN16" i="48" a="1"/>
  <c r="CN16" i="48" s="1"/>
  <c r="CN10" i="48" a="1"/>
  <c r="CN10" i="48" s="1"/>
  <c r="CN48" i="48" a="1"/>
  <c r="CN48" i="48" s="1"/>
  <c r="CN42" i="48" a="1"/>
  <c r="CN42" i="48" s="1"/>
  <c r="CN31" i="48" a="1"/>
  <c r="CN31" i="48" s="1"/>
  <c r="CN23" i="48" a="1"/>
  <c r="CN23" i="48" s="1"/>
  <c r="CN19" i="48" a="1"/>
  <c r="CN19" i="48" s="1"/>
  <c r="CN15" i="48" a="1"/>
  <c r="CN15" i="48" s="1"/>
  <c r="CN43" i="48" a="1"/>
  <c r="CN43" i="48" s="1"/>
  <c r="CN38" i="48" a="1"/>
  <c r="CN38" i="48" s="1"/>
  <c r="CN29" i="48" a="1"/>
  <c r="CN29" i="48" s="1"/>
  <c r="CN21" i="48" a="1"/>
  <c r="CN21" i="48" s="1"/>
  <c r="CN9" i="48" a="1"/>
  <c r="CN9" i="48" s="1"/>
  <c r="CN5" i="48" a="1"/>
  <c r="CN5" i="48" s="1"/>
  <c r="CN47" i="48" a="1"/>
  <c r="CN47" i="48" s="1"/>
  <c r="CN39" i="48" a="1"/>
  <c r="CN39" i="48" s="1"/>
  <c r="CN28" i="48" a="1"/>
  <c r="CN28" i="48" s="1"/>
  <c r="CN24" i="48" a="1"/>
  <c r="CN24" i="48" s="1"/>
  <c r="CN13" i="48" a="1"/>
  <c r="CN13" i="48" s="1"/>
  <c r="CN4" i="48" a="1"/>
  <c r="CN4" i="48" s="1"/>
  <c r="CO1" i="48" a="1"/>
  <c r="CO1" i="48" s="1"/>
  <c r="CO51" i="48" l="1" a="1"/>
  <c r="CO51" i="48" s="1"/>
  <c r="CO49" i="48" a="1"/>
  <c r="CO49" i="48" s="1"/>
  <c r="CO40" i="48" a="1"/>
  <c r="CO40" i="48" s="1"/>
  <c r="CO36" i="48" a="1"/>
  <c r="CO36" i="48" s="1"/>
  <c r="CO25" i="48" a="1"/>
  <c r="CO25" i="48" s="1"/>
  <c r="CO16" i="48" a="1"/>
  <c r="CO16" i="48" s="1"/>
  <c r="CO11" i="48" a="1"/>
  <c r="CO11" i="48" s="1"/>
  <c r="CO6" i="48" a="1"/>
  <c r="CO6" i="48" s="1"/>
  <c r="CO48" i="48" a="1"/>
  <c r="CO48" i="48" s="1"/>
  <c r="CO35" i="48" a="1"/>
  <c r="CO35" i="48" s="1"/>
  <c r="CO30" i="48" a="1"/>
  <c r="CO30" i="48" s="1"/>
  <c r="CO26" i="48" a="1"/>
  <c r="CO26" i="48" s="1"/>
  <c r="CO15" i="48" a="1"/>
  <c r="CO15" i="48" s="1"/>
  <c r="CO4" i="48" a="1"/>
  <c r="CO4" i="48" s="1"/>
  <c r="CO46" i="48" a="1"/>
  <c r="CO46" i="48" s="1"/>
  <c r="CO42" i="48" a="1"/>
  <c r="CO42" i="48" s="1"/>
  <c r="CO34" i="48" a="1"/>
  <c r="CO34" i="48" s="1"/>
  <c r="CO31" i="48" a="1"/>
  <c r="CO31" i="48" s="1"/>
  <c r="CO18" i="48" a="1"/>
  <c r="CO18" i="48" s="1"/>
  <c r="CO9" i="48" a="1"/>
  <c r="CO9" i="48" s="1"/>
  <c r="CO5" i="48" a="1"/>
  <c r="CO5" i="48" s="1"/>
  <c r="CO47" i="48" a="1"/>
  <c r="CO47" i="48" s="1"/>
  <c r="CO41" i="48" a="1"/>
  <c r="CO41" i="48" s="1"/>
  <c r="CO27" i="48" a="1"/>
  <c r="CO27" i="48" s="1"/>
  <c r="CO21" i="48" a="1"/>
  <c r="CO21" i="48" s="1"/>
  <c r="CO14" i="48" a="1"/>
  <c r="CO14" i="48" s="1"/>
  <c r="CO8" i="48" a="1"/>
  <c r="CO8" i="48" s="1"/>
  <c r="CO37" i="48" a="1"/>
  <c r="CO37" i="48" s="1"/>
  <c r="CO33" i="48" a="1"/>
  <c r="CO33" i="48" s="1"/>
  <c r="CO23" i="48" a="1"/>
  <c r="CO23" i="48" s="1"/>
  <c r="CO20" i="48" a="1"/>
  <c r="CO20" i="48" s="1"/>
  <c r="CO7" i="48" a="1"/>
  <c r="CO7" i="48" s="1"/>
  <c r="CO50" i="48" a="1"/>
  <c r="CO50" i="48" s="1"/>
  <c r="CO45" i="48" a="1"/>
  <c r="CO45" i="48" s="1"/>
  <c r="CO32" i="48" a="1"/>
  <c r="CO32" i="48" s="1"/>
  <c r="CO24" i="48" a="1"/>
  <c r="CO24" i="48" s="1"/>
  <c r="CO17" i="48" a="1"/>
  <c r="CO17" i="48" s="1"/>
  <c r="CO10" i="48" a="1"/>
  <c r="CO10" i="48" s="1"/>
  <c r="CO43" i="48" a="1"/>
  <c r="CO43" i="48" s="1"/>
  <c r="CO39" i="48" a="1"/>
  <c r="CO39" i="48" s="1"/>
  <c r="CO29" i="48" a="1"/>
  <c r="CO29" i="48" s="1"/>
  <c r="CO22" i="48" a="1"/>
  <c r="CO22" i="48" s="1"/>
  <c r="CO13" i="48" a="1"/>
  <c r="CO13" i="48" s="1"/>
  <c r="CO3" i="48" a="1"/>
  <c r="CO3" i="48" s="1"/>
  <c r="CO19" i="48" a="1"/>
  <c r="CO19" i="48" s="1"/>
  <c r="CO12" i="48" a="1"/>
  <c r="CO12" i="48" s="1"/>
  <c r="CO2" i="48" a="1"/>
  <c r="CO2" i="48" s="1"/>
  <c r="CO44" i="48" a="1"/>
  <c r="CO44" i="48" s="1"/>
  <c r="CO38" i="48" a="1"/>
  <c r="CO38" i="48" s="1"/>
  <c r="CO28" i="48" a="1"/>
  <c r="CO28" i="48" s="1"/>
  <c r="CP1" i="48" a="1"/>
  <c r="CP1" i="48" s="1"/>
  <c r="CP47" i="48" l="1" a="1"/>
  <c r="CP47" i="48" s="1"/>
  <c r="CP41" i="48" a="1"/>
  <c r="CP41" i="48" s="1"/>
  <c r="CP29" i="48" a="1"/>
  <c r="CP29" i="48" s="1"/>
  <c r="CP22" i="48" a="1"/>
  <c r="CP22" i="48" s="1"/>
  <c r="CP14" i="48" a="1"/>
  <c r="CP14" i="48" s="1"/>
  <c r="CP13" i="48" a="1"/>
  <c r="CP13" i="48" s="1"/>
  <c r="CP40" i="48" a="1"/>
  <c r="CP40" i="48" s="1"/>
  <c r="CP34" i="48" a="1"/>
  <c r="CP34" i="48" s="1"/>
  <c r="CP24" i="48" a="1"/>
  <c r="CP24" i="48" s="1"/>
  <c r="CP21" i="48" a="1"/>
  <c r="CP21" i="48" s="1"/>
  <c r="CP11" i="48" a="1"/>
  <c r="CP11" i="48" s="1"/>
  <c r="CP3" i="48" a="1"/>
  <c r="CP3" i="48" s="1"/>
  <c r="CP46" i="48" a="1"/>
  <c r="CP46" i="48" s="1"/>
  <c r="CP38" i="48" a="1"/>
  <c r="CP38" i="48" s="1"/>
  <c r="CP36" i="48" a="1"/>
  <c r="CP36" i="48" s="1"/>
  <c r="CP20" i="48" a="1"/>
  <c r="CP20" i="48" s="1"/>
  <c r="CP12" i="48" a="1"/>
  <c r="CP12" i="48" s="1"/>
  <c r="CP6" i="48" a="1"/>
  <c r="CP6" i="48" s="1"/>
  <c r="CP51" i="48" a="1"/>
  <c r="CP51" i="48" s="1"/>
  <c r="CP45" i="48" a="1"/>
  <c r="CP45" i="48" s="1"/>
  <c r="CP32" i="48" a="1"/>
  <c r="CP32" i="48" s="1"/>
  <c r="CP25" i="48" a="1"/>
  <c r="CP25" i="48" s="1"/>
  <c r="CP19" i="48" a="1"/>
  <c r="CP19" i="48" s="1"/>
  <c r="CP10" i="48" a="1"/>
  <c r="CP10" i="48" s="1"/>
  <c r="CP43" i="48" a="1"/>
  <c r="CP43" i="48" s="1"/>
  <c r="CP39" i="48" a="1"/>
  <c r="CP39" i="48" s="1"/>
  <c r="CP30" i="48" a="1"/>
  <c r="CP30" i="48" s="1"/>
  <c r="CP26" i="48" a="1"/>
  <c r="CP26" i="48" s="1"/>
  <c r="CP9" i="48" a="1"/>
  <c r="CP9" i="48" s="1"/>
  <c r="CP4" i="48" a="1"/>
  <c r="CP4" i="48" s="1"/>
  <c r="CP48" i="48" a="1"/>
  <c r="CP48" i="48" s="1"/>
  <c r="CP35" i="48" a="1"/>
  <c r="CP35" i="48" s="1"/>
  <c r="CP31" i="48" a="1"/>
  <c r="CP31" i="48" s="1"/>
  <c r="CP23" i="48" a="1"/>
  <c r="CP23" i="48" s="1"/>
  <c r="CP16" i="48" a="1"/>
  <c r="CP16" i="48" s="1"/>
  <c r="CP2" i="48" a="1"/>
  <c r="CP2" i="48" s="1"/>
  <c r="CP49" i="48" a="1"/>
  <c r="CP49" i="48" s="1"/>
  <c r="CP42" i="48" a="1"/>
  <c r="CP42" i="48" s="1"/>
  <c r="CP33" i="48" a="1"/>
  <c r="CP33" i="48" s="1"/>
  <c r="CP28" i="48" a="1"/>
  <c r="CP28" i="48" s="1"/>
  <c r="CP18" i="48" a="1"/>
  <c r="CP18" i="48" s="1"/>
  <c r="CP15" i="48" a="1"/>
  <c r="CP15" i="48" s="1"/>
  <c r="CP7" i="48" a="1"/>
  <c r="CP7" i="48" s="1"/>
  <c r="CP27" i="48" a="1"/>
  <c r="CP27" i="48" s="1"/>
  <c r="CP17" i="48" a="1"/>
  <c r="CP17" i="48" s="1"/>
  <c r="CP8" i="48" a="1"/>
  <c r="CP8" i="48" s="1"/>
  <c r="CP5" i="48" a="1"/>
  <c r="CP5" i="48" s="1"/>
  <c r="CP50" i="48" a="1"/>
  <c r="CP50" i="48" s="1"/>
  <c r="CP44" i="48" a="1"/>
  <c r="CP44" i="48" s="1"/>
  <c r="CP37" i="48" a="1"/>
  <c r="CP37" i="48" s="1"/>
  <c r="CQ1" i="48" a="1"/>
  <c r="CQ1" i="48" s="1"/>
  <c r="CQ46" i="48" l="1" a="1"/>
  <c r="CQ46" i="48" s="1"/>
  <c r="CQ33" i="48" a="1"/>
  <c r="CQ33" i="48" s="1"/>
  <c r="CQ26" i="48" a="1"/>
  <c r="CQ26" i="48" s="1"/>
  <c r="CQ20" i="48" a="1"/>
  <c r="CQ20" i="48" s="1"/>
  <c r="CQ13" i="48" a="1"/>
  <c r="CQ13" i="48" s="1"/>
  <c r="CQ43" i="48" a="1"/>
  <c r="CQ43" i="48" s="1"/>
  <c r="CQ36" i="48" a="1"/>
  <c r="CQ36" i="48" s="1"/>
  <c r="CQ31" i="48" a="1"/>
  <c r="CQ31" i="48" s="1"/>
  <c r="CQ27" i="48" a="1"/>
  <c r="CQ27" i="48" s="1"/>
  <c r="CQ11" i="48" a="1"/>
  <c r="CQ11" i="48" s="1"/>
  <c r="CQ6" i="48" a="1"/>
  <c r="CQ6" i="48" s="1"/>
  <c r="CQ51" i="48" a="1"/>
  <c r="CQ51" i="48" s="1"/>
  <c r="CQ44" i="48" a="1"/>
  <c r="CQ44" i="48" s="1"/>
  <c r="CQ39" i="48" a="1"/>
  <c r="CQ39" i="48" s="1"/>
  <c r="CQ23" i="48" a="1"/>
  <c r="CQ23" i="48" s="1"/>
  <c r="CQ18" i="48" a="1"/>
  <c r="CQ18" i="48" s="1"/>
  <c r="CQ14" i="48" a="1"/>
  <c r="CQ14" i="48" s="1"/>
  <c r="CQ5" i="48" a="1"/>
  <c r="CQ5" i="48" s="1"/>
  <c r="CQ50" i="48" a="1"/>
  <c r="CQ50" i="48" s="1"/>
  <c r="CQ37" i="48" a="1"/>
  <c r="CQ37" i="48" s="1"/>
  <c r="CQ28" i="48" a="1"/>
  <c r="CQ28" i="48" s="1"/>
  <c r="CQ22" i="48" a="1"/>
  <c r="CQ22" i="48" s="1"/>
  <c r="CQ17" i="48" a="1"/>
  <c r="CQ17" i="48" s="1"/>
  <c r="CQ3" i="48" a="1"/>
  <c r="CQ3" i="48" s="1"/>
  <c r="CQ49" i="48" a="1"/>
  <c r="CQ49" i="48" s="1"/>
  <c r="CQ45" i="48" a="1"/>
  <c r="CQ45" i="48" s="1"/>
  <c r="CQ38" i="48" a="1"/>
  <c r="CQ38" i="48" s="1"/>
  <c r="CQ29" i="48" a="1"/>
  <c r="CQ29" i="48" s="1"/>
  <c r="CQ16" i="48" a="1"/>
  <c r="CQ16" i="48" s="1"/>
  <c r="CQ12" i="48" a="1"/>
  <c r="CQ12" i="48" s="1"/>
  <c r="CQ2" i="48" a="1"/>
  <c r="CQ2" i="48" s="1"/>
  <c r="CQ40" i="48" a="1"/>
  <c r="CQ40" i="48" s="1"/>
  <c r="CQ35" i="48" a="1"/>
  <c r="CQ35" i="48" s="1"/>
  <c r="CQ30" i="48" a="1"/>
  <c r="CQ30" i="48" s="1"/>
  <c r="CQ25" i="48" a="1"/>
  <c r="CQ25" i="48" s="1"/>
  <c r="CQ9" i="48" a="1"/>
  <c r="CQ9" i="48" s="1"/>
  <c r="CQ7" i="48" a="1"/>
  <c r="CQ7" i="48" s="1"/>
  <c r="CQ47" i="48" a="1"/>
  <c r="CQ47" i="48" s="1"/>
  <c r="CQ41" i="48" a="1"/>
  <c r="CQ41" i="48" s="1"/>
  <c r="CQ34" i="48" a="1"/>
  <c r="CQ34" i="48" s="1"/>
  <c r="CQ21" i="48" a="1"/>
  <c r="CQ21" i="48" s="1"/>
  <c r="CQ19" i="48" a="1"/>
  <c r="CQ19" i="48" s="1"/>
  <c r="CQ8" i="48" a="1"/>
  <c r="CQ8" i="48" s="1"/>
  <c r="CQ4" i="48" a="1"/>
  <c r="CQ4" i="48" s="1"/>
  <c r="CQ24" i="48" a="1"/>
  <c r="CQ24" i="48" s="1"/>
  <c r="CQ15" i="48" a="1"/>
  <c r="CQ15" i="48" s="1"/>
  <c r="CQ10" i="48" a="1"/>
  <c r="CQ10" i="48" s="1"/>
  <c r="CQ48" i="48" a="1"/>
  <c r="CQ48" i="48" s="1"/>
  <c r="CQ42" i="48" a="1"/>
  <c r="CQ42" i="48" s="1"/>
  <c r="CQ32" i="48" a="1"/>
  <c r="CQ32" i="48" s="1"/>
  <c r="CR1" i="48" a="1"/>
  <c r="CR1" i="48" s="1"/>
  <c r="CR50" i="48" l="1" a="1"/>
  <c r="CR50" i="48" s="1"/>
  <c r="CR37" i="48" a="1"/>
  <c r="CR37" i="48" s="1"/>
  <c r="CR29" i="48" a="1"/>
  <c r="CR29" i="48" s="1"/>
  <c r="CR24" i="48" a="1"/>
  <c r="CR24" i="48" s="1"/>
  <c r="CR18" i="48" a="1"/>
  <c r="CR18" i="48" s="1"/>
  <c r="CR4" i="48" a="1"/>
  <c r="CR4" i="48" s="1"/>
  <c r="CR51" i="48" a="1"/>
  <c r="CR51" i="48" s="1"/>
  <c r="CR45" i="48" a="1"/>
  <c r="CR45" i="48" s="1"/>
  <c r="CR38" i="48" a="1"/>
  <c r="CR38" i="48" s="1"/>
  <c r="CR30" i="48" a="1"/>
  <c r="CR30" i="48" s="1"/>
  <c r="CR17" i="48" a="1"/>
  <c r="CR17" i="48" s="1"/>
  <c r="CR9" i="48" a="1"/>
  <c r="CR9" i="48" s="1"/>
  <c r="CR6" i="48" a="1"/>
  <c r="CR6" i="48" s="1"/>
  <c r="CR49" i="48" a="1"/>
  <c r="CR49" i="48" s="1"/>
  <c r="CR43" i="48" a="1"/>
  <c r="CR43" i="48" s="1"/>
  <c r="CR32" i="48" a="1"/>
  <c r="CR32" i="48" s="1"/>
  <c r="CR25" i="48" a="1"/>
  <c r="CR25" i="48" s="1"/>
  <c r="CR16" i="48" a="1"/>
  <c r="CR16" i="48" s="1"/>
  <c r="CR8" i="48" a="1"/>
  <c r="CR8" i="48" s="1"/>
  <c r="CR41" i="48" a="1"/>
  <c r="CR41" i="48" s="1"/>
  <c r="CR36" i="48" a="1"/>
  <c r="CR36" i="48" s="1"/>
  <c r="CR31" i="48" a="1"/>
  <c r="CR31" i="48" s="1"/>
  <c r="CR26" i="48" a="1"/>
  <c r="CR26" i="48" s="1"/>
  <c r="CR14" i="48" a="1"/>
  <c r="CR14" i="48" s="1"/>
  <c r="CR5" i="48" a="1"/>
  <c r="CR5" i="48" s="1"/>
  <c r="CR48" i="48" a="1"/>
  <c r="CR48" i="48" s="1"/>
  <c r="CR40" i="48" a="1"/>
  <c r="CR40" i="48" s="1"/>
  <c r="CR33" i="48" a="1"/>
  <c r="CR33" i="48" s="1"/>
  <c r="CR22" i="48" a="1"/>
  <c r="CR22" i="48" s="1"/>
  <c r="CR19" i="48" a="1"/>
  <c r="CR19" i="48" s="1"/>
  <c r="CR12" i="48" a="1"/>
  <c r="CR12" i="48" s="1"/>
  <c r="CR3" i="48" a="1"/>
  <c r="CR3" i="48" s="1"/>
  <c r="CR47" i="48" a="1"/>
  <c r="CR47" i="48" s="1"/>
  <c r="CR42" i="48" a="1"/>
  <c r="CR42" i="48" s="1"/>
  <c r="CR34" i="48" a="1"/>
  <c r="CR34" i="48" s="1"/>
  <c r="CR27" i="48" a="1"/>
  <c r="CR27" i="48" s="1"/>
  <c r="CR11" i="48" a="1"/>
  <c r="CR11" i="48" s="1"/>
  <c r="CR10" i="48" a="1"/>
  <c r="CR10" i="48" s="1"/>
  <c r="CR44" i="48" a="1"/>
  <c r="CR44" i="48" s="1"/>
  <c r="CR39" i="48" a="1"/>
  <c r="CR39" i="48" s="1"/>
  <c r="CR23" i="48" a="1"/>
  <c r="CR23" i="48" s="1"/>
  <c r="CR20" i="48" a="1"/>
  <c r="CR20" i="48" s="1"/>
  <c r="CR15" i="48" a="1"/>
  <c r="CR15" i="48" s="1"/>
  <c r="CR7" i="48" a="1"/>
  <c r="CR7" i="48" s="1"/>
  <c r="CR21" i="48" a="1"/>
  <c r="CR21" i="48" s="1"/>
  <c r="CR13" i="48" a="1"/>
  <c r="CR13" i="48" s="1"/>
  <c r="CR2" i="48" a="1"/>
  <c r="CR2" i="48" s="1"/>
  <c r="CR46" i="48" a="1"/>
  <c r="CR46" i="48" s="1"/>
  <c r="CR35" i="48" a="1"/>
  <c r="CR35" i="48" s="1"/>
  <c r="CR28" i="48" a="1"/>
  <c r="CR28" i="48" s="1"/>
  <c r="CS1" i="48" a="1"/>
  <c r="CS1" i="48" s="1"/>
  <c r="CS45" i="48" l="1" a="1"/>
  <c r="CS45" i="48" s="1"/>
  <c r="CS37" i="48" a="1"/>
  <c r="CS37" i="48" s="1"/>
  <c r="CS31" i="48" a="1"/>
  <c r="CS31" i="48" s="1"/>
  <c r="CS27" i="48" a="1"/>
  <c r="CS27" i="48" s="1"/>
  <c r="CS13" i="48" a="1"/>
  <c r="CS13" i="48" s="1"/>
  <c r="CS5" i="48" a="1"/>
  <c r="CS5" i="48" s="1"/>
  <c r="CS49" i="48" a="1"/>
  <c r="CS49" i="48" s="1"/>
  <c r="CS41" i="48" a="1"/>
  <c r="CS41" i="48" s="1"/>
  <c r="CS39" i="48" a="1"/>
  <c r="CS39" i="48" s="1"/>
  <c r="CS23" i="48" a="1"/>
  <c r="CS23" i="48" s="1"/>
  <c r="CS16" i="48" a="1"/>
  <c r="CS16" i="48" s="1"/>
  <c r="CS11" i="48" a="1"/>
  <c r="CS11" i="48" s="1"/>
  <c r="CS3" i="48" a="1"/>
  <c r="CS3" i="48" s="1"/>
  <c r="CS48" i="48" a="1"/>
  <c r="CS48" i="48" s="1"/>
  <c r="CS34" i="48" a="1"/>
  <c r="CS34" i="48" s="1"/>
  <c r="CS28" i="48" a="1"/>
  <c r="CS28" i="48" s="1"/>
  <c r="CS24" i="48" a="1"/>
  <c r="CS24" i="48" s="1"/>
  <c r="CS15" i="48" a="1"/>
  <c r="CS15" i="48" s="1"/>
  <c r="CS2" i="48" a="1"/>
  <c r="CS2" i="48" s="1"/>
  <c r="CS47" i="48" a="1"/>
  <c r="CS47" i="48" s="1"/>
  <c r="CS40" i="48" a="1"/>
  <c r="CS40" i="48" s="1"/>
  <c r="CS35" i="48" a="1"/>
  <c r="CS35" i="48" s="1"/>
  <c r="CS29" i="48" a="1"/>
  <c r="CS29" i="48" s="1"/>
  <c r="CS18" i="48" a="1"/>
  <c r="CS18" i="48" s="1"/>
  <c r="CS9" i="48" a="1"/>
  <c r="CS9" i="48" s="1"/>
  <c r="CS6" i="48" a="1"/>
  <c r="CS6" i="48" s="1"/>
  <c r="CS46" i="48" a="1"/>
  <c r="CS46" i="48" s="1"/>
  <c r="CS42" i="48" a="1"/>
  <c r="CS42" i="48" s="1"/>
  <c r="CS25" i="48" a="1"/>
  <c r="CS25" i="48" s="1"/>
  <c r="CS21" i="48" a="1"/>
  <c r="CS21" i="48" s="1"/>
  <c r="CS14" i="48" a="1"/>
  <c r="CS14" i="48" s="1"/>
  <c r="CS8" i="48" a="1"/>
  <c r="CS8" i="48" s="1"/>
  <c r="CS51" i="48" a="1"/>
  <c r="CS51" i="48" s="1"/>
  <c r="CS43" i="48" a="1"/>
  <c r="CS43" i="48" s="1"/>
  <c r="CS36" i="48" a="1"/>
  <c r="CS36" i="48" s="1"/>
  <c r="CS30" i="48" a="1"/>
  <c r="CS30" i="48" s="1"/>
  <c r="CS19" i="48" a="1"/>
  <c r="CS19" i="48" s="1"/>
  <c r="CS12" i="48" a="1"/>
  <c r="CS12" i="48" s="1"/>
  <c r="CS4" i="48" a="1"/>
  <c r="CS4" i="48" s="1"/>
  <c r="CS50" i="48" a="1"/>
  <c r="CS50" i="48" s="1"/>
  <c r="CS44" i="48" a="1"/>
  <c r="CS44" i="48" s="1"/>
  <c r="CS32" i="48" a="1"/>
  <c r="CS32" i="48" s="1"/>
  <c r="CS22" i="48" a="1"/>
  <c r="CS22" i="48" s="1"/>
  <c r="CS17" i="48" a="1"/>
  <c r="CS17" i="48" s="1"/>
  <c r="CS10" i="48" a="1"/>
  <c r="CS10" i="48" s="1"/>
  <c r="CS20" i="48" a="1"/>
  <c r="CS20" i="48" s="1"/>
  <c r="CS7" i="48" a="1"/>
  <c r="CS7" i="48" s="1"/>
  <c r="CS38" i="48" a="1"/>
  <c r="CS38" i="48" s="1"/>
  <c r="CS33" i="48" a="1"/>
  <c r="CS33" i="48" s="1"/>
  <c r="CS26" i="48" a="1"/>
  <c r="CS26" i="48" s="1"/>
  <c r="CT1" i="48" a="1"/>
  <c r="CT1" i="48" s="1"/>
  <c r="CT48" i="48" l="1" a="1"/>
  <c r="CT48" i="48" s="1"/>
  <c r="CT42" i="48" a="1"/>
  <c r="CT42" i="48" s="1"/>
  <c r="CT35" i="48" a="1"/>
  <c r="CT35" i="48" s="1"/>
  <c r="CT30" i="48" a="1"/>
  <c r="CT30" i="48" s="1"/>
  <c r="CT18" i="48" a="1"/>
  <c r="CT18" i="48" s="1"/>
  <c r="CT8" i="48" a="1"/>
  <c r="CT8" i="48" s="1"/>
  <c r="CT4" i="48" a="1"/>
  <c r="CT4" i="48" s="1"/>
  <c r="CT46" i="48" a="1"/>
  <c r="CT46" i="48" s="1"/>
  <c r="CT41" i="48" a="1"/>
  <c r="CT41" i="48" s="1"/>
  <c r="CT31" i="48" a="1"/>
  <c r="CT31" i="48" s="1"/>
  <c r="CT22" i="48" a="1"/>
  <c r="CT22" i="48" s="1"/>
  <c r="CT15" i="48" a="1"/>
  <c r="CT15" i="48" s="1"/>
  <c r="CT13" i="48" a="1"/>
  <c r="CT13" i="48" s="1"/>
  <c r="CT40" i="48" a="1"/>
  <c r="CT40" i="48" s="1"/>
  <c r="CT33" i="48" a="1"/>
  <c r="CT33" i="48" s="1"/>
  <c r="CT26" i="48" a="1"/>
  <c r="CT26" i="48" s="1"/>
  <c r="CT21" i="48" a="1"/>
  <c r="CT21" i="48" s="1"/>
  <c r="CT11" i="48" a="1"/>
  <c r="CT11" i="48" s="1"/>
  <c r="CT3" i="48" a="1"/>
  <c r="CT3" i="48" s="1"/>
  <c r="CT47" i="48" a="1"/>
  <c r="CT47" i="48" s="1"/>
  <c r="CT38" i="48" a="1"/>
  <c r="CT38" i="48" s="1"/>
  <c r="CT34" i="48" a="1"/>
  <c r="CT34" i="48" s="1"/>
  <c r="CT20" i="48" a="1"/>
  <c r="CT20" i="48" s="1"/>
  <c r="CT14" i="48" a="1"/>
  <c r="CT14" i="48" s="1"/>
  <c r="CT5" i="48" a="1"/>
  <c r="CT5" i="48" s="1"/>
  <c r="CT51" i="48" a="1"/>
  <c r="CT51" i="48" s="1"/>
  <c r="CT43" i="48" a="1"/>
  <c r="CT43" i="48" s="1"/>
  <c r="CT32" i="48" a="1"/>
  <c r="CT32" i="48" s="1"/>
  <c r="CT27" i="48" a="1"/>
  <c r="CT27" i="48" s="1"/>
  <c r="CT19" i="48" a="1"/>
  <c r="CT19" i="48" s="1"/>
  <c r="CT12" i="48" a="1"/>
  <c r="CT12" i="48" s="1"/>
  <c r="CT50" i="48" a="1"/>
  <c r="CT50" i="48" s="1"/>
  <c r="CT45" i="48" a="1"/>
  <c r="CT45" i="48" s="1"/>
  <c r="CT37" i="48" a="1"/>
  <c r="CT37" i="48" s="1"/>
  <c r="CT24" i="48" a="1"/>
  <c r="CT24" i="48" s="1"/>
  <c r="CT16" i="48" a="1"/>
  <c r="CT16" i="48" s="1"/>
  <c r="CT9" i="48" a="1"/>
  <c r="CT9" i="48" s="1"/>
  <c r="CT2" i="48" a="1"/>
  <c r="CT2" i="48" s="1"/>
  <c r="CT49" i="48" a="1"/>
  <c r="CT49" i="48" s="1"/>
  <c r="CT39" i="48" a="1"/>
  <c r="CT39" i="48" s="1"/>
  <c r="CT29" i="48" a="1"/>
  <c r="CT29" i="48" s="1"/>
  <c r="CT25" i="48" a="1"/>
  <c r="CT25" i="48" s="1"/>
  <c r="CT17" i="48" a="1"/>
  <c r="CT17" i="48" s="1"/>
  <c r="CT7" i="48" a="1"/>
  <c r="CT7" i="48" s="1"/>
  <c r="CT10" i="48" a="1"/>
  <c r="CT10" i="48" s="1"/>
  <c r="CT6" i="48" a="1"/>
  <c r="CT6" i="48" s="1"/>
  <c r="CT44" i="48" a="1"/>
  <c r="CT44" i="48" s="1"/>
  <c r="CT36" i="48" a="1"/>
  <c r="CT36" i="48" s="1"/>
  <c r="CT28" i="48" a="1"/>
  <c r="CT28" i="48" s="1"/>
  <c r="CT23" i="48" a="1"/>
  <c r="CT23" i="48" s="1"/>
  <c r="CU1" i="48" a="1"/>
  <c r="CU1" i="48" s="1"/>
  <c r="CU49" i="48" l="1" a="1"/>
  <c r="CU49" i="48" s="1"/>
  <c r="CU43" i="48" a="1"/>
  <c r="CU43" i="48" s="1"/>
  <c r="CU42" i="48" a="1"/>
  <c r="CU42" i="48" s="1"/>
  <c r="CU36" i="48" a="1"/>
  <c r="CU36" i="48" s="1"/>
  <c r="CU29" i="48" a="1"/>
  <c r="CU29" i="48" s="1"/>
  <c r="CU28" i="48" a="1"/>
  <c r="CU28" i="48" s="1"/>
  <c r="CU26" i="48" a="1"/>
  <c r="CU26" i="48" s="1"/>
  <c r="CU20" i="48" a="1"/>
  <c r="CU20" i="48" s="1"/>
  <c r="CU19" i="48" a="1"/>
  <c r="CU19" i="48" s="1"/>
  <c r="CU14" i="48" a="1"/>
  <c r="CU14" i="48" s="1"/>
  <c r="CU8" i="48" a="1"/>
  <c r="CU8" i="48" s="1"/>
  <c r="CU3" i="48" a="1"/>
  <c r="CU3" i="48" s="1"/>
  <c r="CU51" i="48" a="1"/>
  <c r="CU51" i="48" s="1"/>
  <c r="CU47" i="48" a="1"/>
  <c r="CU47" i="48" s="1"/>
  <c r="CU44" i="48" a="1"/>
  <c r="CU44" i="48" s="1"/>
  <c r="CU39" i="48" a="1"/>
  <c r="CU39" i="48" s="1"/>
  <c r="CU35" i="48" a="1"/>
  <c r="CU35" i="48" s="1"/>
  <c r="CU30" i="48" a="1"/>
  <c r="CU30" i="48" s="1"/>
  <c r="CU24" i="48" a="1"/>
  <c r="CU24" i="48" s="1"/>
  <c r="CU27" i="48" a="1"/>
  <c r="CU27" i="48" s="1"/>
  <c r="CU18" i="48" a="1"/>
  <c r="CU18" i="48" s="1"/>
  <c r="CU17" i="48" a="1"/>
  <c r="CU17" i="48" s="1"/>
  <c r="CU12" i="48" a="1"/>
  <c r="CU12" i="48" s="1"/>
  <c r="CU6" i="48" a="1"/>
  <c r="CU6" i="48" s="1"/>
  <c r="CU7" i="48" a="1"/>
  <c r="CU7" i="48" s="1"/>
  <c r="CU50" i="48" a="1"/>
  <c r="CU50" i="48" s="1"/>
  <c r="CU46" i="48" a="1"/>
  <c r="CU46" i="48" s="1"/>
  <c r="CU41" i="48" a="1"/>
  <c r="CU41" i="48" s="1"/>
  <c r="CU38" i="48" a="1"/>
  <c r="CU38" i="48" s="1"/>
  <c r="CU33" i="48" a="1"/>
  <c r="CU33" i="48" s="1"/>
  <c r="CU31" i="48" a="1"/>
  <c r="CU31" i="48" s="1"/>
  <c r="CU25" i="48" a="1"/>
  <c r="CU25" i="48" s="1"/>
  <c r="CU23" i="48" a="1"/>
  <c r="CU23" i="48" s="1"/>
  <c r="CU16" i="48" a="1"/>
  <c r="CU16" i="48" s="1"/>
  <c r="CU13" i="48" a="1"/>
  <c r="CU13" i="48" s="1"/>
  <c r="CU10" i="48" a="1"/>
  <c r="CU10" i="48" s="1"/>
  <c r="CU2" i="48" a="1"/>
  <c r="CU2" i="48" s="1"/>
  <c r="CU5" i="48" a="1"/>
  <c r="CU5" i="48" s="1"/>
  <c r="CU48" i="48" a="1"/>
  <c r="CU48" i="48" s="1"/>
  <c r="CU45" i="48" a="1"/>
  <c r="CU45" i="48" s="1"/>
  <c r="CU40" i="48" a="1"/>
  <c r="CU40" i="48" s="1"/>
  <c r="CU37" i="48" a="1"/>
  <c r="CU37" i="48" s="1"/>
  <c r="CU34" i="48" a="1"/>
  <c r="CU34" i="48" s="1"/>
  <c r="CU32" i="48" a="1"/>
  <c r="CU32" i="48" s="1"/>
  <c r="CU22" i="48" a="1"/>
  <c r="CU22" i="48" s="1"/>
  <c r="CU21" i="48" a="1"/>
  <c r="CU21" i="48" s="1"/>
  <c r="CU15" i="48" a="1"/>
  <c r="CU15" i="48" s="1"/>
  <c r="CU11" i="48" a="1"/>
  <c r="CU11" i="48" s="1"/>
  <c r="CU9" i="48" a="1"/>
  <c r="CU9" i="48" s="1"/>
  <c r="CU4" i="48" a="1"/>
  <c r="CU4" i="48" s="1"/>
  <c r="CV1" i="48" a="1"/>
  <c r="CV1" i="48" s="1"/>
  <c r="CV49" i="48" l="1" a="1"/>
  <c r="CV49" i="48" s="1"/>
  <c r="CV43" i="48" a="1"/>
  <c r="CV43" i="48" s="1"/>
  <c r="CV42" i="48" a="1"/>
  <c r="CV42" i="48" s="1"/>
  <c r="CV38" i="48" a="1"/>
  <c r="CV38" i="48" s="1"/>
  <c r="CV35" i="48" a="1"/>
  <c r="CV35" i="48" s="1"/>
  <c r="CV29" i="48" a="1"/>
  <c r="CV29" i="48" s="1"/>
  <c r="CV27" i="48" a="1"/>
  <c r="CV27" i="48" s="1"/>
  <c r="CV21" i="48" a="1"/>
  <c r="CV21" i="48" s="1"/>
  <c r="CV19" i="48" a="1"/>
  <c r="CV19" i="48" s="1"/>
  <c r="CV9" i="48" a="1"/>
  <c r="CV9" i="48" s="1"/>
  <c r="CV10" i="48" a="1"/>
  <c r="CV10" i="48" s="1"/>
  <c r="CV5" i="48" a="1"/>
  <c r="CV5" i="48" s="1"/>
  <c r="CV48" i="48" a="1"/>
  <c r="CV48" i="48" s="1"/>
  <c r="CV44" i="48" a="1"/>
  <c r="CV44" i="48" s="1"/>
  <c r="CV40" i="48" a="1"/>
  <c r="CV40" i="48" s="1"/>
  <c r="CV37" i="48" a="1"/>
  <c r="CV37" i="48" s="1"/>
  <c r="CV31" i="48" a="1"/>
  <c r="CV31" i="48" s="1"/>
  <c r="CV30" i="48" a="1"/>
  <c r="CV30" i="48" s="1"/>
  <c r="CV23" i="48" a="1"/>
  <c r="CV23" i="48" s="1"/>
  <c r="CV20" i="48" a="1"/>
  <c r="CV20" i="48" s="1"/>
  <c r="CV17" i="48" a="1"/>
  <c r="CV17" i="48" s="1"/>
  <c r="CV8" i="48" a="1"/>
  <c r="CV8" i="48" s="1"/>
  <c r="CV15" i="48" a="1"/>
  <c r="CV15" i="48" s="1"/>
  <c r="CV6" i="48" a="1"/>
  <c r="CV6" i="48" s="1"/>
  <c r="CV50" i="48" a="1"/>
  <c r="CV50" i="48" s="1"/>
  <c r="CV47" i="48" a="1"/>
  <c r="CV47" i="48" s="1"/>
  <c r="CV45" i="48" a="1"/>
  <c r="CV45" i="48" s="1"/>
  <c r="CV39" i="48" a="1"/>
  <c r="CV39" i="48" s="1"/>
  <c r="CV34" i="48" a="1"/>
  <c r="CV34" i="48" s="1"/>
  <c r="CV28" i="48" a="1"/>
  <c r="CV28" i="48" s="1"/>
  <c r="CV25" i="48" a="1"/>
  <c r="CV25" i="48" s="1"/>
  <c r="CV24" i="48" a="1"/>
  <c r="CV24" i="48" s="1"/>
  <c r="CV18" i="48" a="1"/>
  <c r="CV18" i="48" s="1"/>
  <c r="CV13" i="48" a="1"/>
  <c r="CV13" i="48" s="1"/>
  <c r="CV14" i="48" a="1"/>
  <c r="CV14" i="48" s="1"/>
  <c r="CV4" i="48" a="1"/>
  <c r="CV4" i="48" s="1"/>
  <c r="CV3" i="48" a="1"/>
  <c r="CV3" i="48" s="1"/>
  <c r="CV51" i="48" a="1"/>
  <c r="CV51" i="48" s="1"/>
  <c r="CV46" i="48" a="1"/>
  <c r="CV46" i="48" s="1"/>
  <c r="CV41" i="48" a="1"/>
  <c r="CV41" i="48" s="1"/>
  <c r="CV36" i="48" a="1"/>
  <c r="CV36" i="48" s="1"/>
  <c r="CV33" i="48" a="1"/>
  <c r="CV33" i="48" s="1"/>
  <c r="CV32" i="48" a="1"/>
  <c r="CV32" i="48" s="1"/>
  <c r="CV26" i="48" a="1"/>
  <c r="CV26" i="48" s="1"/>
  <c r="CV22" i="48" a="1"/>
  <c r="CV22" i="48" s="1"/>
  <c r="CV16" i="48" a="1"/>
  <c r="CV16" i="48" s="1"/>
  <c r="CV11" i="48" a="1"/>
  <c r="CV11" i="48" s="1"/>
  <c r="CV12" i="48" a="1"/>
  <c r="CV12" i="48" s="1"/>
  <c r="CV7" i="48" a="1"/>
  <c r="CV7" i="48" s="1"/>
  <c r="CV2" i="48" a="1"/>
  <c r="CV2" i="48" s="1"/>
  <c r="CW1" i="48" a="1"/>
  <c r="CW1" i="48" s="1"/>
  <c r="CW50" i="48" l="1" a="1"/>
  <c r="CW50" i="48" s="1"/>
  <c r="CW47" i="48" a="1"/>
  <c r="CW47" i="48" s="1"/>
  <c r="CW40" i="48" a="1"/>
  <c r="CW40" i="48" s="1"/>
  <c r="CW38" i="48" a="1"/>
  <c r="CW38" i="48" s="1"/>
  <c r="CW34" i="48" a="1"/>
  <c r="CW34" i="48" s="1"/>
  <c r="CW29" i="48" a="1"/>
  <c r="CW29" i="48" s="1"/>
  <c r="CW23" i="48" a="1"/>
  <c r="CW23" i="48" s="1"/>
  <c r="CW26" i="48" a="1"/>
  <c r="CW26" i="48" s="1"/>
  <c r="CW17" i="48" a="1"/>
  <c r="CW17" i="48" s="1"/>
  <c r="CW14" i="48" a="1"/>
  <c r="CW14" i="48" s="1"/>
  <c r="CW11" i="48" a="1"/>
  <c r="CW11" i="48" s="1"/>
  <c r="CW3" i="48" a="1"/>
  <c r="CW3" i="48" s="1"/>
  <c r="CW5" i="48" a="1"/>
  <c r="CW5" i="48" s="1"/>
  <c r="CW48" i="48" a="1"/>
  <c r="CW48" i="48" s="1"/>
  <c r="CW45" i="48" a="1"/>
  <c r="CW45" i="48" s="1"/>
  <c r="CW41" i="48" a="1"/>
  <c r="CW41" i="48" s="1"/>
  <c r="CW36" i="48" a="1"/>
  <c r="CW36" i="48" s="1"/>
  <c r="CW28" i="48" a="1"/>
  <c r="CW28" i="48" s="1"/>
  <c r="CW31" i="48" a="1"/>
  <c r="CW31" i="48" s="1"/>
  <c r="CW22" i="48" a="1"/>
  <c r="CW22" i="48" s="1"/>
  <c r="CW20" i="48" a="1"/>
  <c r="CW20" i="48" s="1"/>
  <c r="CW15" i="48" a="1"/>
  <c r="CW15" i="48" s="1"/>
  <c r="CW10" i="48" a="1"/>
  <c r="CW10" i="48" s="1"/>
  <c r="CW8" i="48" a="1"/>
  <c r="CW8" i="48" s="1"/>
  <c r="CW6" i="48" a="1"/>
  <c r="CW6" i="48" s="1"/>
  <c r="CW49" i="48" a="1"/>
  <c r="CW49" i="48" s="1"/>
  <c r="CW37" i="48" a="1"/>
  <c r="CW37" i="48" s="1"/>
  <c r="CW16" i="48" a="1"/>
  <c r="CW16" i="48" s="1"/>
  <c r="CW7" i="48" a="1"/>
  <c r="CW7" i="48" s="1"/>
  <c r="CW39" i="48" a="1"/>
  <c r="CW39" i="48" s="1"/>
  <c r="CW27" i="48" a="1"/>
  <c r="CW27" i="48" s="1"/>
  <c r="CW2" i="48" a="1"/>
  <c r="CW2" i="48" s="1"/>
  <c r="CW46" i="48" a="1"/>
  <c r="CW46" i="48" s="1"/>
  <c r="CW24" i="48" a="1"/>
  <c r="CW24" i="48" s="1"/>
  <c r="CW18" i="48" a="1"/>
  <c r="CW18" i="48" s="1"/>
  <c r="CW44" i="48" a="1"/>
  <c r="CW44" i="48" s="1"/>
  <c r="CW35" i="48" a="1"/>
  <c r="CW35" i="48" s="1"/>
  <c r="CW12" i="48" a="1"/>
  <c r="CW12" i="48" s="1"/>
  <c r="CW4" i="48" a="1"/>
  <c r="CW4" i="48" s="1"/>
  <c r="CW33" i="48" a="1"/>
  <c r="CW33" i="48" s="1"/>
  <c r="CW25" i="48" a="1"/>
  <c r="CW25" i="48" s="1"/>
  <c r="CW43" i="48" a="1"/>
  <c r="CW43" i="48" s="1"/>
  <c r="CW21" i="48" a="1"/>
  <c r="CW21" i="48" s="1"/>
  <c r="CW13" i="48" a="1"/>
  <c r="CW13" i="48" s="1"/>
  <c r="CW42" i="48" a="1"/>
  <c r="CW42" i="48" s="1"/>
  <c r="CW32" i="48" a="1"/>
  <c r="CW32" i="48" s="1"/>
  <c r="CW9" i="48" a="1"/>
  <c r="CW9" i="48" s="1"/>
  <c r="CW51" i="48" a="1"/>
  <c r="CW51" i="48" s="1"/>
  <c r="CW30" i="48" a="1"/>
  <c r="CW30" i="48" s="1"/>
  <c r="CW19" i="48" a="1"/>
  <c r="CW19" i="48" s="1"/>
  <c r="CX1" i="48" a="1"/>
  <c r="CX1" i="48" s="1"/>
  <c r="CX49" i="48" l="1" a="1"/>
  <c r="CX49" i="48" s="1"/>
  <c r="CX41" i="48" a="1"/>
  <c r="CX41" i="48" s="1"/>
  <c r="CX34" i="48" a="1"/>
  <c r="CX34" i="48" s="1"/>
  <c r="CX22" i="48" a="1"/>
  <c r="CX22" i="48" s="1"/>
  <c r="CX18" i="48" a="1"/>
  <c r="CX18" i="48" s="1"/>
  <c r="CX13" i="48" a="1"/>
  <c r="CX13" i="48" s="1"/>
  <c r="CX7" i="48" a="1"/>
  <c r="CX7" i="48" s="1"/>
  <c r="CX47" i="48" a="1"/>
  <c r="CX47" i="48" s="1"/>
  <c r="CX33" i="48" a="1"/>
  <c r="CX33" i="48" s="1"/>
  <c r="CX29" i="48" a="1"/>
  <c r="CX29" i="48" s="1"/>
  <c r="CX21" i="48" a="1"/>
  <c r="CX21" i="48" s="1"/>
  <c r="CX14" i="48" a="1"/>
  <c r="CX14" i="48" s="1"/>
  <c r="CX46" i="48" a="1"/>
  <c r="CX46" i="48" s="1"/>
  <c r="CX40" i="48" a="1"/>
  <c r="CX40" i="48" s="1"/>
  <c r="CX35" i="48" a="1"/>
  <c r="CX35" i="48" s="1"/>
  <c r="CX24" i="48" a="1"/>
  <c r="CX24" i="48" s="1"/>
  <c r="CX12" i="48" a="1"/>
  <c r="CX12" i="48" s="1"/>
  <c r="CX11" i="48" a="1"/>
  <c r="CX11" i="48" s="1"/>
  <c r="CX3" i="48" a="1"/>
  <c r="CX3" i="48" s="1"/>
  <c r="CX45" i="48" a="1"/>
  <c r="CX45" i="48" s="1"/>
  <c r="CX38" i="48" a="1"/>
  <c r="CX38" i="48" s="1"/>
  <c r="CX25" i="48" a="1"/>
  <c r="CX25" i="48" s="1"/>
  <c r="CX20" i="48" a="1"/>
  <c r="CX20" i="48" s="1"/>
  <c r="CX10" i="48" a="1"/>
  <c r="CX10" i="48" s="1"/>
  <c r="CX6" i="48" a="1"/>
  <c r="CX6" i="48" s="1"/>
  <c r="CX51" i="48" a="1"/>
  <c r="CX51" i="48" s="1"/>
  <c r="CX39" i="48" a="1"/>
  <c r="CX39" i="48" s="1"/>
  <c r="CX32" i="48" a="1"/>
  <c r="CX32" i="48" s="1"/>
  <c r="CX26" i="48" a="1"/>
  <c r="CX26" i="48" s="1"/>
  <c r="CX19" i="48" a="1"/>
  <c r="CX19" i="48" s="1"/>
  <c r="CX4" i="48" a="1"/>
  <c r="CX4" i="48" s="1"/>
  <c r="CX50" i="48" a="1"/>
  <c r="CX50" i="48" s="1"/>
  <c r="CX43" i="48" a="1"/>
  <c r="CX43" i="48" s="1"/>
  <c r="CX36" i="48" a="1"/>
  <c r="CX36" i="48" s="1"/>
  <c r="CX30" i="48" a="1"/>
  <c r="CX30" i="48" s="1"/>
  <c r="CX17" i="48" a="1"/>
  <c r="CX17" i="48" s="1"/>
  <c r="CX9" i="48" a="1"/>
  <c r="CX9" i="48" s="1"/>
  <c r="CX5" i="48" a="1"/>
  <c r="CX5" i="48" s="1"/>
  <c r="CX48" i="48" a="1"/>
  <c r="CX48" i="48" s="1"/>
  <c r="CX44" i="48" a="1"/>
  <c r="CX44" i="48" s="1"/>
  <c r="CX31" i="48" a="1"/>
  <c r="CX31" i="48" s="1"/>
  <c r="CX27" i="48" a="1"/>
  <c r="CX27" i="48" s="1"/>
  <c r="CX16" i="48" a="1"/>
  <c r="CX16" i="48" s="1"/>
  <c r="CX8" i="48" a="1"/>
  <c r="CX8" i="48" s="1"/>
  <c r="CX23" i="48" a="1"/>
  <c r="CX23" i="48" s="1"/>
  <c r="CX15" i="48" a="1"/>
  <c r="CX15" i="48" s="1"/>
  <c r="CX2" i="48" a="1"/>
  <c r="CX2" i="48" s="1"/>
  <c r="CX42" i="48" a="1"/>
  <c r="CX42" i="48" s="1"/>
  <c r="CX37" i="48" a="1"/>
  <c r="CX37" i="48" s="1"/>
  <c r="CX28" i="48" a="1"/>
  <c r="CX28" i="48" s="1"/>
  <c r="CY1" i="48" a="1"/>
  <c r="CY1" i="48" s="1"/>
  <c r="CY51" i="48" l="1" a="1"/>
  <c r="CY51" i="48" s="1"/>
  <c r="CY40" i="48" a="1"/>
  <c r="CY40" i="48" s="1"/>
  <c r="CY35" i="48" a="1"/>
  <c r="CY35" i="48" s="1"/>
  <c r="CY22" i="48" a="1"/>
  <c r="CY22" i="48" s="1"/>
  <c r="CY18" i="48" a="1"/>
  <c r="CY18" i="48" s="1"/>
  <c r="CY8" i="48" a="1"/>
  <c r="CY8" i="48" s="1"/>
  <c r="CY7" i="48" a="1"/>
  <c r="CY7" i="48" s="1"/>
  <c r="CY50" i="48" a="1"/>
  <c r="CY50" i="48" s="1"/>
  <c r="CY43" i="48" a="1"/>
  <c r="CY43" i="48" s="1"/>
  <c r="CY33" i="48" a="1"/>
  <c r="CY33" i="48" s="1"/>
  <c r="CY32" i="48" a="1"/>
  <c r="CY32" i="48" s="1"/>
  <c r="CY16" i="48" a="1"/>
  <c r="CY16" i="48" s="1"/>
  <c r="CY11" i="48" a="1"/>
  <c r="CY11" i="48" s="1"/>
  <c r="CY4" i="48" a="1"/>
  <c r="CY4" i="48" s="1"/>
  <c r="CY44" i="48" a="1"/>
  <c r="CY44" i="48" s="1"/>
  <c r="CY36" i="48" a="1"/>
  <c r="CY36" i="48" s="1"/>
  <c r="CY30" i="48" a="1"/>
  <c r="CY30" i="48" s="1"/>
  <c r="CY24" i="48" a="1"/>
  <c r="CY24" i="48" s="1"/>
  <c r="CY14" i="48" a="1"/>
  <c r="CY14" i="48" s="1"/>
  <c r="CY6" i="48" a="1"/>
  <c r="CY6" i="48" s="1"/>
  <c r="CY49" i="48" a="1"/>
  <c r="CY49" i="48" s="1"/>
  <c r="CY39" i="48" a="1"/>
  <c r="CY39" i="48" s="1"/>
  <c r="CY34" i="48" a="1"/>
  <c r="CY34" i="48" s="1"/>
  <c r="CY25" i="48" a="1"/>
  <c r="CY25" i="48" s="1"/>
  <c r="CY15" i="48" a="1"/>
  <c r="CY15" i="48" s="1"/>
  <c r="CY5" i="48" a="1"/>
  <c r="CY5" i="48" s="1"/>
  <c r="CY48" i="48" a="1"/>
  <c r="CY48" i="48" s="1"/>
  <c r="CY45" i="48" a="1"/>
  <c r="CY45" i="48" s="1"/>
  <c r="CY31" i="48" a="1"/>
  <c r="CY31" i="48" s="1"/>
  <c r="CY26" i="48" a="1"/>
  <c r="CY26" i="48" s="1"/>
  <c r="CY19" i="48" a="1"/>
  <c r="CY19" i="48" s="1"/>
  <c r="CY12" i="48" a="1"/>
  <c r="CY12" i="48" s="1"/>
  <c r="CY42" i="48" a="1"/>
  <c r="CY42" i="48" s="1"/>
  <c r="CY37" i="48" a="1"/>
  <c r="CY37" i="48" s="1"/>
  <c r="CY27" i="48" a="1"/>
  <c r="CY27" i="48" s="1"/>
  <c r="CY21" i="48" a="1"/>
  <c r="CY21" i="48" s="1"/>
  <c r="CY10" i="48" a="1"/>
  <c r="CY10" i="48" s="1"/>
  <c r="CY2" i="48" a="1"/>
  <c r="CY2" i="48" s="1"/>
  <c r="CY47" i="48" a="1"/>
  <c r="CY47" i="48" s="1"/>
  <c r="CY38" i="48" a="1"/>
  <c r="CY38" i="48" s="1"/>
  <c r="CY28" i="48" a="1"/>
  <c r="CY28" i="48" s="1"/>
  <c r="CY20" i="48" a="1"/>
  <c r="CY20" i="48" s="1"/>
  <c r="CY17" i="48" a="1"/>
  <c r="CY17" i="48" s="1"/>
  <c r="CY3" i="48" a="1"/>
  <c r="CY3" i="48" s="1"/>
  <c r="CY29" i="48" a="1"/>
  <c r="CY29" i="48" s="1"/>
  <c r="CY23" i="48" a="1"/>
  <c r="CY23" i="48" s="1"/>
  <c r="CY13" i="48" a="1"/>
  <c r="CY13" i="48" s="1"/>
  <c r="CY9" i="48" a="1"/>
  <c r="CY9" i="48" s="1"/>
  <c r="CY46" i="48" a="1"/>
  <c r="CY46" i="48" s="1"/>
  <c r="CY41" i="48" a="1"/>
  <c r="CY41" i="48" s="1"/>
  <c r="CZ1" i="48" a="1"/>
  <c r="CZ1" i="48" s="1"/>
  <c r="CZ44" i="48" l="1" a="1"/>
  <c r="CZ44" i="48" s="1"/>
  <c r="CZ41" i="48" a="1"/>
  <c r="CZ41" i="48" s="1"/>
  <c r="CZ31" i="48" a="1"/>
  <c r="CZ31" i="48" s="1"/>
  <c r="CZ25" i="48" a="1"/>
  <c r="CZ25" i="48" s="1"/>
  <c r="CZ15" i="48" a="1"/>
  <c r="CZ15" i="48" s="1"/>
  <c r="CZ10" i="48" a="1"/>
  <c r="CZ10" i="48" s="1"/>
  <c r="CZ50" i="48" a="1"/>
  <c r="CZ50" i="48" s="1"/>
  <c r="CZ39" i="48" a="1"/>
  <c r="CZ39" i="48" s="1"/>
  <c r="CZ35" i="48" a="1"/>
  <c r="CZ35" i="48" s="1"/>
  <c r="CZ26" i="48" a="1"/>
  <c r="CZ26" i="48" s="1"/>
  <c r="CZ16" i="48" a="1"/>
  <c r="CZ16" i="48" s="1"/>
  <c r="CZ7" i="48" a="1"/>
  <c r="CZ7" i="48" s="1"/>
  <c r="CZ3" i="48" a="1"/>
  <c r="CZ3" i="48" s="1"/>
  <c r="CZ49" i="48" a="1"/>
  <c r="CZ49" i="48" s="1"/>
  <c r="CZ45" i="48" a="1"/>
  <c r="CZ45" i="48" s="1"/>
  <c r="CZ34" i="48" a="1"/>
  <c r="CZ34" i="48" s="1"/>
  <c r="CZ28" i="48" a="1"/>
  <c r="CZ28" i="48" s="1"/>
  <c r="CZ19" i="48" a="1"/>
  <c r="CZ19" i="48" s="1"/>
  <c r="CZ9" i="48" a="1"/>
  <c r="CZ9" i="48" s="1"/>
  <c r="CZ43" i="48" a="1"/>
  <c r="CZ43" i="48" s="1"/>
  <c r="CZ37" i="48" a="1"/>
  <c r="CZ37" i="48" s="1"/>
  <c r="CZ27" i="48" a="1"/>
  <c r="CZ27" i="48" s="1"/>
  <c r="CZ22" i="48" a="1"/>
  <c r="CZ22" i="48" s="1"/>
  <c r="CZ8" i="48" a="1"/>
  <c r="CZ8" i="48" s="1"/>
  <c r="CZ4" i="48" a="1"/>
  <c r="CZ4" i="48" s="1"/>
  <c r="CZ48" i="48" a="1"/>
  <c r="CZ48" i="48" s="1"/>
  <c r="CZ38" i="48" a="1"/>
  <c r="CZ38" i="48" s="1"/>
  <c r="CZ29" i="48" a="1"/>
  <c r="CZ29" i="48" s="1"/>
  <c r="CZ21" i="48" a="1"/>
  <c r="CZ21" i="48" s="1"/>
  <c r="CZ17" i="48" a="1"/>
  <c r="CZ17" i="48" s="1"/>
  <c r="CZ2" i="48" a="1"/>
  <c r="CZ2" i="48" s="1"/>
  <c r="CZ46" i="48" a="1"/>
  <c r="CZ46" i="48" s="1"/>
  <c r="CZ42" i="48" a="1"/>
  <c r="CZ42" i="48" s="1"/>
  <c r="CZ30" i="48" a="1"/>
  <c r="CZ30" i="48" s="1"/>
  <c r="CZ23" i="48" a="1"/>
  <c r="CZ23" i="48" s="1"/>
  <c r="CZ13" i="48" a="1"/>
  <c r="CZ13" i="48" s="1"/>
  <c r="CZ14" i="48" a="1"/>
  <c r="CZ14" i="48" s="1"/>
  <c r="CZ40" i="48" a="1"/>
  <c r="CZ40" i="48" s="1"/>
  <c r="CZ36" i="48" a="1"/>
  <c r="CZ36" i="48" s="1"/>
  <c r="CZ24" i="48" a="1"/>
  <c r="CZ24" i="48" s="1"/>
  <c r="CZ20" i="48" a="1"/>
  <c r="CZ20" i="48" s="1"/>
  <c r="CZ12" i="48" a="1"/>
  <c r="CZ12" i="48" s="1"/>
  <c r="CZ6" i="48" a="1"/>
  <c r="CZ6" i="48" s="1"/>
  <c r="CZ51" i="48" a="1"/>
  <c r="CZ51" i="48" s="1"/>
  <c r="CZ47" i="48" a="1"/>
  <c r="CZ47" i="48" s="1"/>
  <c r="CZ5" i="48" a="1"/>
  <c r="CZ5" i="48" s="1"/>
  <c r="CZ33" i="48" a="1"/>
  <c r="CZ33" i="48" s="1"/>
  <c r="CZ32" i="48" a="1"/>
  <c r="CZ32" i="48" s="1"/>
  <c r="CZ18" i="48" a="1"/>
  <c r="CZ18" i="48" s="1"/>
  <c r="CZ11" i="48" a="1"/>
  <c r="CZ11" i="48" s="1"/>
  <c r="DA1" i="48" a="1"/>
  <c r="DA1" i="48" s="1"/>
  <c r="DA50" i="48" l="1" a="1"/>
  <c r="DA50" i="48" s="1"/>
  <c r="DA43" i="48" a="1"/>
  <c r="DA43" i="48" s="1"/>
  <c r="DA33" i="48" a="1"/>
  <c r="DA33" i="48" s="1"/>
  <c r="DA28" i="48" a="1"/>
  <c r="DA28" i="48" s="1"/>
  <c r="DA17" i="48" a="1"/>
  <c r="DA17" i="48" s="1"/>
  <c r="DA12" i="48" a="1"/>
  <c r="DA12" i="48" s="1"/>
  <c r="DA6" i="48" a="1"/>
  <c r="DA6" i="48" s="1"/>
  <c r="DA44" i="48" a="1"/>
  <c r="DA44" i="48" s="1"/>
  <c r="DA38" i="48" a="1"/>
  <c r="DA38" i="48" s="1"/>
  <c r="DA29" i="48" a="1"/>
  <c r="DA29" i="48" s="1"/>
  <c r="DA23" i="48" a="1"/>
  <c r="DA23" i="48" s="1"/>
  <c r="DA10" i="48" a="1"/>
  <c r="DA10" i="48" s="1"/>
  <c r="DA7" i="48" a="1"/>
  <c r="DA7" i="48" s="1"/>
  <c r="DA49" i="48" a="1"/>
  <c r="DA49" i="48" s="1"/>
  <c r="DA36" i="48" a="1"/>
  <c r="DA36" i="48" s="1"/>
  <c r="DA35" i="48" a="1"/>
  <c r="DA35" i="48" s="1"/>
  <c r="DA24" i="48" a="1"/>
  <c r="DA24" i="48" s="1"/>
  <c r="DA16" i="48" a="1"/>
  <c r="DA16" i="48" s="1"/>
  <c r="DA4" i="48" a="1"/>
  <c r="DA4" i="48" s="1"/>
  <c r="DA48" i="48" a="1"/>
  <c r="DA48" i="48" s="1"/>
  <c r="DA45" i="48" a="1"/>
  <c r="DA45" i="48" s="1"/>
  <c r="DA30" i="48" a="1"/>
  <c r="DA30" i="48" s="1"/>
  <c r="DA25" i="48" a="1"/>
  <c r="DA25" i="48" s="1"/>
  <c r="DA15" i="48" a="1"/>
  <c r="DA15" i="48" s="1"/>
  <c r="DA13" i="48" a="1"/>
  <c r="DA13" i="48" s="1"/>
  <c r="DA41" i="48" a="1"/>
  <c r="DA41" i="48" s="1"/>
  <c r="DA37" i="48" a="1"/>
  <c r="DA37" i="48" s="1"/>
  <c r="DA26" i="48" a="1"/>
  <c r="DA26" i="48" s="1"/>
  <c r="DA21" i="48" a="1"/>
  <c r="DA21" i="48" s="1"/>
  <c r="DA11" i="48" a="1"/>
  <c r="DA11" i="48" s="1"/>
  <c r="DA5" i="48" a="1"/>
  <c r="DA5" i="48" s="1"/>
  <c r="DA46" i="48" a="1"/>
  <c r="DA46" i="48" s="1"/>
  <c r="DA39" i="48" a="1"/>
  <c r="DA39" i="48" s="1"/>
  <c r="DA32" i="48" a="1"/>
  <c r="DA32" i="48" s="1"/>
  <c r="DA20" i="48" a="1"/>
  <c r="DA20" i="48" s="1"/>
  <c r="DA18" i="48" a="1"/>
  <c r="DA18" i="48" s="1"/>
  <c r="DA3" i="48" a="1"/>
  <c r="DA3" i="48" s="1"/>
  <c r="DA47" i="48" a="1"/>
  <c r="DA47" i="48" s="1"/>
  <c r="DA42" i="48" a="1"/>
  <c r="DA42" i="48" s="1"/>
  <c r="DA31" i="48" a="1"/>
  <c r="DA31" i="48" s="1"/>
  <c r="DA22" i="48" a="1"/>
  <c r="DA22" i="48" s="1"/>
  <c r="DA14" i="48" a="1"/>
  <c r="DA14" i="48" s="1"/>
  <c r="DA9" i="48" a="1"/>
  <c r="DA9" i="48" s="1"/>
  <c r="DA27" i="48" a="1"/>
  <c r="DA27" i="48" s="1"/>
  <c r="DA19" i="48" a="1"/>
  <c r="DA19" i="48" s="1"/>
  <c r="DA51" i="48" a="1"/>
  <c r="DA51" i="48" s="1"/>
  <c r="DA8" i="48" a="1"/>
  <c r="DA8" i="48" s="1"/>
  <c r="DA2" i="48" a="1"/>
  <c r="DA2" i="48" s="1"/>
  <c r="DA40" i="48" a="1"/>
  <c r="DA40" i="48" s="1"/>
  <c r="DA34" i="48" a="1"/>
  <c r="DA34" i="48" s="1"/>
  <c r="DB1" i="48" a="1"/>
  <c r="DB1" i="48" s="1"/>
  <c r="DB49" i="48" l="1" a="1"/>
  <c r="DB49" i="48" s="1"/>
  <c r="DB36" i="48" a="1"/>
  <c r="DB36" i="48" s="1"/>
  <c r="DB33" i="48" a="1"/>
  <c r="DB33" i="48" s="1"/>
  <c r="DB25" i="48" a="1"/>
  <c r="DB25" i="48" s="1"/>
  <c r="DB16" i="48" a="1"/>
  <c r="DB16" i="48" s="1"/>
  <c r="DB6" i="48" a="1"/>
  <c r="DB6" i="48" s="1"/>
  <c r="DB48" i="48" a="1"/>
  <c r="DB48" i="48" s="1"/>
  <c r="DB45" i="48" a="1"/>
  <c r="DB45" i="48" s="1"/>
  <c r="DB32" i="48" a="1"/>
  <c r="DB32" i="48" s="1"/>
  <c r="DB26" i="48" a="1"/>
  <c r="DB26" i="48" s="1"/>
  <c r="DB18" i="48" a="1"/>
  <c r="DB18" i="48" s="1"/>
  <c r="DB9" i="48" a="1"/>
  <c r="DB9" i="48" s="1"/>
  <c r="DB42" i="48" a="1"/>
  <c r="DB42" i="48" s="1"/>
  <c r="DB37" i="48" a="1"/>
  <c r="DB37" i="48" s="1"/>
  <c r="DB22" i="48" a="1"/>
  <c r="DB22" i="48" s="1"/>
  <c r="DB21" i="48" a="1"/>
  <c r="DB21" i="48" s="1"/>
  <c r="DB8" i="48" a="1"/>
  <c r="DB8" i="48" s="1"/>
  <c r="DB7" i="48" a="1"/>
  <c r="DB7" i="48" s="1"/>
  <c r="DB47" i="48" a="1"/>
  <c r="DB47" i="48" s="1"/>
  <c r="DB39" i="48" a="1"/>
  <c r="DB39" i="48" s="1"/>
  <c r="DB28" i="48" a="1"/>
  <c r="DB28" i="48" s="1"/>
  <c r="DB20" i="48" a="1"/>
  <c r="DB20" i="48" s="1"/>
  <c r="DB15" i="48" a="1"/>
  <c r="DB15" i="48" s="1"/>
  <c r="DB4" i="48" a="1"/>
  <c r="DB4" i="48" s="1"/>
  <c r="DB46" i="48" a="1"/>
  <c r="DB46" i="48" s="1"/>
  <c r="DB41" i="48" a="1"/>
  <c r="DB41" i="48" s="1"/>
  <c r="DB29" i="48" a="1"/>
  <c r="DB29" i="48" s="1"/>
  <c r="DB27" i="48" a="1"/>
  <c r="DB27" i="48" s="1"/>
  <c r="DB14" i="48" a="1"/>
  <c r="DB14" i="48" s="1"/>
  <c r="DB13" i="48" a="1"/>
  <c r="DB13" i="48" s="1"/>
  <c r="DB51" i="48" a="1"/>
  <c r="DB51" i="48" s="1"/>
  <c r="DB40" i="48" a="1"/>
  <c r="DB40" i="48" s="1"/>
  <c r="DB35" i="48" a="1"/>
  <c r="DB35" i="48" s="1"/>
  <c r="DB23" i="48" a="1"/>
  <c r="DB23" i="48" s="1"/>
  <c r="DB19" i="48" a="1"/>
  <c r="DB19" i="48" s="1"/>
  <c r="DB11" i="48" a="1"/>
  <c r="DB11" i="48" s="1"/>
  <c r="DB3" i="48" a="1"/>
  <c r="DB3" i="48" s="1"/>
  <c r="DB50" i="48" a="1"/>
  <c r="DB50" i="48" s="1"/>
  <c r="DB43" i="48" a="1"/>
  <c r="DB43" i="48" s="1"/>
  <c r="DB34" i="48" a="1"/>
  <c r="DB34" i="48" s="1"/>
  <c r="DB30" i="48" a="1"/>
  <c r="DB30" i="48" s="1"/>
  <c r="DB17" i="48" a="1"/>
  <c r="DB17" i="48" s="1"/>
  <c r="DB12" i="48" a="1"/>
  <c r="DB12" i="48" s="1"/>
  <c r="DB2" i="48" a="1"/>
  <c r="DB2" i="48" s="1"/>
  <c r="DB38" i="48" a="1"/>
  <c r="DB38" i="48" s="1"/>
  <c r="DB31" i="48" a="1"/>
  <c r="DB31" i="48" s="1"/>
  <c r="DB24" i="48" a="1"/>
  <c r="DB24" i="48" s="1"/>
  <c r="DB10" i="48" a="1"/>
  <c r="DB10" i="48" s="1"/>
  <c r="DB5" i="48" a="1"/>
  <c r="DB5" i="48" s="1"/>
  <c r="DB44" i="48" a="1"/>
  <c r="DB44" i="48" s="1"/>
  <c r="DC1" i="48" a="1"/>
  <c r="DC1" i="48" s="1"/>
  <c r="DC42" i="48" l="1" a="1"/>
  <c r="DC42" i="48" s="1"/>
  <c r="DC37" i="48" a="1"/>
  <c r="DC37" i="48" s="1"/>
  <c r="DC26" i="48" a="1"/>
  <c r="DC26" i="48" s="1"/>
  <c r="DC20" i="48" a="1"/>
  <c r="DC20" i="48" s="1"/>
  <c r="DC10" i="48" a="1"/>
  <c r="DC10" i="48" s="1"/>
  <c r="DC3" i="48" a="1"/>
  <c r="DC3" i="48" s="1"/>
  <c r="DC51" i="48" a="1"/>
  <c r="DC51" i="48" s="1"/>
  <c r="DC46" i="48" a="1"/>
  <c r="DC46" i="48" s="1"/>
  <c r="DC35" i="48" a="1"/>
  <c r="DC35" i="48" s="1"/>
  <c r="DC31" i="48" a="1"/>
  <c r="DC31" i="48" s="1"/>
  <c r="DC18" i="48" a="1"/>
  <c r="DC18" i="48" s="1"/>
  <c r="DC9" i="48" a="1"/>
  <c r="DC9" i="48" s="1"/>
  <c r="DC7" i="48" a="1"/>
  <c r="DC7" i="48" s="1"/>
  <c r="DC45" i="48" a="1"/>
  <c r="DC45" i="48" s="1"/>
  <c r="DC41" i="48" a="1"/>
  <c r="DC41" i="48" s="1"/>
  <c r="DC32" i="48" a="1"/>
  <c r="DC32" i="48" s="1"/>
  <c r="DC22" i="48" a="1"/>
  <c r="DC22" i="48" s="1"/>
  <c r="DC13" i="48" a="1"/>
  <c r="DC13" i="48" s="1"/>
  <c r="DC8" i="48" a="1"/>
  <c r="DC8" i="48" s="1"/>
  <c r="DC50" i="48" a="1"/>
  <c r="DC50" i="48" s="1"/>
  <c r="DC39" i="48" a="1"/>
  <c r="DC39" i="48" s="1"/>
  <c r="DC34" i="48" a="1"/>
  <c r="DC34" i="48" s="1"/>
  <c r="DC27" i="48" a="1"/>
  <c r="DC27" i="48" s="1"/>
  <c r="DC16" i="48" a="1"/>
  <c r="DC16" i="48" s="1"/>
  <c r="DC6" i="48" a="1"/>
  <c r="DC6" i="48" s="1"/>
  <c r="DC5" i="48" a="1"/>
  <c r="DC5" i="48" s="1"/>
  <c r="DC48" i="48" a="1"/>
  <c r="DC48" i="48" s="1"/>
  <c r="DC43" i="48" a="1"/>
  <c r="DC43" i="48" s="1"/>
  <c r="DC33" i="48" a="1"/>
  <c r="DC33" i="48" s="1"/>
  <c r="DC28" i="48" a="1"/>
  <c r="DC28" i="48" s="1"/>
  <c r="DC15" i="48" a="1"/>
  <c r="DC15" i="48" s="1"/>
  <c r="DC11" i="48" a="1"/>
  <c r="DC11" i="48" s="1"/>
  <c r="DC44" i="48" a="1"/>
  <c r="DC44" i="48" s="1"/>
  <c r="DC36" i="48" a="1"/>
  <c r="DC36" i="48" s="1"/>
  <c r="DC24" i="48" a="1"/>
  <c r="DC24" i="48" s="1"/>
  <c r="DC23" i="48" a="1"/>
  <c r="DC23" i="48" s="1"/>
  <c r="DC14" i="48" a="1"/>
  <c r="DC14" i="48" s="1"/>
  <c r="DC2" i="48" a="1"/>
  <c r="DC2" i="48" s="1"/>
  <c r="DC49" i="48" a="1"/>
  <c r="DC49" i="48" s="1"/>
  <c r="DC38" i="48" a="1"/>
  <c r="DC38" i="48" s="1"/>
  <c r="DC29" i="48" a="1"/>
  <c r="DC29" i="48" s="1"/>
  <c r="DC21" i="48" a="1"/>
  <c r="DC21" i="48" s="1"/>
  <c r="DC19" i="48" a="1"/>
  <c r="DC19" i="48" s="1"/>
  <c r="DC4" i="48" a="1"/>
  <c r="DC4" i="48" s="1"/>
  <c r="DC47" i="48" a="1"/>
  <c r="DC47" i="48" s="1"/>
  <c r="DC40" i="48" a="1"/>
  <c r="DC40" i="48" s="1"/>
  <c r="DC30" i="48" a="1"/>
  <c r="DC30" i="48" s="1"/>
  <c r="DC25" i="48" a="1"/>
  <c r="DC25" i="48" s="1"/>
  <c r="DC17" i="48" a="1"/>
  <c r="DC17" i="48" s="1"/>
  <c r="DC12" i="48" a="1"/>
  <c r="DC12" i="48" s="1"/>
  <c r="DD1" i="48" a="1"/>
  <c r="DD1" i="48" s="1"/>
  <c r="DD44" i="48" l="1" a="1"/>
  <c r="DD44" i="48" s="1"/>
  <c r="DD49" i="48" a="1"/>
  <c r="DD49" i="48" s="1"/>
  <c r="DD39" i="48" a="1"/>
  <c r="DD39" i="48" s="1"/>
  <c r="DD34" i="48" a="1"/>
  <c r="DD34" i="48" s="1"/>
  <c r="DD28" i="48" a="1"/>
  <c r="DD28" i="48" s="1"/>
  <c r="DD25" i="48" a="1"/>
  <c r="DD25" i="48" s="1"/>
  <c r="DD23" i="48" a="1"/>
  <c r="DD23" i="48" s="1"/>
  <c r="DD18" i="48" a="1"/>
  <c r="DD18" i="48" s="1"/>
  <c r="DD13" i="48" a="1"/>
  <c r="DD13" i="48" s="1"/>
  <c r="DD12" i="48" a="1"/>
  <c r="DD12" i="48" s="1"/>
  <c r="DD4" i="48" a="1"/>
  <c r="DD4" i="48" s="1"/>
  <c r="DD6" i="48" a="1"/>
  <c r="DD6" i="48" s="1"/>
  <c r="DD48" i="48" a="1"/>
  <c r="DD48" i="48" s="1"/>
  <c r="DD45" i="48" a="1"/>
  <c r="DD45" i="48" s="1"/>
  <c r="DD41" i="48" a="1"/>
  <c r="DD41" i="48" s="1"/>
  <c r="DD36" i="48" a="1"/>
  <c r="DD36" i="48" s="1"/>
  <c r="DD35" i="48" a="1"/>
  <c r="DD35" i="48" s="1"/>
  <c r="DD32" i="48" a="1"/>
  <c r="DD32" i="48" s="1"/>
  <c r="DD26" i="48" a="1"/>
  <c r="DD26" i="48" s="1"/>
  <c r="DD24" i="48" a="1"/>
  <c r="DD24" i="48" s="1"/>
  <c r="DD16" i="48" a="1"/>
  <c r="DD16" i="48" s="1"/>
  <c r="DD11" i="48" a="1"/>
  <c r="DD11" i="48" s="1"/>
  <c r="DD10" i="48" a="1"/>
  <c r="DD10" i="48" s="1"/>
  <c r="DD7" i="48" a="1"/>
  <c r="DD7" i="48" s="1"/>
  <c r="DD3" i="48" a="1"/>
  <c r="DD3" i="48" s="1"/>
  <c r="DD47" i="48" a="1"/>
  <c r="DD47" i="48" s="1"/>
  <c r="DD46" i="48" a="1"/>
  <c r="DD46" i="48" s="1"/>
  <c r="DD42" i="48" a="1"/>
  <c r="DD42" i="48" s="1"/>
  <c r="DD38" i="48" a="1"/>
  <c r="DD38" i="48" s="1"/>
  <c r="DD33" i="48" a="1"/>
  <c r="DD33" i="48" s="1"/>
  <c r="DD29" i="48" a="1"/>
  <c r="DD29" i="48" s="1"/>
  <c r="DD22" i="48" a="1"/>
  <c r="DD22" i="48" s="1"/>
  <c r="DD21" i="48" a="1"/>
  <c r="DD21" i="48" s="1"/>
  <c r="DD19" i="48" a="1"/>
  <c r="DD19" i="48" s="1"/>
  <c r="DD8" i="48" a="1"/>
  <c r="DD8" i="48" s="1"/>
  <c r="DD9" i="48" a="1"/>
  <c r="DD9" i="48" s="1"/>
  <c r="DD5" i="48" a="1"/>
  <c r="DD5" i="48" s="1"/>
  <c r="DD51" i="48" a="1"/>
  <c r="DD51" i="48" s="1"/>
  <c r="DD20" i="48" a="1"/>
  <c r="DD20" i="48" s="1"/>
  <c r="DD50" i="48" a="1"/>
  <c r="DD50" i="48" s="1"/>
  <c r="DD17" i="48" a="1"/>
  <c r="DD17" i="48" s="1"/>
  <c r="DD43" i="48" a="1"/>
  <c r="DD43" i="48" s="1"/>
  <c r="DD14" i="48" a="1"/>
  <c r="DD14" i="48" s="1"/>
  <c r="DD40" i="48" a="1"/>
  <c r="DD40" i="48" s="1"/>
  <c r="DD15" i="48" a="1"/>
  <c r="DD15" i="48" s="1"/>
  <c r="DD37" i="48" a="1"/>
  <c r="DD37" i="48" s="1"/>
  <c r="DD2" i="48" a="1"/>
  <c r="DD2" i="48" s="1"/>
  <c r="DD31" i="48" a="1"/>
  <c r="DD31" i="48" s="1"/>
  <c r="DD30" i="48" a="1"/>
  <c r="DD30" i="48" s="1"/>
  <c r="DD27" i="48" a="1"/>
  <c r="DD27" i="48" s="1"/>
  <c r="DE1" i="48" a="1"/>
  <c r="DE1" i="48" s="1"/>
  <c r="DE50" i="48" l="1" a="1"/>
  <c r="DE50" i="48" s="1"/>
  <c r="DE46" i="48" a="1"/>
  <c r="DE46" i="48" s="1"/>
  <c r="DE42" i="48" a="1"/>
  <c r="DE42" i="48" s="1"/>
  <c r="DE38" i="48" a="1"/>
  <c r="DE38" i="48" s="1"/>
  <c r="DE33" i="48" a="1"/>
  <c r="DE33" i="48" s="1"/>
  <c r="DE29" i="48" a="1"/>
  <c r="DE29" i="48" s="1"/>
  <c r="DE23" i="48" a="1"/>
  <c r="DE23" i="48" s="1"/>
  <c r="DE22" i="48" a="1"/>
  <c r="DE22" i="48" s="1"/>
  <c r="DE17" i="48" a="1"/>
  <c r="DE17" i="48" s="1"/>
  <c r="DE14" i="48" a="1"/>
  <c r="DE14" i="48" s="1"/>
  <c r="DE13" i="48" a="1"/>
  <c r="DE13" i="48" s="1"/>
  <c r="DE3" i="48" a="1"/>
  <c r="DE3" i="48" s="1"/>
  <c r="DE5" i="48" a="1"/>
  <c r="DE5" i="48" s="1"/>
  <c r="DE49" i="48" a="1"/>
  <c r="DE49" i="48" s="1"/>
  <c r="DE44" i="48" a="1"/>
  <c r="DE44" i="48" s="1"/>
  <c r="DE40" i="48" a="1"/>
  <c r="DE40" i="48" s="1"/>
  <c r="DE39" i="48" a="1"/>
  <c r="DE39" i="48" s="1"/>
  <c r="DE35" i="48" a="1"/>
  <c r="DE35" i="48" s="1"/>
  <c r="DE30" i="48" a="1"/>
  <c r="DE30" i="48" s="1"/>
  <c r="DE24" i="48" a="1"/>
  <c r="DE24" i="48" s="1"/>
  <c r="DE21" i="48" a="1"/>
  <c r="DE21" i="48" s="1"/>
  <c r="DE16" i="48" a="1"/>
  <c r="DE16" i="48" s="1"/>
  <c r="DE12" i="48" a="1"/>
  <c r="DE12" i="48" s="1"/>
  <c r="DE11" i="48" a="1"/>
  <c r="DE11" i="48" s="1"/>
  <c r="DE2" i="48" a="1"/>
  <c r="DE2" i="48" s="1"/>
  <c r="DE47" i="48" a="1"/>
  <c r="DE47" i="48" s="1"/>
  <c r="DE45" i="48" a="1"/>
  <c r="DE45" i="48" s="1"/>
  <c r="DE41" i="48" a="1"/>
  <c r="DE41" i="48" s="1"/>
  <c r="DE36" i="48" a="1"/>
  <c r="DE36" i="48" s="1"/>
  <c r="DE28" i="48" a="1"/>
  <c r="DE28" i="48" s="1"/>
  <c r="DE31" i="48" a="1"/>
  <c r="DE31" i="48" s="1"/>
  <c r="DE25" i="48" a="1"/>
  <c r="DE25" i="48" s="1"/>
  <c r="DE20" i="48" a="1"/>
  <c r="DE20" i="48" s="1"/>
  <c r="DE15" i="48" a="1"/>
  <c r="DE15" i="48" s="1"/>
  <c r="DE10" i="48" a="1"/>
  <c r="DE10" i="48" s="1"/>
  <c r="DE8" i="48" a="1"/>
  <c r="DE8" i="48" s="1"/>
  <c r="DE6" i="48" a="1"/>
  <c r="DE6" i="48" s="1"/>
  <c r="DE37" i="48" a="1"/>
  <c r="DE37" i="48" s="1"/>
  <c r="DE7" i="48" a="1"/>
  <c r="DE7" i="48" s="1"/>
  <c r="DE34" i="48" a="1"/>
  <c r="DE34" i="48" s="1"/>
  <c r="DE4" i="48" a="1"/>
  <c r="DE4" i="48" s="1"/>
  <c r="DE32" i="48" a="1"/>
  <c r="DE32" i="48" s="1"/>
  <c r="DE27" i="48" a="1"/>
  <c r="DE27" i="48" s="1"/>
  <c r="DE26" i="48" a="1"/>
  <c r="DE26" i="48" s="1"/>
  <c r="DE51" i="48" a="1"/>
  <c r="DE51" i="48" s="1"/>
  <c r="DE19" i="48" a="1"/>
  <c r="DE19" i="48" s="1"/>
  <c r="DE18" i="48" a="1"/>
  <c r="DE18" i="48" s="1"/>
  <c r="DE9" i="48" a="1"/>
  <c r="DE9" i="48" s="1"/>
  <c r="DE48" i="48" a="1"/>
  <c r="DE48" i="48" s="1"/>
  <c r="DE43" i="48" a="1"/>
  <c r="DE43" i="48" s="1"/>
  <c r="DF1" i="48" a="1"/>
  <c r="DF1" i="48" s="1"/>
  <c r="DF48" i="48" l="1" a="1"/>
  <c r="DF48" i="48" s="1"/>
  <c r="DF45" i="48" a="1"/>
  <c r="DF45" i="48" s="1"/>
  <c r="DF40" i="48" a="1"/>
  <c r="DF40" i="48" s="1"/>
  <c r="DF36" i="48" a="1"/>
  <c r="DF36" i="48" s="1"/>
  <c r="DF34" i="48" a="1"/>
  <c r="DF34" i="48" s="1"/>
  <c r="DF28" i="48" a="1"/>
  <c r="DF28" i="48" s="1"/>
  <c r="DF26" i="48" a="1"/>
  <c r="DF26" i="48" s="1"/>
  <c r="DF21" i="48" a="1"/>
  <c r="DF21" i="48" s="1"/>
  <c r="DF16" i="48" a="1"/>
  <c r="DF16" i="48" s="1"/>
  <c r="DF10" i="48" a="1"/>
  <c r="DF10" i="48" s="1"/>
  <c r="DF11" i="48" a="1"/>
  <c r="DF11" i="48" s="1"/>
  <c r="DF49" i="48" a="1"/>
  <c r="DF49" i="48" s="1"/>
  <c r="DF43" i="48" a="1"/>
  <c r="DF43" i="48" s="1"/>
  <c r="DF42" i="48" a="1"/>
  <c r="DF42" i="48" s="1"/>
  <c r="DF37" i="48" a="1"/>
  <c r="DF37" i="48" s="1"/>
  <c r="DF32" i="48" a="1"/>
  <c r="DF32" i="48" s="1"/>
  <c r="DF29" i="48" a="1"/>
  <c r="DF29" i="48" s="1"/>
  <c r="DF22" i="48" a="1"/>
  <c r="DF22" i="48" s="1"/>
  <c r="DF20" i="48" a="1"/>
  <c r="DF20" i="48" s="1"/>
  <c r="DF18" i="48" a="1"/>
  <c r="DF18" i="48" s="1"/>
  <c r="DF8" i="48" a="1"/>
  <c r="DF8" i="48" s="1"/>
  <c r="DF9" i="48" a="1"/>
  <c r="DF9" i="48" s="1"/>
  <c r="DF7" i="48" a="1"/>
  <c r="DF7" i="48" s="1"/>
  <c r="DF50" i="48" a="1"/>
  <c r="DF50" i="48" s="1"/>
  <c r="DF47" i="48" a="1"/>
  <c r="DF47" i="48" s="1"/>
  <c r="DF44" i="48" a="1"/>
  <c r="DF44" i="48" s="1"/>
  <c r="DF38" i="48" a="1"/>
  <c r="DF38" i="48" s="1"/>
  <c r="DF33" i="48" a="1"/>
  <c r="DF33" i="48" s="1"/>
  <c r="DF30" i="48" a="1"/>
  <c r="DF30" i="48" s="1"/>
  <c r="DF24" i="48" a="1"/>
  <c r="DF24" i="48" s="1"/>
  <c r="DF27" i="48" a="1"/>
  <c r="DF27" i="48" s="1"/>
  <c r="DF19" i="48" a="1"/>
  <c r="DF19" i="48" s="1"/>
  <c r="DF14" i="48" a="1"/>
  <c r="DF14" i="48" s="1"/>
  <c r="DF15" i="48" a="1"/>
  <c r="DF15" i="48" s="1"/>
  <c r="DF25" i="48" a="1"/>
  <c r="DF25" i="48" s="1"/>
  <c r="DF3" i="48" a="1"/>
  <c r="DF3" i="48" s="1"/>
  <c r="DF23" i="48" a="1"/>
  <c r="DF23" i="48" s="1"/>
  <c r="DF2" i="48" a="1"/>
  <c r="DF2" i="48" s="1"/>
  <c r="DF51" i="48" a="1"/>
  <c r="DF51" i="48" s="1"/>
  <c r="DF17" i="48" a="1"/>
  <c r="DF17" i="48" s="1"/>
  <c r="DF46" i="48" a="1"/>
  <c r="DF46" i="48" s="1"/>
  <c r="DF12" i="48" a="1"/>
  <c r="DF12" i="48" s="1"/>
  <c r="DF41" i="48" a="1"/>
  <c r="DF41" i="48" s="1"/>
  <c r="DF13" i="48" a="1"/>
  <c r="DF13" i="48" s="1"/>
  <c r="DF39" i="48" a="1"/>
  <c r="DF39" i="48" s="1"/>
  <c r="DF6" i="48" a="1"/>
  <c r="DF6" i="48" s="1"/>
  <c r="DF35" i="48" a="1"/>
  <c r="DF35" i="48" s="1"/>
  <c r="DF31" i="48" a="1"/>
  <c r="DF31" i="48" s="1"/>
  <c r="DF4" i="48" a="1"/>
  <c r="DF4" i="48" s="1"/>
  <c r="DF5" i="48" a="1"/>
  <c r="DF5" i="48" s="1"/>
  <c r="DG1" i="48" a="1"/>
  <c r="DG1" i="48" s="1"/>
  <c r="DG51" i="48" l="1" a="1"/>
  <c r="DG51" i="48" s="1"/>
  <c r="DG47" i="48" a="1"/>
  <c r="DG47" i="48" s="1"/>
  <c r="DG45" i="48" a="1"/>
  <c r="DG45" i="48" s="1"/>
  <c r="DG36" i="48" a="1"/>
  <c r="DG36" i="48" s="1"/>
  <c r="DG35" i="48" a="1"/>
  <c r="DG35" i="48" s="1"/>
  <c r="DG28" i="48" a="1"/>
  <c r="DG28" i="48" s="1"/>
  <c r="DG26" i="48" a="1"/>
  <c r="DG26" i="48" s="1"/>
  <c r="DG24" i="48" a="1"/>
  <c r="DG24" i="48" s="1"/>
  <c r="DG18" i="48" a="1"/>
  <c r="DG18" i="48" s="1"/>
  <c r="DG17" i="48" a="1"/>
  <c r="DG17" i="48" s="1"/>
  <c r="DG14" i="48" a="1"/>
  <c r="DG14" i="48" s="1"/>
  <c r="DG6" i="48" a="1"/>
  <c r="DG6" i="48" s="1"/>
  <c r="DG7" i="48" a="1"/>
  <c r="DG7" i="48" s="1"/>
  <c r="DG44" i="48" a="1"/>
  <c r="DG44" i="48" s="1"/>
  <c r="DG33" i="48" a="1"/>
  <c r="DG33" i="48" s="1"/>
  <c r="DG25" i="48" a="1"/>
  <c r="DG25" i="48" s="1"/>
  <c r="DG9" i="48" a="1"/>
  <c r="DG9" i="48" s="1"/>
  <c r="DG42" i="48" a="1"/>
  <c r="DG42" i="48" s="1"/>
  <c r="DG31" i="48" a="1"/>
  <c r="DG31" i="48" s="1"/>
  <c r="DG21" i="48" a="1"/>
  <c r="DG21" i="48" s="1"/>
  <c r="DG12" i="48" a="1"/>
  <c r="DG12" i="48" s="1"/>
  <c r="DG40" i="48" a="1"/>
  <c r="DG40" i="48" s="1"/>
  <c r="DG29" i="48" a="1"/>
  <c r="DG29" i="48" s="1"/>
  <c r="DG20" i="48" a="1"/>
  <c r="DG20" i="48" s="1"/>
  <c r="DG10" i="48" a="1"/>
  <c r="DG10" i="48" s="1"/>
  <c r="DG50" i="48" a="1"/>
  <c r="DG50" i="48" s="1"/>
  <c r="DG41" i="48" a="1"/>
  <c r="DG41" i="48" s="1"/>
  <c r="DG32" i="48" a="1"/>
  <c r="DG32" i="48" s="1"/>
  <c r="DG16" i="48" a="1"/>
  <c r="DG16" i="48" s="1"/>
  <c r="DG8" i="48" a="1"/>
  <c r="DG8" i="48" s="1"/>
  <c r="DG49" i="48" a="1"/>
  <c r="DG49" i="48" s="1"/>
  <c r="DG39" i="48" a="1"/>
  <c r="DG39" i="48" s="1"/>
  <c r="DG30" i="48" a="1"/>
  <c r="DG30" i="48" s="1"/>
  <c r="DG15" i="48" a="1"/>
  <c r="DG15" i="48" s="1"/>
  <c r="DG5" i="48" a="1"/>
  <c r="DG5" i="48" s="1"/>
  <c r="DG48" i="48" a="1"/>
  <c r="DG48" i="48" s="1"/>
  <c r="DG37" i="48" a="1"/>
  <c r="DG37" i="48" s="1"/>
  <c r="DG22" i="48" a="1"/>
  <c r="DG22" i="48" s="1"/>
  <c r="DG19" i="48" a="1"/>
  <c r="DG19" i="48" s="1"/>
  <c r="DG2" i="48" a="1"/>
  <c r="DG2" i="48" s="1"/>
  <c r="DG38" i="48" a="1"/>
  <c r="DG38" i="48" s="1"/>
  <c r="DG34" i="48" a="1"/>
  <c r="DG34" i="48" s="1"/>
  <c r="DG27" i="48" a="1"/>
  <c r="DG27" i="48" s="1"/>
  <c r="DG23" i="48" a="1"/>
  <c r="DG23" i="48" s="1"/>
  <c r="DG13" i="48" a="1"/>
  <c r="DG13" i="48" s="1"/>
  <c r="DG11" i="48" a="1"/>
  <c r="DG11" i="48" s="1"/>
  <c r="DG3" i="48" a="1"/>
  <c r="DG3" i="48" s="1"/>
  <c r="DG4" i="48" a="1"/>
  <c r="DG4" i="48" s="1"/>
  <c r="DG43" i="48" a="1"/>
  <c r="DG43" i="48" s="1"/>
  <c r="DG46" i="48" a="1"/>
  <c r="DG46" i="48" s="1"/>
  <c r="DH1" i="48" a="1"/>
  <c r="DH1" i="48" s="1"/>
  <c r="DH51" i="48" l="1" a="1"/>
  <c r="DH51" i="48" s="1"/>
  <c r="DH46" i="48" a="1"/>
  <c r="DH46" i="48" s="1"/>
  <c r="DH42" i="48" a="1"/>
  <c r="DH42" i="48" s="1"/>
  <c r="DH37" i="48" a="1"/>
  <c r="DH37" i="48" s="1"/>
  <c r="DH33" i="48" a="1"/>
  <c r="DH33" i="48" s="1"/>
  <c r="DH32" i="48" a="1"/>
  <c r="DH32" i="48" s="1"/>
  <c r="DH23" i="48" a="1"/>
  <c r="DH23" i="48" s="1"/>
  <c r="DH22" i="48" a="1"/>
  <c r="DH22" i="48" s="1"/>
  <c r="DH16" i="48" a="1"/>
  <c r="DH16" i="48" s="1"/>
  <c r="DH11" i="48" a="1"/>
  <c r="DH11" i="48" s="1"/>
  <c r="DH14" i="48" a="1"/>
  <c r="DH14" i="48" s="1"/>
  <c r="DH4" i="48" a="1"/>
  <c r="DH4" i="48" s="1"/>
  <c r="DH3" i="48" a="1"/>
  <c r="DH3" i="48" s="1"/>
  <c r="DH41" i="48" a="1"/>
  <c r="DH41" i="48" s="1"/>
  <c r="DH30" i="48" a="1"/>
  <c r="DH30" i="48" s="1"/>
  <c r="DH20" i="48" a="1"/>
  <c r="DH20" i="48" s="1"/>
  <c r="DH12" i="48" a="1"/>
  <c r="DH12" i="48" s="1"/>
  <c r="DH50" i="48" a="1"/>
  <c r="DH50" i="48" s="1"/>
  <c r="DH40" i="48" a="1"/>
  <c r="DH40" i="48" s="1"/>
  <c r="DH31" i="48" a="1"/>
  <c r="DH31" i="48" s="1"/>
  <c r="DH18" i="48" a="1"/>
  <c r="DH18" i="48" s="1"/>
  <c r="DH10" i="48" a="1"/>
  <c r="DH10" i="48" s="1"/>
  <c r="DH47" i="48" a="1"/>
  <c r="DH47" i="48" s="1"/>
  <c r="DH39" i="48" a="1"/>
  <c r="DH39" i="48" s="1"/>
  <c r="DH28" i="48" a="1"/>
  <c r="DH28" i="48" s="1"/>
  <c r="DH19" i="48" a="1"/>
  <c r="DH19" i="48" s="1"/>
  <c r="DH7" i="48" a="1"/>
  <c r="DH7" i="48" s="1"/>
  <c r="DH48" i="48" a="1"/>
  <c r="DH48" i="48" s="1"/>
  <c r="DH38" i="48" a="1"/>
  <c r="DH38" i="48" s="1"/>
  <c r="DH27" i="48" a="1"/>
  <c r="DH27" i="48" s="1"/>
  <c r="DH17" i="48" a="1"/>
  <c r="DH17" i="48" s="1"/>
  <c r="DH2" i="48" a="1"/>
  <c r="DH2" i="48" s="1"/>
  <c r="DH49" i="48" a="1"/>
  <c r="DH49" i="48" s="1"/>
  <c r="DH36" i="48" a="1"/>
  <c r="DH36" i="48" s="1"/>
  <c r="DH24" i="48" a="1"/>
  <c r="DH24" i="48" s="1"/>
  <c r="DH13" i="48" a="1"/>
  <c r="DH13" i="48" s="1"/>
  <c r="DH6" i="48" a="1"/>
  <c r="DH6" i="48" s="1"/>
  <c r="DH44" i="48" a="1"/>
  <c r="DH44" i="48" s="1"/>
  <c r="DH35" i="48" a="1"/>
  <c r="DH35" i="48" s="1"/>
  <c r="DH25" i="48" a="1"/>
  <c r="DH25" i="48" s="1"/>
  <c r="DH9" i="48" a="1"/>
  <c r="DH9" i="48" s="1"/>
  <c r="DH5" i="48" a="1"/>
  <c r="DH5" i="48" s="1"/>
  <c r="DH45" i="48" a="1"/>
  <c r="DH45" i="48" s="1"/>
  <c r="DH43" i="48" a="1"/>
  <c r="DH43" i="48" s="1"/>
  <c r="DH34" i="48" a="1"/>
  <c r="DH34" i="48" s="1"/>
  <c r="DH29" i="48" a="1"/>
  <c r="DH29" i="48" s="1"/>
  <c r="DH26" i="48" a="1"/>
  <c r="DH26" i="48" s="1"/>
  <c r="DH21" i="48" a="1"/>
  <c r="DH21" i="48" s="1"/>
  <c r="DH15" i="48" a="1"/>
  <c r="DH15" i="48" s="1"/>
  <c r="DH8" i="48" a="1"/>
  <c r="DH8" i="48" s="1"/>
  <c r="DI1" i="48" a="1"/>
  <c r="DI1" i="48" s="1"/>
  <c r="DI49" i="48" l="1" a="1"/>
  <c r="DI49" i="48" s="1"/>
  <c r="DI43" i="48" a="1"/>
  <c r="DI43" i="48" s="1"/>
  <c r="DI40" i="48" a="1"/>
  <c r="DI40" i="48" s="1"/>
  <c r="DI37" i="48" a="1"/>
  <c r="DI37" i="48" s="1"/>
  <c r="DI33" i="48" a="1"/>
  <c r="DI33" i="48" s="1"/>
  <c r="DI28" i="48" a="1"/>
  <c r="DI28" i="48" s="1"/>
  <c r="DI22" i="48" a="1"/>
  <c r="DI22" i="48" s="1"/>
  <c r="DI21" i="48" a="1"/>
  <c r="DI21" i="48" s="1"/>
  <c r="DI16" i="48" a="1"/>
  <c r="DI16" i="48" s="1"/>
  <c r="DI12" i="48" a="1"/>
  <c r="DI12" i="48" s="1"/>
  <c r="DI9" i="48" a="1"/>
  <c r="DI9" i="48" s="1"/>
  <c r="DI2" i="48" a="1"/>
  <c r="DI2" i="48" s="1"/>
  <c r="DI50" i="48" a="1"/>
  <c r="DI50" i="48" s="1"/>
  <c r="DI38" i="48" a="1"/>
  <c r="DI38" i="48" s="1"/>
  <c r="DI29" i="48" a="1"/>
  <c r="DI29" i="48" s="1"/>
  <c r="DI17" i="48" a="1"/>
  <c r="DI17" i="48" s="1"/>
  <c r="DI7" i="48" a="1"/>
  <c r="DI7" i="48" s="1"/>
  <c r="DI48" i="48" a="1"/>
  <c r="DI48" i="48" s="1"/>
  <c r="DI36" i="48" a="1"/>
  <c r="DI36" i="48" s="1"/>
  <c r="DI25" i="48" a="1"/>
  <c r="DI25" i="48" s="1"/>
  <c r="DI15" i="48" a="1"/>
  <c r="DI15" i="48" s="1"/>
  <c r="DI4" i="48" a="1"/>
  <c r="DI4" i="48" s="1"/>
  <c r="DI47" i="48" a="1"/>
  <c r="DI47" i="48" s="1"/>
  <c r="DI39" i="48" a="1"/>
  <c r="DI39" i="48" s="1"/>
  <c r="DI26" i="48" a="1"/>
  <c r="DI26" i="48" s="1"/>
  <c r="DI18" i="48" a="1"/>
  <c r="DI18" i="48" s="1"/>
  <c r="DI5" i="48" a="1"/>
  <c r="DI5" i="48" s="1"/>
  <c r="DI46" i="48" a="1"/>
  <c r="DI46" i="48" s="1"/>
  <c r="DI34" i="48" a="1"/>
  <c r="DI34" i="48" s="1"/>
  <c r="DI27" i="48" a="1"/>
  <c r="DI27" i="48" s="1"/>
  <c r="DI14" i="48" a="1"/>
  <c r="DI14" i="48" s="1"/>
  <c r="DI3" i="48" a="1"/>
  <c r="DI3" i="48" s="1"/>
  <c r="DI44" i="48" a="1"/>
  <c r="DI44" i="48" s="1"/>
  <c r="DI35" i="48" a="1"/>
  <c r="DI35" i="48" s="1"/>
  <c r="DI23" i="48" a="1"/>
  <c r="DI23" i="48" s="1"/>
  <c r="DI10" i="48" a="1"/>
  <c r="DI10" i="48" s="1"/>
  <c r="DI6" i="48" a="1"/>
  <c r="DI6" i="48" s="1"/>
  <c r="DI45" i="48" a="1"/>
  <c r="DI45" i="48" s="1"/>
  <c r="DI30" i="48" a="1"/>
  <c r="DI30" i="48" s="1"/>
  <c r="DI24" i="48" a="1"/>
  <c r="DI24" i="48" s="1"/>
  <c r="DI13" i="48" a="1"/>
  <c r="DI13" i="48" s="1"/>
  <c r="DI11" i="48" a="1"/>
  <c r="DI11" i="48" s="1"/>
  <c r="DI51" i="48" a="1"/>
  <c r="DI51" i="48" s="1"/>
  <c r="DI8" i="48" a="1"/>
  <c r="DI8" i="48" s="1"/>
  <c r="DI41" i="48" a="1"/>
  <c r="DI41" i="48" s="1"/>
  <c r="DI42" i="48" a="1"/>
  <c r="DI42" i="48" s="1"/>
  <c r="DI32" i="48" a="1"/>
  <c r="DI32" i="48" s="1"/>
  <c r="DI31" i="48" a="1"/>
  <c r="DI31" i="48" s="1"/>
  <c r="DI20" i="48" a="1"/>
  <c r="DI20" i="48" s="1"/>
  <c r="DI19" i="48" a="1"/>
  <c r="DI19" i="48" s="1"/>
  <c r="DJ1" i="48" a="1"/>
  <c r="DJ1" i="48" s="1"/>
  <c r="DJ48" i="48" l="1" a="1"/>
  <c r="DJ48" i="48" s="1"/>
  <c r="DJ44" i="48" a="1"/>
  <c r="DJ44" i="48" s="1"/>
  <c r="DJ40" i="48" a="1"/>
  <c r="DJ40" i="48" s="1"/>
  <c r="DJ39" i="48" a="1"/>
  <c r="DJ39" i="48" s="1"/>
  <c r="DJ32" i="48" a="1"/>
  <c r="DJ32" i="48" s="1"/>
  <c r="DJ31" i="48" a="1"/>
  <c r="DJ31" i="48" s="1"/>
  <c r="DJ23" i="48" a="1"/>
  <c r="DJ23" i="48" s="1"/>
  <c r="DJ20" i="48" a="1"/>
  <c r="DJ20" i="48" s="1"/>
  <c r="DJ18" i="48" a="1"/>
  <c r="DJ18" i="48" s="1"/>
  <c r="DJ10" i="48" a="1"/>
  <c r="DJ10" i="48" s="1"/>
  <c r="DJ11" i="48" a="1"/>
  <c r="DJ11" i="48" s="1"/>
  <c r="DJ7" i="48" a="1"/>
  <c r="DJ7" i="48" s="1"/>
  <c r="DJ46" i="48" a="1"/>
  <c r="DJ46" i="48" s="1"/>
  <c r="DJ37" i="48" a="1"/>
  <c r="DJ37" i="48" s="1"/>
  <c r="DJ22" i="48" a="1"/>
  <c r="DJ22" i="48" s="1"/>
  <c r="DJ15" i="48" a="1"/>
  <c r="DJ15" i="48" s="1"/>
  <c r="DJ2" i="48" a="1"/>
  <c r="DJ2" i="48" s="1"/>
  <c r="DJ47" i="48" a="1"/>
  <c r="DJ47" i="48" s="1"/>
  <c r="DJ35" i="48" a="1"/>
  <c r="DJ35" i="48" s="1"/>
  <c r="DJ27" i="48" a="1"/>
  <c r="DJ27" i="48" s="1"/>
  <c r="DJ14" i="48" a="1"/>
  <c r="DJ14" i="48" s="1"/>
  <c r="DJ4" i="48" a="1"/>
  <c r="DJ4" i="48" s="1"/>
  <c r="DJ43" i="48" a="1"/>
  <c r="DJ43" i="48" s="1"/>
  <c r="DJ33" i="48" a="1"/>
  <c r="DJ33" i="48" s="1"/>
  <c r="DJ24" i="48" a="1"/>
  <c r="DJ24" i="48" s="1"/>
  <c r="DJ12" i="48" a="1"/>
  <c r="DJ12" i="48" s="1"/>
  <c r="DJ3" i="48" a="1"/>
  <c r="DJ3" i="48" s="1"/>
  <c r="DJ45" i="48" a="1"/>
  <c r="DJ45" i="48" s="1"/>
  <c r="DJ34" i="48" a="1"/>
  <c r="DJ34" i="48" s="1"/>
  <c r="DJ25" i="48" a="1"/>
  <c r="DJ25" i="48" s="1"/>
  <c r="DJ9" i="48" a="1"/>
  <c r="DJ9" i="48" s="1"/>
  <c r="DJ42" i="48" a="1"/>
  <c r="DJ42" i="48" s="1"/>
  <c r="DJ28" i="48" a="1"/>
  <c r="DJ28" i="48" s="1"/>
  <c r="DJ21" i="48" a="1"/>
  <c r="DJ21" i="48" s="1"/>
  <c r="DJ8" i="48" a="1"/>
  <c r="DJ8" i="48" s="1"/>
  <c r="DJ51" i="48" a="1"/>
  <c r="DJ51" i="48" s="1"/>
  <c r="DJ41" i="48" a="1"/>
  <c r="DJ41" i="48" s="1"/>
  <c r="DJ29" i="48" a="1"/>
  <c r="DJ29" i="48" s="1"/>
  <c r="DJ19" i="48" a="1"/>
  <c r="DJ19" i="48" s="1"/>
  <c r="DJ13" i="48" a="1"/>
  <c r="DJ13" i="48" s="1"/>
  <c r="DJ17" i="48" a="1"/>
  <c r="DJ17" i="48" s="1"/>
  <c r="DJ16" i="48" a="1"/>
  <c r="DJ16" i="48" s="1"/>
  <c r="DJ50" i="48" a="1"/>
  <c r="DJ50" i="48" s="1"/>
  <c r="DJ5" i="48" a="1"/>
  <c r="DJ5" i="48" s="1"/>
  <c r="DJ49" i="48" a="1"/>
  <c r="DJ49" i="48" s="1"/>
  <c r="DJ6" i="48" a="1"/>
  <c r="DJ6" i="48" s="1"/>
  <c r="DJ38" i="48" a="1"/>
  <c r="DJ38" i="48" s="1"/>
  <c r="DJ36" i="48" a="1"/>
  <c r="DJ36" i="48" s="1"/>
  <c r="DJ26" i="48" a="1"/>
  <c r="DJ26" i="48" s="1"/>
  <c r="DJ30" i="48" a="1"/>
  <c r="DJ30" i="48" s="1"/>
  <c r="DK1" i="48" a="1"/>
  <c r="DK1" i="48" s="1"/>
  <c r="DK51" i="48" l="1" a="1"/>
  <c r="DK51" i="48" s="1"/>
  <c r="DK47" i="48" a="1"/>
  <c r="DK47" i="48" s="1"/>
  <c r="DK44" i="48" a="1"/>
  <c r="DK44" i="48" s="1"/>
  <c r="DK39" i="48" a="1"/>
  <c r="DK39" i="48" s="1"/>
  <c r="DK35" i="48" a="1"/>
  <c r="DK35" i="48" s="1"/>
  <c r="DK30" i="48" a="1"/>
  <c r="DK30" i="48" s="1"/>
  <c r="DK24" i="48" a="1"/>
  <c r="DK24" i="48" s="1"/>
  <c r="DK27" i="48" a="1"/>
  <c r="DK27" i="48" s="1"/>
  <c r="DK18" i="48" a="1"/>
  <c r="DK18" i="48" s="1"/>
  <c r="DK17" i="48" a="1"/>
  <c r="DK17" i="48" s="1"/>
  <c r="DK14" i="48" a="1"/>
  <c r="DK14" i="48" s="1"/>
  <c r="DK6" i="48" a="1"/>
  <c r="DK6" i="48" s="1"/>
  <c r="DK7" i="48" a="1"/>
  <c r="DK7" i="48" s="1"/>
  <c r="DK45" i="48" a="1"/>
  <c r="DK45" i="48" s="1"/>
  <c r="DK34" i="48" a="1"/>
  <c r="DK34" i="48" s="1"/>
  <c r="DK22" i="48" a="1"/>
  <c r="DK22" i="48" s="1"/>
  <c r="DK13" i="48" a="1"/>
  <c r="DK13" i="48" s="1"/>
  <c r="DK5" i="48" a="1"/>
  <c r="DK5" i="48" s="1"/>
  <c r="DK43" i="48" a="1"/>
  <c r="DK43" i="48" s="1"/>
  <c r="DK33" i="48" a="1"/>
  <c r="DK33" i="48" s="1"/>
  <c r="DK23" i="48" a="1"/>
  <c r="DK23" i="48" s="1"/>
  <c r="DK11" i="48" a="1"/>
  <c r="DK11" i="48" s="1"/>
  <c r="DK40" i="48" a="1"/>
  <c r="DK40" i="48" s="1"/>
  <c r="DK29" i="48" a="1"/>
  <c r="DK29" i="48" s="1"/>
  <c r="DK21" i="48" a="1"/>
  <c r="DK21" i="48" s="1"/>
  <c r="DK12" i="48" a="1"/>
  <c r="DK12" i="48" s="1"/>
  <c r="DK42" i="48" a="1"/>
  <c r="DK42" i="48" s="1"/>
  <c r="DK31" i="48" a="1"/>
  <c r="DK31" i="48" s="1"/>
  <c r="DK20" i="48" a="1"/>
  <c r="DK20" i="48" s="1"/>
  <c r="DK10" i="48" a="1"/>
  <c r="DK10" i="48" s="1"/>
  <c r="DK50" i="48" a="1"/>
  <c r="DK50" i="48" s="1"/>
  <c r="DK41" i="48" a="1"/>
  <c r="DK41" i="48" s="1"/>
  <c r="DK32" i="48" a="1"/>
  <c r="DK32" i="48" s="1"/>
  <c r="DK16" i="48" a="1"/>
  <c r="DK16" i="48" s="1"/>
  <c r="DK8" i="48" a="1"/>
  <c r="DK8" i="48" s="1"/>
  <c r="DK49" i="48" a="1"/>
  <c r="DK49" i="48" s="1"/>
  <c r="DK36" i="48" a="1"/>
  <c r="DK36" i="48" s="1"/>
  <c r="DK28" i="48" a="1"/>
  <c r="DK28" i="48" s="1"/>
  <c r="DK15" i="48" a="1"/>
  <c r="DK15" i="48" s="1"/>
  <c r="DK4" i="48" a="1"/>
  <c r="DK4" i="48" s="1"/>
  <c r="DK25" i="48" a="1"/>
  <c r="DK25" i="48" s="1"/>
  <c r="DK26" i="48" a="1"/>
  <c r="DK26" i="48" s="1"/>
  <c r="DK19" i="48" a="1"/>
  <c r="DK19" i="48" s="1"/>
  <c r="DK9" i="48" a="1"/>
  <c r="DK9" i="48" s="1"/>
  <c r="DK48" i="48" a="1"/>
  <c r="DK48" i="48" s="1"/>
  <c r="DK3" i="48" a="1"/>
  <c r="DK3" i="48" s="1"/>
  <c r="DK46" i="48" a="1"/>
  <c r="DK46" i="48" s="1"/>
  <c r="DK2" i="48" a="1"/>
  <c r="DK2" i="48" s="1"/>
  <c r="DK38" i="48" a="1"/>
  <c r="DK38" i="48" s="1"/>
  <c r="DK37" i="48" a="1"/>
  <c r="DK37" i="48" s="1"/>
  <c r="DL1" i="48" a="1"/>
  <c r="DL1" i="48" s="1"/>
  <c r="DL50" i="48" l="1" a="1"/>
  <c r="DL50" i="48" s="1"/>
  <c r="DL47" i="48" a="1"/>
  <c r="DL47" i="48" s="1"/>
  <c r="DL41" i="48" a="1"/>
  <c r="DL41" i="48" s="1"/>
  <c r="DL36" i="48" a="1"/>
  <c r="DL36" i="48" s="1"/>
  <c r="DL33" i="48" a="1"/>
  <c r="DL33" i="48" s="1"/>
  <c r="DL32" i="48" a="1"/>
  <c r="DL32" i="48" s="1"/>
  <c r="DL26" i="48" a="1"/>
  <c r="DL26" i="48" s="1"/>
  <c r="DL24" i="48" a="1"/>
  <c r="DL24" i="48" s="1"/>
  <c r="DL16" i="48" a="1"/>
  <c r="DL16" i="48" s="1"/>
  <c r="DL11" i="48" a="1"/>
  <c r="DL11" i="48" s="1"/>
  <c r="DL10" i="48" a="1"/>
  <c r="DL10" i="48" s="1"/>
  <c r="DL7" i="48" a="1"/>
  <c r="DL7" i="48" s="1"/>
  <c r="DL2" i="48" a="1"/>
  <c r="DL2" i="48" s="1"/>
  <c r="DL45" i="48" a="1"/>
  <c r="DL45" i="48" s="1"/>
  <c r="DL31" i="48" a="1"/>
  <c r="DL31" i="48" s="1"/>
  <c r="DL21" i="48" a="1"/>
  <c r="DL21" i="48" s="1"/>
  <c r="DL12" i="48" a="1"/>
  <c r="DL12" i="48" s="1"/>
  <c r="DL42" i="48" a="1"/>
  <c r="DL42" i="48" s="1"/>
  <c r="DL28" i="48" a="1"/>
  <c r="DL28" i="48" s="1"/>
  <c r="DL20" i="48" a="1"/>
  <c r="DL20" i="48" s="1"/>
  <c r="DL9" i="48" a="1"/>
  <c r="DL9" i="48" s="1"/>
  <c r="DL51" i="48" a="1"/>
  <c r="DL51" i="48" s="1"/>
  <c r="DL40" i="48" a="1"/>
  <c r="DL40" i="48" s="1"/>
  <c r="DL29" i="48" a="1"/>
  <c r="DL29" i="48" s="1"/>
  <c r="DL18" i="48" a="1"/>
  <c r="DL18" i="48" s="1"/>
  <c r="DL15" i="48" a="1"/>
  <c r="DL15" i="48" s="1"/>
  <c r="DL48" i="48" a="1"/>
  <c r="DL48" i="48" s="1"/>
  <c r="DL39" i="48" a="1"/>
  <c r="DL39" i="48" s="1"/>
  <c r="DL30" i="48" a="1"/>
  <c r="DL30" i="48" s="1"/>
  <c r="DL19" i="48" a="1"/>
  <c r="DL19" i="48" s="1"/>
  <c r="DL4" i="48" a="1"/>
  <c r="DL4" i="48" s="1"/>
  <c r="DL49" i="48" a="1"/>
  <c r="DL49" i="48" s="1"/>
  <c r="DL38" i="48" a="1"/>
  <c r="DL38" i="48" s="1"/>
  <c r="DL25" i="48" a="1"/>
  <c r="DL25" i="48" s="1"/>
  <c r="DL17" i="48" a="1"/>
  <c r="DL17" i="48" s="1"/>
  <c r="DL5" i="48" a="1"/>
  <c r="DL5" i="48" s="1"/>
  <c r="DL46" i="48" a="1"/>
  <c r="DL46" i="48" s="1"/>
  <c r="DL37" i="48" a="1"/>
  <c r="DL37" i="48" s="1"/>
  <c r="DL22" i="48" a="1"/>
  <c r="DL22" i="48" s="1"/>
  <c r="DL13" i="48" a="1"/>
  <c r="DL13" i="48" s="1"/>
  <c r="DL6" i="48" a="1"/>
  <c r="DL6" i="48" s="1"/>
  <c r="DL34" i="48" a="1"/>
  <c r="DL34" i="48" s="1"/>
  <c r="DL35" i="48" a="1"/>
  <c r="DL35" i="48" s="1"/>
  <c r="DL27" i="48" a="1"/>
  <c r="DL27" i="48" s="1"/>
  <c r="DL23" i="48" a="1"/>
  <c r="DL23" i="48" s="1"/>
  <c r="DL8" i="48" a="1"/>
  <c r="DL8" i="48" s="1"/>
  <c r="DL14" i="48" a="1"/>
  <c r="DL14" i="48" s="1"/>
  <c r="DL43" i="48" a="1"/>
  <c r="DL43" i="48" s="1"/>
  <c r="DL44" i="48" a="1"/>
  <c r="DL44" i="48" s="1"/>
  <c r="DL3" i="48" a="1"/>
  <c r="DL3" i="48" s="1"/>
  <c r="DM1" i="48" a="1"/>
  <c r="DM1" i="48" s="1"/>
  <c r="DM49" i="48" l="1" a="1"/>
  <c r="DM49" i="48" s="1"/>
  <c r="DM44" i="48" a="1"/>
  <c r="DM44" i="48" s="1"/>
  <c r="DM40" i="48" a="1"/>
  <c r="DM40" i="48" s="1"/>
  <c r="DM39" i="48" a="1"/>
  <c r="DM39" i="48" s="1"/>
  <c r="DM34" i="48" a="1"/>
  <c r="DM34" i="48" s="1"/>
  <c r="DM30" i="48" a="1"/>
  <c r="DM30" i="48" s="1"/>
  <c r="DM24" i="48" a="1"/>
  <c r="DM24" i="48" s="1"/>
  <c r="DM21" i="48" a="1"/>
  <c r="DM21" i="48" s="1"/>
  <c r="DM16" i="48" a="1"/>
  <c r="DM16" i="48" s="1"/>
  <c r="DM12" i="48" a="1"/>
  <c r="DM12" i="48" s="1"/>
  <c r="DM11" i="48" a="1"/>
  <c r="DM11" i="48" s="1"/>
  <c r="DM3" i="48" a="1"/>
  <c r="DM3" i="48" s="1"/>
  <c r="DM51" i="48" a="1"/>
  <c r="DM51" i="48" s="1"/>
  <c r="DM42" i="48" a="1"/>
  <c r="DM42" i="48" s="1"/>
  <c r="DM29" i="48" a="1"/>
  <c r="DM29" i="48" s="1"/>
  <c r="DM19" i="48" a="1"/>
  <c r="DM19" i="48" s="1"/>
  <c r="DM8" i="48" a="1"/>
  <c r="DM8" i="48" s="1"/>
  <c r="DM50" i="48" a="1"/>
  <c r="DM50" i="48" s="1"/>
  <c r="DM37" i="48" a="1"/>
  <c r="DM37" i="48" s="1"/>
  <c r="DM31" i="48" a="1"/>
  <c r="DM31" i="48" s="1"/>
  <c r="DM17" i="48" a="1"/>
  <c r="DM17" i="48" s="1"/>
  <c r="DM7" i="48" a="1"/>
  <c r="DM7" i="48" s="1"/>
  <c r="DM47" i="48" a="1"/>
  <c r="DM47" i="48" s="1"/>
  <c r="DM38" i="48" a="1"/>
  <c r="DM38" i="48" s="1"/>
  <c r="DM27" i="48" a="1"/>
  <c r="DM27" i="48" s="1"/>
  <c r="DM15" i="48" a="1"/>
  <c r="DM15" i="48" s="1"/>
  <c r="DM2" i="48" a="1"/>
  <c r="DM2" i="48" s="1"/>
  <c r="DM48" i="48" a="1"/>
  <c r="DM48" i="48" s="1"/>
  <c r="DM36" i="48" a="1"/>
  <c r="DM36" i="48" s="1"/>
  <c r="DM23" i="48" a="1"/>
  <c r="DM23" i="48" s="1"/>
  <c r="DM18" i="48" a="1"/>
  <c r="DM18" i="48" s="1"/>
  <c r="DM6" i="48" a="1"/>
  <c r="DM6" i="48" s="1"/>
  <c r="DM46" i="48" a="1"/>
  <c r="DM46" i="48" s="1"/>
  <c r="DM35" i="48" a="1"/>
  <c r="DM35" i="48" s="1"/>
  <c r="DM25" i="48" a="1"/>
  <c r="DM25" i="48" s="1"/>
  <c r="DM14" i="48" a="1"/>
  <c r="DM14" i="48" s="1"/>
  <c r="DM4" i="48" a="1"/>
  <c r="DM4" i="48" s="1"/>
  <c r="DM45" i="48" a="1"/>
  <c r="DM45" i="48" s="1"/>
  <c r="DM33" i="48" a="1"/>
  <c r="DM33" i="48" s="1"/>
  <c r="DM26" i="48" a="1"/>
  <c r="DM26" i="48" s="1"/>
  <c r="DM10" i="48" a="1"/>
  <c r="DM10" i="48" s="1"/>
  <c r="DM5" i="48" a="1"/>
  <c r="DM5" i="48" s="1"/>
  <c r="DM43" i="48" a="1"/>
  <c r="DM43" i="48" s="1"/>
  <c r="DM41" i="48" a="1"/>
  <c r="DM41" i="48" s="1"/>
  <c r="DM28" i="48" a="1"/>
  <c r="DM28" i="48" s="1"/>
  <c r="DM32" i="48" a="1"/>
  <c r="DM32" i="48" s="1"/>
  <c r="DM22" i="48" a="1"/>
  <c r="DM22" i="48" s="1"/>
  <c r="DM20" i="48" a="1"/>
  <c r="DM20" i="48" s="1"/>
  <c r="DM13" i="48" a="1"/>
  <c r="DM13" i="48" s="1"/>
  <c r="DM9" i="48" a="1"/>
  <c r="DM9" i="48" s="1"/>
  <c r="DN1" i="48" a="1"/>
  <c r="DN1" i="48" s="1"/>
  <c r="DN48" i="48" l="1" a="1"/>
  <c r="DN48" i="48" s="1"/>
  <c r="DN43" i="48" a="1"/>
  <c r="DN43" i="48" s="1"/>
  <c r="DN49" i="48" a="1"/>
  <c r="DN49" i="48" s="1"/>
  <c r="DN38" i="48" a="1"/>
  <c r="DN38" i="48" s="1"/>
  <c r="DN30" i="48" a="1"/>
  <c r="DN30" i="48" s="1"/>
  <c r="DN27" i="48" a="1"/>
  <c r="DN27" i="48" s="1"/>
  <c r="DN14" i="48" a="1"/>
  <c r="DN14" i="48" s="1"/>
  <c r="DN6" i="48" a="1"/>
  <c r="DN6" i="48" s="1"/>
  <c r="DN47" i="48" a="1"/>
  <c r="DN47" i="48" s="1"/>
  <c r="DN39" i="48" a="1"/>
  <c r="DN39" i="48" s="1"/>
  <c r="DN31" i="48" a="1"/>
  <c r="DN31" i="48" s="1"/>
  <c r="DN23" i="48" a="1"/>
  <c r="DN23" i="48" s="1"/>
  <c r="DN12" i="48" a="1"/>
  <c r="DN12" i="48" s="1"/>
  <c r="DN4" i="48" a="1"/>
  <c r="DN4" i="48" s="1"/>
  <c r="DN46" i="48" a="1"/>
  <c r="DN46" i="48" s="1"/>
  <c r="DN36" i="48" a="1"/>
  <c r="DN36" i="48" s="1"/>
  <c r="DN28" i="48" a="1"/>
  <c r="DN28" i="48" s="1"/>
  <c r="DN21" i="48" a="1"/>
  <c r="DN21" i="48" s="1"/>
  <c r="DN10" i="48" a="1"/>
  <c r="DN10" i="48" s="1"/>
  <c r="DN5" i="48" a="1"/>
  <c r="DN5" i="48" s="1"/>
  <c r="DN45" i="48" a="1"/>
  <c r="DN45" i="48" s="1"/>
  <c r="DN37" i="48" a="1"/>
  <c r="DN37" i="48" s="1"/>
  <c r="DN29" i="48" a="1"/>
  <c r="DN29" i="48" s="1"/>
  <c r="DN20" i="48" a="1"/>
  <c r="DN20" i="48" s="1"/>
  <c r="DN8" i="48" a="1"/>
  <c r="DN8" i="48" s="1"/>
  <c r="DN2" i="48" a="1"/>
  <c r="DN2" i="48" s="1"/>
  <c r="DN44" i="48" a="1"/>
  <c r="DN44" i="48" s="1"/>
  <c r="DN33" i="48" a="1"/>
  <c r="DN33" i="48" s="1"/>
  <c r="DN24" i="48" a="1"/>
  <c r="DN24" i="48" s="1"/>
  <c r="DN19" i="48" a="1"/>
  <c r="DN19" i="48" s="1"/>
  <c r="DN15" i="48" a="1"/>
  <c r="DN15" i="48" s="1"/>
  <c r="DN7" i="48" a="1"/>
  <c r="DN7" i="48" s="1"/>
  <c r="DN42" i="48" a="1"/>
  <c r="DN42" i="48" s="1"/>
  <c r="DN35" i="48" a="1"/>
  <c r="DN35" i="48" s="1"/>
  <c r="DN25" i="48" a="1"/>
  <c r="DN25" i="48" s="1"/>
  <c r="DN17" i="48" a="1"/>
  <c r="DN17" i="48" s="1"/>
  <c r="DN13" i="48" a="1"/>
  <c r="DN13" i="48" s="1"/>
  <c r="DN3" i="48" a="1"/>
  <c r="DN3" i="48" s="1"/>
  <c r="DN51" i="48" a="1"/>
  <c r="DN51" i="48" s="1"/>
  <c r="DN16" i="48" a="1"/>
  <c r="DN16" i="48" s="1"/>
  <c r="DN50" i="48" a="1"/>
  <c r="DN50" i="48" s="1"/>
  <c r="DN18" i="48" a="1"/>
  <c r="DN18" i="48" s="1"/>
  <c r="DN40" i="48" a="1"/>
  <c r="DN40" i="48" s="1"/>
  <c r="DN11" i="48" a="1"/>
  <c r="DN11" i="48" s="1"/>
  <c r="DN41" i="48" a="1"/>
  <c r="DN41" i="48" s="1"/>
  <c r="DN9" i="48" a="1"/>
  <c r="DN9" i="48" s="1"/>
  <c r="DN34" i="48" a="1"/>
  <c r="DN34" i="48" s="1"/>
  <c r="DN32" i="48" a="1"/>
  <c r="DN32" i="48" s="1"/>
  <c r="DN26" i="48" a="1"/>
  <c r="DN26" i="48" s="1"/>
  <c r="DN22" i="48" a="1"/>
  <c r="DN22" i="48" s="1"/>
  <c r="DO1" i="48" a="1"/>
  <c r="DO1" i="48" s="1"/>
  <c r="DO50" i="48" l="1" a="1"/>
  <c r="DO50" i="48" s="1"/>
  <c r="DO42" i="48" a="1"/>
  <c r="DO42" i="48" s="1"/>
  <c r="DO34" i="48" a="1"/>
  <c r="DO34" i="48" s="1"/>
  <c r="DO22" i="48" a="1"/>
  <c r="DO22" i="48" s="1"/>
  <c r="DO16" i="48" a="1"/>
  <c r="DO16" i="48" s="1"/>
  <c r="DO12" i="48" a="1"/>
  <c r="DO12" i="48" s="1"/>
  <c r="DO4" i="48" a="1"/>
  <c r="DO4" i="48" s="1"/>
  <c r="DO48" i="48" a="1"/>
  <c r="DO48" i="48" s="1"/>
  <c r="DO40" i="48" a="1"/>
  <c r="DO40" i="48" s="1"/>
  <c r="DO33" i="48" a="1"/>
  <c r="DO33" i="48" s="1"/>
  <c r="DO27" i="48" a="1"/>
  <c r="DO27" i="48" s="1"/>
  <c r="DO15" i="48" a="1"/>
  <c r="DO15" i="48" s="1"/>
  <c r="DO10" i="48" a="1"/>
  <c r="DO10" i="48" s="1"/>
  <c r="DO49" i="48" a="1"/>
  <c r="DO49" i="48" s="1"/>
  <c r="DO41" i="48" a="1"/>
  <c r="DO41" i="48" s="1"/>
  <c r="DO31" i="48" a="1"/>
  <c r="DO31" i="48" s="1"/>
  <c r="DO23" i="48" a="1"/>
  <c r="DO23" i="48" s="1"/>
  <c r="DO19" i="48" a="1"/>
  <c r="DO19" i="48" s="1"/>
  <c r="DO8" i="48" a="1"/>
  <c r="DO8" i="48" s="1"/>
  <c r="DO46" i="48" a="1"/>
  <c r="DO46" i="48" s="1"/>
  <c r="DO36" i="48" a="1"/>
  <c r="DO36" i="48" s="1"/>
  <c r="DO28" i="48" a="1"/>
  <c r="DO28" i="48" s="1"/>
  <c r="DO24" i="48" a="1"/>
  <c r="DO24" i="48" s="1"/>
  <c r="DO17" i="48" a="1"/>
  <c r="DO17" i="48" s="1"/>
  <c r="DO6" i="48" a="1"/>
  <c r="DO6" i="48" s="1"/>
  <c r="DO47" i="48" a="1"/>
  <c r="DO47" i="48" s="1"/>
  <c r="DO39" i="48" a="1"/>
  <c r="DO39" i="48" s="1"/>
  <c r="DO29" i="48" a="1"/>
  <c r="DO29" i="48" s="1"/>
  <c r="DO25" i="48" a="1"/>
  <c r="DO25" i="48" s="1"/>
  <c r="DO13" i="48" a="1"/>
  <c r="DO13" i="48" s="1"/>
  <c r="DO5" i="48" a="1"/>
  <c r="DO5" i="48" s="1"/>
  <c r="DO43" i="48" a="1"/>
  <c r="DO43" i="48" s="1"/>
  <c r="DO37" i="48" a="1"/>
  <c r="DO37" i="48" s="1"/>
  <c r="DO32" i="48" a="1"/>
  <c r="DO32" i="48" s="1"/>
  <c r="DO21" i="48" a="1"/>
  <c r="DO21" i="48" s="1"/>
  <c r="DO11" i="48" a="1"/>
  <c r="DO11" i="48" s="1"/>
  <c r="DO3" i="48" a="1"/>
  <c r="DO3" i="48" s="1"/>
  <c r="DO38" i="48" a="1"/>
  <c r="DO38" i="48" s="1"/>
  <c r="DO2" i="48" a="1"/>
  <c r="DO2" i="48" s="1"/>
  <c r="DO35" i="48" a="1"/>
  <c r="DO35" i="48" s="1"/>
  <c r="DO7" i="48" a="1"/>
  <c r="DO7" i="48" s="1"/>
  <c r="DO30" i="48" a="1"/>
  <c r="DO30" i="48" s="1"/>
  <c r="DO26" i="48" a="1"/>
  <c r="DO26" i="48" s="1"/>
  <c r="DO20" i="48" a="1"/>
  <c r="DO20" i="48" s="1"/>
  <c r="DO51" i="48" a="1"/>
  <c r="DO51" i="48" s="1"/>
  <c r="DO18" i="48" a="1"/>
  <c r="DO18" i="48" s="1"/>
  <c r="DO44" i="48" a="1"/>
  <c r="DO44" i="48" s="1"/>
  <c r="DO45" i="48" a="1"/>
  <c r="DO45" i="48" s="1"/>
  <c r="DO9" i="48" a="1"/>
  <c r="DO9" i="48" s="1"/>
  <c r="DO14" i="48" a="1"/>
  <c r="DO14" i="48" s="1"/>
  <c r="DP1" i="48" a="1"/>
  <c r="DP1" i="48" s="1"/>
  <c r="DP44" i="48" l="1" a="1"/>
  <c r="DP44" i="48" s="1"/>
  <c r="DP38" i="48" a="1"/>
  <c r="DP38" i="48" s="1"/>
  <c r="DP32" i="48" a="1"/>
  <c r="DP32" i="48" s="1"/>
  <c r="DP21" i="48" a="1"/>
  <c r="DP21" i="48" s="1"/>
  <c r="DP9" i="48" a="1"/>
  <c r="DP9" i="48" s="1"/>
  <c r="DP6" i="48" a="1"/>
  <c r="DP6" i="48" s="1"/>
  <c r="DP45" i="48" a="1"/>
  <c r="DP45" i="48" s="1"/>
  <c r="DP36" i="48" a="1"/>
  <c r="DP36" i="48" s="1"/>
  <c r="DP28" i="48" a="1"/>
  <c r="DP28" i="48" s="1"/>
  <c r="DP20" i="48" a="1"/>
  <c r="DP20" i="48" s="1"/>
  <c r="DP15" i="48" a="1"/>
  <c r="DP15" i="48" s="1"/>
  <c r="DP5" i="48" a="1"/>
  <c r="DP5" i="48" s="1"/>
  <c r="DP50" i="48" a="1"/>
  <c r="DP50" i="48" s="1"/>
  <c r="DP43" i="48" a="1"/>
  <c r="DP43" i="48" s="1"/>
  <c r="DP34" i="48" a="1"/>
  <c r="DP34" i="48" s="1"/>
  <c r="DP27" i="48" a="1"/>
  <c r="DP27" i="48" s="1"/>
  <c r="DP18" i="48" a="1"/>
  <c r="DP18" i="48" s="1"/>
  <c r="DP8" i="48" a="1"/>
  <c r="DP8" i="48" s="1"/>
  <c r="DP3" i="48" a="1"/>
  <c r="DP3" i="48" s="1"/>
  <c r="DP51" i="48" a="1"/>
  <c r="DP51" i="48" s="1"/>
  <c r="DP42" i="48" a="1"/>
  <c r="DP42" i="48" s="1"/>
  <c r="DP33" i="48" a="1"/>
  <c r="DP33" i="48" s="1"/>
  <c r="DP23" i="48" a="1"/>
  <c r="DP23" i="48" s="1"/>
  <c r="DP16" i="48" a="1"/>
  <c r="DP16" i="48" s="1"/>
  <c r="DP14" i="48" a="1"/>
  <c r="DP14" i="48" s="1"/>
  <c r="DP2" i="48" a="1"/>
  <c r="DP2" i="48" s="1"/>
  <c r="DP47" i="48" a="1"/>
  <c r="DP47" i="48" s="1"/>
  <c r="DP41" i="48" a="1"/>
  <c r="DP41" i="48" s="1"/>
  <c r="DP35" i="48" a="1"/>
  <c r="DP35" i="48" s="1"/>
  <c r="DP24" i="48" a="1"/>
  <c r="DP24" i="48" s="1"/>
  <c r="DP19" i="48" a="1"/>
  <c r="DP19" i="48" s="1"/>
  <c r="DP12" i="48" a="1"/>
  <c r="DP12" i="48" s="1"/>
  <c r="DP49" i="48" a="1"/>
  <c r="DP49" i="48" s="1"/>
  <c r="DP40" i="48" a="1"/>
  <c r="DP40" i="48" s="1"/>
  <c r="DP31" i="48" a="1"/>
  <c r="DP31" i="48" s="1"/>
  <c r="DP25" i="48" a="1"/>
  <c r="DP25" i="48" s="1"/>
  <c r="DP17" i="48" a="1"/>
  <c r="DP17" i="48" s="1"/>
  <c r="DP10" i="48" a="1"/>
  <c r="DP10" i="48" s="1"/>
  <c r="DP26" i="48" a="1"/>
  <c r="DP26" i="48" s="1"/>
  <c r="DP22" i="48" a="1"/>
  <c r="DP22" i="48" s="1"/>
  <c r="DP48" i="48" a="1"/>
  <c r="DP48" i="48" s="1"/>
  <c r="DP13" i="48" a="1"/>
  <c r="DP13" i="48" s="1"/>
  <c r="DP46" i="48" a="1"/>
  <c r="DP46" i="48" s="1"/>
  <c r="DP11" i="48" a="1"/>
  <c r="DP11" i="48" s="1"/>
  <c r="DP39" i="48" a="1"/>
  <c r="DP39" i="48" s="1"/>
  <c r="DP7" i="48" a="1"/>
  <c r="DP7" i="48" s="1"/>
  <c r="DP37" i="48" a="1"/>
  <c r="DP37" i="48" s="1"/>
  <c r="DP4" i="48" a="1"/>
  <c r="DP4" i="48" s="1"/>
  <c r="DP30" i="48" a="1"/>
  <c r="DP30" i="48" s="1"/>
  <c r="DP29" i="48" a="1"/>
  <c r="DP29" i="48" s="1"/>
  <c r="DQ1" i="48" a="1"/>
  <c r="DQ1" i="48" s="1"/>
  <c r="DQ48" i="48" l="1" a="1"/>
  <c r="DQ48" i="48" s="1"/>
  <c r="DQ42" i="48" a="1"/>
  <c r="DQ42" i="48" s="1"/>
  <c r="DQ30" i="48" a="1"/>
  <c r="DQ30" i="48" s="1"/>
  <c r="DQ27" i="48" a="1"/>
  <c r="DQ27" i="48" s="1"/>
  <c r="DQ15" i="48" a="1"/>
  <c r="DQ15" i="48" s="1"/>
  <c r="DQ8" i="48" a="1"/>
  <c r="DQ8" i="48" s="1"/>
  <c r="DQ47" i="48" a="1"/>
  <c r="DQ47" i="48" s="1"/>
  <c r="DQ38" i="48" a="1"/>
  <c r="DQ38" i="48" s="1"/>
  <c r="DQ32" i="48" a="1"/>
  <c r="DQ32" i="48" s="1"/>
  <c r="DQ23" i="48" a="1"/>
  <c r="DQ23" i="48" s="1"/>
  <c r="DQ18" i="48" a="1"/>
  <c r="DQ18" i="48" s="1"/>
  <c r="DQ7" i="48" a="1"/>
  <c r="DQ7" i="48" s="1"/>
  <c r="DQ46" i="48" a="1"/>
  <c r="DQ46" i="48" s="1"/>
  <c r="DQ36" i="48" a="1"/>
  <c r="DQ36" i="48" s="1"/>
  <c r="DQ28" i="48" a="1"/>
  <c r="DQ28" i="48" s="1"/>
  <c r="DQ24" i="48" a="1"/>
  <c r="DQ24" i="48" s="1"/>
  <c r="DQ14" i="48" a="1"/>
  <c r="DQ14" i="48" s="1"/>
  <c r="DQ4" i="48" a="1"/>
  <c r="DQ4" i="48" s="1"/>
  <c r="DQ43" i="48" a="1"/>
  <c r="DQ43" i="48" s="1"/>
  <c r="DQ37" i="48" a="1"/>
  <c r="DQ37" i="48" s="1"/>
  <c r="DQ31" i="48" a="1"/>
  <c r="DQ31" i="48" s="1"/>
  <c r="DQ21" i="48" a="1"/>
  <c r="DQ21" i="48" s="1"/>
  <c r="DQ12" i="48" a="1"/>
  <c r="DQ12" i="48" s="1"/>
  <c r="DQ2" i="48" a="1"/>
  <c r="DQ2" i="48" s="1"/>
  <c r="DQ44" i="48" a="1"/>
  <c r="DQ44" i="48" s="1"/>
  <c r="DQ39" i="48" a="1"/>
  <c r="DQ39" i="48" s="1"/>
  <c r="DQ29" i="48" a="1"/>
  <c r="DQ29" i="48" s="1"/>
  <c r="DQ20" i="48" a="1"/>
  <c r="DQ20" i="48" s="1"/>
  <c r="DQ10" i="48" a="1"/>
  <c r="DQ10" i="48" s="1"/>
  <c r="DQ5" i="48" a="1"/>
  <c r="DQ5" i="48" s="1"/>
  <c r="DQ51" i="48" a="1"/>
  <c r="DQ51" i="48" s="1"/>
  <c r="DQ45" i="48" a="1"/>
  <c r="DQ45" i="48" s="1"/>
  <c r="DQ34" i="48" a="1"/>
  <c r="DQ34" i="48" s="1"/>
  <c r="DQ25" i="48" a="1"/>
  <c r="DQ25" i="48" s="1"/>
  <c r="DQ19" i="48" a="1"/>
  <c r="DQ19" i="48" s="1"/>
  <c r="DQ13" i="48" a="1"/>
  <c r="DQ13" i="48" s="1"/>
  <c r="DQ3" i="48" a="1"/>
  <c r="DQ3" i="48" s="1"/>
  <c r="DQ41" i="48" a="1"/>
  <c r="DQ41" i="48" s="1"/>
  <c r="DQ11" i="48" a="1"/>
  <c r="DQ11" i="48" s="1"/>
  <c r="DQ40" i="48" a="1"/>
  <c r="DQ40" i="48" s="1"/>
  <c r="DQ9" i="48" a="1"/>
  <c r="DQ9" i="48" s="1"/>
  <c r="DQ35" i="48" a="1"/>
  <c r="DQ35" i="48" s="1"/>
  <c r="DQ6" i="48" a="1"/>
  <c r="DQ6" i="48" s="1"/>
  <c r="DQ33" i="48" a="1"/>
  <c r="DQ33" i="48" s="1"/>
  <c r="DQ26" i="48" a="1"/>
  <c r="DQ26" i="48" s="1"/>
  <c r="DQ22" i="48" a="1"/>
  <c r="DQ22" i="48" s="1"/>
  <c r="DQ50" i="48" a="1"/>
  <c r="DQ50" i="48" s="1"/>
  <c r="DQ49" i="48" a="1"/>
  <c r="DQ49" i="48" s="1"/>
  <c r="DQ17" i="48" a="1"/>
  <c r="DQ17" i="48" s="1"/>
  <c r="DQ16" i="48" a="1"/>
  <c r="DQ16" i="48" s="1"/>
  <c r="DR1" i="48" a="1"/>
  <c r="DR1" i="48" s="1"/>
  <c r="DR51" i="48" l="1" a="1"/>
  <c r="DR51" i="48" s="1"/>
  <c r="DR45" i="48" a="1"/>
  <c r="DR45" i="48" s="1"/>
  <c r="DR35" i="48" a="1"/>
  <c r="DR35" i="48" s="1"/>
  <c r="DR26" i="48" a="1"/>
  <c r="DR26" i="48" s="1"/>
  <c r="DR19" i="48" a="1"/>
  <c r="DR19" i="48" s="1"/>
  <c r="DR9" i="48" a="1"/>
  <c r="DR9" i="48" s="1"/>
  <c r="DR4" i="48" a="1"/>
  <c r="DR4" i="48" s="1"/>
  <c r="DR50" i="48" a="1"/>
  <c r="DR50" i="48" s="1"/>
  <c r="DR42" i="48" a="1"/>
  <c r="DR42" i="48" s="1"/>
  <c r="DR33" i="48" a="1"/>
  <c r="DR33" i="48" s="1"/>
  <c r="DR22" i="48" a="1"/>
  <c r="DR22" i="48" s="1"/>
  <c r="DR17" i="48" a="1"/>
  <c r="DR17" i="48" s="1"/>
  <c r="DR8" i="48" a="1"/>
  <c r="DR8" i="48" s="1"/>
  <c r="DR3" i="48" a="1"/>
  <c r="DR3" i="48" s="1"/>
  <c r="DR49" i="48" a="1"/>
  <c r="DR49" i="48" s="1"/>
  <c r="DR40" i="48" a="1"/>
  <c r="DR40" i="48" s="1"/>
  <c r="DR34" i="48" a="1"/>
  <c r="DR34" i="48" s="1"/>
  <c r="DR27" i="48" a="1"/>
  <c r="DR27" i="48" s="1"/>
  <c r="DR16" i="48" a="1"/>
  <c r="DR16" i="48" s="1"/>
  <c r="DR13" i="48" a="1"/>
  <c r="DR13" i="48" s="1"/>
  <c r="DR48" i="48" a="1"/>
  <c r="DR48" i="48" s="1"/>
  <c r="DR41" i="48" a="1"/>
  <c r="DR41" i="48" s="1"/>
  <c r="DR32" i="48" a="1"/>
  <c r="DR32" i="48" s="1"/>
  <c r="DR23" i="48" a="1"/>
  <c r="DR23" i="48" s="1"/>
  <c r="DR18" i="48" a="1"/>
  <c r="DR18" i="48" s="1"/>
  <c r="DR11" i="48" a="1"/>
  <c r="DR11" i="48" s="1"/>
  <c r="DR47" i="48" a="1"/>
  <c r="DR47" i="48" s="1"/>
  <c r="DR38" i="48" a="1"/>
  <c r="DR38" i="48" s="1"/>
  <c r="DR28" i="48" a="1"/>
  <c r="DR28" i="48" s="1"/>
  <c r="DR24" i="48" a="1"/>
  <c r="DR24" i="48" s="1"/>
  <c r="DR15" i="48" a="1"/>
  <c r="DR15" i="48" s="1"/>
  <c r="DR5" i="48" a="1"/>
  <c r="DR5" i="48" s="1"/>
  <c r="DR46" i="48" a="1"/>
  <c r="DR46" i="48" s="1"/>
  <c r="DR36" i="48" a="1"/>
  <c r="DR36" i="48" s="1"/>
  <c r="DR29" i="48" a="1"/>
  <c r="DR29" i="48" s="1"/>
  <c r="DR25" i="48" a="1"/>
  <c r="DR25" i="48" s="1"/>
  <c r="DR14" i="48" a="1"/>
  <c r="DR14" i="48" s="1"/>
  <c r="DR6" i="48" a="1"/>
  <c r="DR6" i="48" s="1"/>
  <c r="DR31" i="48" a="1"/>
  <c r="DR31" i="48" s="1"/>
  <c r="DR30" i="48" a="1"/>
  <c r="DR30" i="48" s="1"/>
  <c r="DR21" i="48" a="1"/>
  <c r="DR21" i="48" s="1"/>
  <c r="DR20" i="48" a="1"/>
  <c r="DR20" i="48" s="1"/>
  <c r="DR43" i="48" a="1"/>
  <c r="DR43" i="48" s="1"/>
  <c r="DR12" i="48" a="1"/>
  <c r="DR12" i="48" s="1"/>
  <c r="DR44" i="48" a="1"/>
  <c r="DR44" i="48" s="1"/>
  <c r="DR10" i="48" a="1"/>
  <c r="DR10" i="48" s="1"/>
  <c r="DR37" i="48" a="1"/>
  <c r="DR37" i="48" s="1"/>
  <c r="DR39" i="48" a="1"/>
  <c r="DR39" i="48" s="1"/>
  <c r="DR2" i="48" a="1"/>
  <c r="DR2" i="48" s="1"/>
  <c r="DR7" i="48" a="1"/>
  <c r="DR7" i="48" s="1"/>
  <c r="DS1" i="48" a="1"/>
  <c r="DS1" i="48" s="1"/>
  <c r="DS46" i="48" l="1" a="1"/>
  <c r="DS46" i="48" s="1"/>
  <c r="DS36" i="48" a="1"/>
  <c r="DS36" i="48" s="1"/>
  <c r="DS30" i="48" a="1"/>
  <c r="DS30" i="48" s="1"/>
  <c r="DS23" i="48" a="1"/>
  <c r="DS23" i="48" s="1"/>
  <c r="DS9" i="48" a="1"/>
  <c r="DS9" i="48" s="1"/>
  <c r="DS4" i="48" a="1"/>
  <c r="DS4" i="48" s="1"/>
  <c r="DS45" i="48" a="1"/>
  <c r="DS45" i="48" s="1"/>
  <c r="DS38" i="48" a="1"/>
  <c r="DS38" i="48" s="1"/>
  <c r="DS32" i="48" a="1"/>
  <c r="DS32" i="48" s="1"/>
  <c r="DS21" i="48" a="1"/>
  <c r="DS21" i="48" s="1"/>
  <c r="DS13" i="48" a="1"/>
  <c r="DS13" i="48" s="1"/>
  <c r="DS3" i="48" a="1"/>
  <c r="DS3" i="48" s="1"/>
  <c r="DS43" i="48" a="1"/>
  <c r="DS43" i="48" s="1"/>
  <c r="DS37" i="48" a="1"/>
  <c r="DS37" i="48" s="1"/>
  <c r="DS28" i="48" a="1"/>
  <c r="DS28" i="48" s="1"/>
  <c r="DS20" i="48" a="1"/>
  <c r="DS20" i="48" s="1"/>
  <c r="DS11" i="48" a="1"/>
  <c r="DS11" i="48" s="1"/>
  <c r="DS2" i="48" a="1"/>
  <c r="DS2" i="48" s="1"/>
  <c r="DS51" i="48" a="1"/>
  <c r="DS51" i="48" s="1"/>
  <c r="DS44" i="48" a="1"/>
  <c r="DS44" i="48" s="1"/>
  <c r="DS34" i="48" a="1"/>
  <c r="DS34" i="48" s="1"/>
  <c r="DS24" i="48" a="1"/>
  <c r="DS24" i="48" s="1"/>
  <c r="DS18" i="48" a="1"/>
  <c r="DS18" i="48" s="1"/>
  <c r="DS14" i="48" a="1"/>
  <c r="DS14" i="48" s="1"/>
  <c r="DS7" i="48" a="1"/>
  <c r="DS7" i="48" s="1"/>
  <c r="DS50" i="48" a="1"/>
  <c r="DS50" i="48" s="1"/>
  <c r="DS42" i="48" a="1"/>
  <c r="DS42" i="48" s="1"/>
  <c r="DS33" i="48" a="1"/>
  <c r="DS33" i="48" s="1"/>
  <c r="DS25" i="48" a="1"/>
  <c r="DS25" i="48" s="1"/>
  <c r="DS16" i="48" a="1"/>
  <c r="DS16" i="48" s="1"/>
  <c r="DS12" i="48" a="1"/>
  <c r="DS12" i="48" s="1"/>
  <c r="DS5" i="48" a="1"/>
  <c r="DS5" i="48" s="1"/>
  <c r="DS48" i="48" a="1"/>
  <c r="DS48" i="48" s="1"/>
  <c r="DS40" i="48" a="1"/>
  <c r="DS40" i="48" s="1"/>
  <c r="DS35" i="48" a="1"/>
  <c r="DS35" i="48" s="1"/>
  <c r="DS26" i="48" a="1"/>
  <c r="DS26" i="48" s="1"/>
  <c r="DS15" i="48" a="1"/>
  <c r="DS15" i="48" s="1"/>
  <c r="DS10" i="48" a="1"/>
  <c r="DS10" i="48" s="1"/>
  <c r="DS49" i="48" a="1"/>
  <c r="DS49" i="48" s="1"/>
  <c r="DS19" i="48" a="1"/>
  <c r="DS19" i="48" s="1"/>
  <c r="DS47" i="48" a="1"/>
  <c r="DS47" i="48" s="1"/>
  <c r="DS17" i="48" a="1"/>
  <c r="DS17" i="48" s="1"/>
  <c r="DS41" i="48" a="1"/>
  <c r="DS41" i="48" s="1"/>
  <c r="DS8" i="48" a="1"/>
  <c r="DS8" i="48" s="1"/>
  <c r="DS39" i="48" a="1"/>
  <c r="DS39" i="48" s="1"/>
  <c r="DS6" i="48" a="1"/>
  <c r="DS6" i="48" s="1"/>
  <c r="DS29" i="48" a="1"/>
  <c r="DS29" i="48" s="1"/>
  <c r="DS31" i="48" a="1"/>
  <c r="DS31" i="48" s="1"/>
  <c r="DS22" i="48" a="1"/>
  <c r="DS22" i="48" s="1"/>
  <c r="DS27" i="48" a="1"/>
  <c r="DS27" i="48" s="1"/>
  <c r="DT1" i="48" a="1"/>
  <c r="DT1" i="48" s="1"/>
  <c r="DT48" i="48" l="1" a="1"/>
  <c r="DT48" i="48" s="1"/>
  <c r="DT40" i="48" a="1"/>
  <c r="DT40" i="48" s="1"/>
  <c r="DT35" i="48" a="1"/>
  <c r="DT35" i="48" s="1"/>
  <c r="DT22" i="48" a="1"/>
  <c r="DT22" i="48" s="1"/>
  <c r="DT49" i="48" a="1"/>
  <c r="DT49" i="48" s="1"/>
  <c r="DT42" i="48" a="1"/>
  <c r="DT42" i="48" s="1"/>
  <c r="DT31" i="48" a="1"/>
  <c r="DT31" i="48" s="1"/>
  <c r="DT27" i="48" a="1"/>
  <c r="DT27" i="48" s="1"/>
  <c r="DT19" i="48" a="1"/>
  <c r="DT19" i="48" s="1"/>
  <c r="DT8" i="48" a="1"/>
  <c r="DT8" i="48" s="1"/>
  <c r="DT9" i="48" a="1"/>
  <c r="DT9" i="48" s="1"/>
  <c r="DT5" i="48" a="1"/>
  <c r="DT5" i="48" s="1"/>
  <c r="DT47" i="48" a="1"/>
  <c r="DT47" i="48" s="1"/>
  <c r="DT39" i="48" a="1"/>
  <c r="DT39" i="48" s="1"/>
  <c r="DT28" i="48" a="1"/>
  <c r="DT28" i="48" s="1"/>
  <c r="DT23" i="48" a="1"/>
  <c r="DT23" i="48" s="1"/>
  <c r="DT46" i="48" a="1"/>
  <c r="DT46" i="48" s="1"/>
  <c r="DT36" i="48" a="1"/>
  <c r="DT36" i="48" s="1"/>
  <c r="DT32" i="48" a="1"/>
  <c r="DT32" i="48" s="1"/>
  <c r="DT24" i="48" a="1"/>
  <c r="DT24" i="48" s="1"/>
  <c r="DT17" i="48" a="1"/>
  <c r="DT17" i="48" s="1"/>
  <c r="DT14" i="48" a="1"/>
  <c r="DT14" i="48" s="1"/>
  <c r="DT15" i="48" a="1"/>
  <c r="DT15" i="48" s="1"/>
  <c r="DT6" i="48" a="1"/>
  <c r="DT6" i="48" s="1"/>
  <c r="DT43" i="48" a="1"/>
  <c r="DT43" i="48" s="1"/>
  <c r="DT38" i="48" a="1"/>
  <c r="DT38" i="48" s="1"/>
  <c r="DT29" i="48" a="1"/>
  <c r="DT29" i="48" s="1"/>
  <c r="DT21" i="48" a="1"/>
  <c r="DT21" i="48" s="1"/>
  <c r="DT44" i="48" a="1"/>
  <c r="DT44" i="48" s="1"/>
  <c r="DT37" i="48" a="1"/>
  <c r="DT37" i="48" s="1"/>
  <c r="DT30" i="48" a="1"/>
  <c r="DT30" i="48" s="1"/>
  <c r="DT20" i="48" a="1"/>
  <c r="DT20" i="48" s="1"/>
  <c r="DT13" i="48" a="1"/>
  <c r="DT13" i="48" s="1"/>
  <c r="DT12" i="48" a="1"/>
  <c r="DT12" i="48" s="1"/>
  <c r="DT4" i="48" a="1"/>
  <c r="DT4" i="48" s="1"/>
  <c r="DT3" i="48" a="1"/>
  <c r="DT3" i="48" s="1"/>
  <c r="DT34" i="48" a="1"/>
  <c r="DT34" i="48" s="1"/>
  <c r="DT33" i="48" a="1"/>
  <c r="DT33" i="48" s="1"/>
  <c r="DT10" i="48" a="1"/>
  <c r="DT10" i="48" s="1"/>
  <c r="DT25" i="48" a="1"/>
  <c r="DT25" i="48" s="1"/>
  <c r="DT26" i="48" a="1"/>
  <c r="DT26" i="48" s="1"/>
  <c r="DT7" i="48" a="1"/>
  <c r="DT7" i="48" s="1"/>
  <c r="DT50" i="48" a="1"/>
  <c r="DT50" i="48" s="1"/>
  <c r="DT18" i="48" a="1"/>
  <c r="DT18" i="48" s="1"/>
  <c r="DT51" i="48" a="1"/>
  <c r="DT51" i="48" s="1"/>
  <c r="DT16" i="48" a="1"/>
  <c r="DT16" i="48" s="1"/>
  <c r="DT2" i="48" a="1"/>
  <c r="DT2" i="48" s="1"/>
  <c r="DT45" i="48" a="1"/>
  <c r="DT45" i="48" s="1"/>
  <c r="DT41" i="48" a="1"/>
  <c r="DT41" i="48" s="1"/>
  <c r="DT11" i="48" a="1"/>
  <c r="DT11" i="48" s="1"/>
  <c r="DU1" i="48" a="1"/>
  <c r="DU1" i="48" s="1"/>
  <c r="DU47" i="48" l="1" a="1"/>
  <c r="DU47" i="48" s="1"/>
  <c r="DU45" i="48" a="1"/>
  <c r="DU45" i="48" s="1"/>
  <c r="DU41" i="48" a="1"/>
  <c r="DU41" i="48" s="1"/>
  <c r="DU36" i="48" a="1"/>
  <c r="DU36" i="48" s="1"/>
  <c r="DU28" i="48" a="1"/>
  <c r="DU28" i="48" s="1"/>
  <c r="DU31" i="48" a="1"/>
  <c r="DU31" i="48" s="1"/>
  <c r="DU25" i="48" a="1"/>
  <c r="DU25" i="48" s="1"/>
  <c r="DU20" i="48" a="1"/>
  <c r="DU20" i="48" s="1"/>
  <c r="DU15" i="48" a="1"/>
  <c r="DU15" i="48" s="1"/>
  <c r="DU10" i="48" a="1"/>
  <c r="DU10" i="48" s="1"/>
  <c r="DU8" i="48" a="1"/>
  <c r="DU8" i="48" s="1"/>
  <c r="DU6" i="48" a="1"/>
  <c r="DU6" i="48" s="1"/>
  <c r="DU51" i="48" a="1"/>
  <c r="DU51" i="48" s="1"/>
  <c r="DU48" i="48" a="1"/>
  <c r="DU48" i="48" s="1"/>
  <c r="DU43" i="48" a="1"/>
  <c r="DU43" i="48" s="1"/>
  <c r="DU37" i="48" a="1"/>
  <c r="DU37" i="48" s="1"/>
  <c r="DU35" i="48" a="1"/>
  <c r="DU35" i="48" s="1"/>
  <c r="DU32" i="48" a="1"/>
  <c r="DU32" i="48" s="1"/>
  <c r="DU27" i="48" a="1"/>
  <c r="DU27" i="48" s="1"/>
  <c r="DU26" i="48" a="1"/>
  <c r="DU26" i="48" s="1"/>
  <c r="DU19" i="48" a="1"/>
  <c r="DU19" i="48" s="1"/>
  <c r="DU18" i="48" a="1"/>
  <c r="DU18" i="48" s="1"/>
  <c r="DU9" i="48" a="1"/>
  <c r="DU9" i="48" s="1"/>
  <c r="DU7" i="48" a="1"/>
  <c r="DU7" i="48" s="1"/>
  <c r="DU4" i="48" a="1"/>
  <c r="DU4" i="48" s="1"/>
  <c r="DU50" i="48" a="1"/>
  <c r="DU50" i="48" s="1"/>
  <c r="DU46" i="48" a="1"/>
  <c r="DU46" i="48" s="1"/>
  <c r="DU40" i="48" a="1"/>
  <c r="DU40" i="48" s="1"/>
  <c r="DU38" i="48" a="1"/>
  <c r="DU38" i="48" s="1"/>
  <c r="DU34" i="48" a="1"/>
  <c r="DU34" i="48" s="1"/>
  <c r="DU29" i="48" a="1"/>
  <c r="DU29" i="48" s="1"/>
  <c r="DU23" i="48" a="1"/>
  <c r="DU23" i="48" s="1"/>
  <c r="DU22" i="48" a="1"/>
  <c r="DU22" i="48" s="1"/>
  <c r="DU17" i="48" a="1"/>
  <c r="DU17" i="48" s="1"/>
  <c r="DU14" i="48" a="1"/>
  <c r="DU14" i="48" s="1"/>
  <c r="DU13" i="48" a="1"/>
  <c r="DU13" i="48" s="1"/>
  <c r="DU2" i="48" a="1"/>
  <c r="DU2" i="48" s="1"/>
  <c r="DU5" i="48" a="1"/>
  <c r="DU5" i="48" s="1"/>
  <c r="DU44" i="48" a="1"/>
  <c r="DU44" i="48" s="1"/>
  <c r="DU30" i="48" a="1"/>
  <c r="DU30" i="48" s="1"/>
  <c r="DU12" i="48" a="1"/>
  <c r="DU12" i="48" s="1"/>
  <c r="DU42" i="48" a="1"/>
  <c r="DU42" i="48" s="1"/>
  <c r="DU24" i="48" a="1"/>
  <c r="DU24" i="48" s="1"/>
  <c r="DU11" i="48" a="1"/>
  <c r="DU11" i="48" s="1"/>
  <c r="DU39" i="48" a="1"/>
  <c r="DU39" i="48" s="1"/>
  <c r="DU21" i="48" a="1"/>
  <c r="DU21" i="48" s="1"/>
  <c r="DU3" i="48" a="1"/>
  <c r="DU3" i="48" s="1"/>
  <c r="DU33" i="48" a="1"/>
  <c r="DU33" i="48" s="1"/>
  <c r="DU16" i="48" a="1"/>
  <c r="DU16" i="48" s="1"/>
  <c r="DU49" i="48" a="1"/>
  <c r="DU49" i="48" s="1"/>
  <c r="DV1" i="48" a="1"/>
  <c r="DV1" i="48" s="1"/>
  <c r="DV51" i="48" l="1" a="1"/>
  <c r="DV51" i="48" s="1"/>
  <c r="DV47" i="48" a="1"/>
  <c r="DV47" i="48" s="1"/>
  <c r="DV44" i="48" a="1"/>
  <c r="DV44" i="48" s="1"/>
  <c r="DV38" i="48" a="1"/>
  <c r="DV38" i="48" s="1"/>
  <c r="DV35" i="48" a="1"/>
  <c r="DV35" i="48" s="1"/>
  <c r="DV30" i="48" a="1"/>
  <c r="DV30" i="48" s="1"/>
  <c r="DV24" i="48" a="1"/>
  <c r="DV24" i="48" s="1"/>
  <c r="DV27" i="48" a="1"/>
  <c r="DV27" i="48" s="1"/>
  <c r="DV19" i="48" a="1"/>
  <c r="DV19" i="48" s="1"/>
  <c r="DV14" i="48" a="1"/>
  <c r="DV14" i="48" s="1"/>
  <c r="DV15" i="48" a="1"/>
  <c r="DV15" i="48" s="1"/>
  <c r="DV6" i="48" a="1"/>
  <c r="DV6" i="48" s="1"/>
  <c r="DV7" i="48" a="1"/>
  <c r="DV7" i="48" s="1"/>
  <c r="DV49" i="48" a="1"/>
  <c r="DV49" i="48" s="1"/>
  <c r="DV46" i="48" a="1"/>
  <c r="DV46" i="48" s="1"/>
  <c r="DV42" i="48" a="1"/>
  <c r="DV42" i="48" s="1"/>
  <c r="DV39" i="48" a="1"/>
  <c r="DV39" i="48" s="1"/>
  <c r="DV33" i="48" a="1"/>
  <c r="DV33" i="48" s="1"/>
  <c r="DV31" i="48" a="1"/>
  <c r="DV31" i="48" s="1"/>
  <c r="DV25" i="48" a="1"/>
  <c r="DV25" i="48" s="1"/>
  <c r="DV23" i="48" a="1"/>
  <c r="DV23" i="48" s="1"/>
  <c r="DV17" i="48" a="1"/>
  <c r="DV17" i="48" s="1"/>
  <c r="DV12" i="48" a="1"/>
  <c r="DV12" i="48" s="1"/>
  <c r="DV13" i="48" a="1"/>
  <c r="DV13" i="48" s="1"/>
  <c r="DV4" i="48" a="1"/>
  <c r="DV4" i="48" s="1"/>
  <c r="DV3" i="48" a="1"/>
  <c r="DV3" i="48" s="1"/>
  <c r="DV50" i="48" a="1"/>
  <c r="DV50" i="48" s="1"/>
  <c r="DV45" i="48" a="1"/>
  <c r="DV45" i="48" s="1"/>
  <c r="DV41" i="48" a="1"/>
  <c r="DV41" i="48" s="1"/>
  <c r="DV36" i="48" a="1"/>
  <c r="DV36" i="48" s="1"/>
  <c r="DV34" i="48" a="1"/>
  <c r="DV34" i="48" s="1"/>
  <c r="DV28" i="48" a="1"/>
  <c r="DV28" i="48" s="1"/>
  <c r="DV26" i="48" a="1"/>
  <c r="DV26" i="48" s="1"/>
  <c r="DV21" i="48" a="1"/>
  <c r="DV21" i="48" s="1"/>
  <c r="DV16" i="48" a="1"/>
  <c r="DV16" i="48" s="1"/>
  <c r="DV10" i="48" a="1"/>
  <c r="DV10" i="48" s="1"/>
  <c r="DV11" i="48" a="1"/>
  <c r="DV11" i="48" s="1"/>
  <c r="DV5" i="48" a="1"/>
  <c r="DV5" i="48" s="1"/>
  <c r="DV48" i="48" a="1"/>
  <c r="DV48" i="48" s="1"/>
  <c r="DV32" i="48" a="1"/>
  <c r="DV32" i="48" s="1"/>
  <c r="DV18" i="48" a="1"/>
  <c r="DV18" i="48" s="1"/>
  <c r="DV43" i="48" a="1"/>
  <c r="DV43" i="48" s="1"/>
  <c r="DV29" i="48" a="1"/>
  <c r="DV29" i="48" s="1"/>
  <c r="DV8" i="48" a="1"/>
  <c r="DV8" i="48" s="1"/>
  <c r="DV40" i="48" a="1"/>
  <c r="DV40" i="48" s="1"/>
  <c r="DV22" i="48" a="1"/>
  <c r="DV22" i="48" s="1"/>
  <c r="DV9" i="48" a="1"/>
  <c r="DV9" i="48" s="1"/>
  <c r="DV20" i="48" a="1"/>
  <c r="DV20" i="48" s="1"/>
  <c r="DV2" i="48" a="1"/>
  <c r="DV2" i="48" s="1"/>
  <c r="DV37" i="48" a="1"/>
  <c r="DV37" i="48" s="1"/>
  <c r="DW1" i="48" a="1"/>
  <c r="DW1" i="48" s="1"/>
  <c r="DW50" i="48" l="1" a="1"/>
  <c r="DW50" i="48" s="1"/>
  <c r="DW46" i="48" a="1"/>
  <c r="DW46" i="48" s="1"/>
  <c r="DW42" i="48" a="1"/>
  <c r="DW42" i="48" s="1"/>
  <c r="DW39" i="48" a="1"/>
  <c r="DW39" i="48" s="1"/>
  <c r="DW34" i="48" a="1"/>
  <c r="DW34" i="48" s="1"/>
  <c r="DW29" i="48" a="1"/>
  <c r="DW29" i="48" s="1"/>
  <c r="DW22" i="48" a="1"/>
  <c r="DW22" i="48" s="1"/>
  <c r="DW25" i="48" a="1"/>
  <c r="DW25" i="48" s="1"/>
  <c r="DW16" i="48" a="1"/>
  <c r="DW16" i="48" s="1"/>
  <c r="DW13" i="48" a="1"/>
  <c r="DW13" i="48" s="1"/>
  <c r="DW12" i="48" a="1"/>
  <c r="DW12" i="48" s="1"/>
  <c r="DW5" i="48" a="1"/>
  <c r="DW5" i="48" s="1"/>
  <c r="DW4" i="48" a="1"/>
  <c r="DW4" i="48" s="1"/>
  <c r="DW49" i="48" a="1"/>
  <c r="DW49" i="48" s="1"/>
  <c r="DW43" i="48" a="1"/>
  <c r="DW43" i="48" s="1"/>
  <c r="DW40" i="48" a="1"/>
  <c r="DW40" i="48" s="1"/>
  <c r="DW37" i="48" a="1"/>
  <c r="DW37" i="48" s="1"/>
  <c r="DW33" i="48" a="1"/>
  <c r="DW33" i="48" s="1"/>
  <c r="DW32" i="48" a="1"/>
  <c r="DW32" i="48" s="1"/>
  <c r="DW27" i="48" a="1"/>
  <c r="DW27" i="48" s="1"/>
  <c r="DW21" i="48" a="1"/>
  <c r="DW21" i="48" s="1"/>
  <c r="DW15" i="48" a="1"/>
  <c r="DW15" i="48" s="1"/>
  <c r="DW11" i="48" a="1"/>
  <c r="DW11" i="48" s="1"/>
  <c r="DW10" i="48" a="1"/>
  <c r="DW10" i="48" s="1"/>
  <c r="DW3" i="48" a="1"/>
  <c r="DW3" i="48" s="1"/>
  <c r="DW48" i="48" a="1"/>
  <c r="DW48" i="48" s="1"/>
  <c r="DW44" i="48" a="1"/>
  <c r="DW44" i="48" s="1"/>
  <c r="DW41" i="48" a="1"/>
  <c r="DW41" i="48" s="1"/>
  <c r="DW38" i="48" a="1"/>
  <c r="DW38" i="48" s="1"/>
  <c r="DW31" i="48" a="1"/>
  <c r="DW31" i="48" s="1"/>
  <c r="DW30" i="48" a="1"/>
  <c r="DW30" i="48" s="1"/>
  <c r="DW23" i="48" a="1"/>
  <c r="DW23" i="48" s="1"/>
  <c r="DW20" i="48" a="1"/>
  <c r="DW20" i="48" s="1"/>
  <c r="DW19" i="48" a="1"/>
  <c r="DW19" i="48" s="1"/>
  <c r="DW9" i="48" a="1"/>
  <c r="DW9" i="48" s="1"/>
  <c r="DW8" i="48" a="1"/>
  <c r="DW8" i="48" s="1"/>
  <c r="DW2" i="48" a="1"/>
  <c r="DW2" i="48" s="1"/>
  <c r="DW51" i="48" a="1"/>
  <c r="DW51" i="48" s="1"/>
  <c r="DW35" i="48" a="1"/>
  <c r="DW35" i="48" s="1"/>
  <c r="DW18" i="48" a="1"/>
  <c r="DW18" i="48" s="1"/>
  <c r="DW7" i="48" a="1"/>
  <c r="DW7" i="48" s="1"/>
  <c r="DW47" i="48" a="1"/>
  <c r="DW47" i="48" s="1"/>
  <c r="DW28" i="48" a="1"/>
  <c r="DW28" i="48" s="1"/>
  <c r="DW17" i="48" a="1"/>
  <c r="DW17" i="48" s="1"/>
  <c r="DW45" i="48" a="1"/>
  <c r="DW45" i="48" s="1"/>
  <c r="DW26" i="48" a="1"/>
  <c r="DW26" i="48" s="1"/>
  <c r="DW14" i="48" a="1"/>
  <c r="DW14" i="48" s="1"/>
  <c r="DW6" i="48" a="1"/>
  <c r="DW6" i="48" s="1"/>
  <c r="DW36" i="48" a="1"/>
  <c r="DW36" i="48" s="1"/>
  <c r="DW24" i="48" a="1"/>
  <c r="DW24" i="48" s="1"/>
  <c r="DX1" i="48" a="1"/>
  <c r="DX1" i="48" s="1"/>
  <c r="DX49" i="48" l="1" a="1"/>
  <c r="DX49" i="48" s="1"/>
  <c r="DX44" i="48" a="1"/>
  <c r="DX44" i="48" s="1"/>
  <c r="DX40" i="48" a="1"/>
  <c r="DX40" i="48" s="1"/>
  <c r="DX38" i="48" a="1"/>
  <c r="DX38" i="48" s="1"/>
  <c r="DX34" i="48" a="1"/>
  <c r="DX34" i="48" s="1"/>
  <c r="DX32" i="48" a="1"/>
  <c r="DX32" i="48" s="1"/>
  <c r="DX24" i="48" a="1"/>
  <c r="DX24" i="48" s="1"/>
  <c r="DX21" i="48" a="1"/>
  <c r="DX21" i="48" s="1"/>
  <c r="DX19" i="48" a="1"/>
  <c r="DX19" i="48" s="1"/>
  <c r="DX9" i="48" a="1"/>
  <c r="DX9" i="48" s="1"/>
  <c r="DX12" i="48" a="1"/>
  <c r="DX12" i="48" s="1"/>
  <c r="DX6" i="48" a="1"/>
  <c r="DX6" i="48" s="1"/>
  <c r="DX47" i="48" a="1"/>
  <c r="DX47" i="48" s="1"/>
  <c r="DX45" i="48" a="1"/>
  <c r="DX45" i="48" s="1"/>
  <c r="DX42" i="48" a="1"/>
  <c r="DX42" i="48" s="1"/>
  <c r="DX36" i="48" a="1"/>
  <c r="DX36" i="48" s="1"/>
  <c r="DX31" i="48" a="1"/>
  <c r="DX31" i="48" s="1"/>
  <c r="DX28" i="48" a="1"/>
  <c r="DX28" i="48" s="1"/>
  <c r="DX25" i="48" a="1"/>
  <c r="DX25" i="48" s="1"/>
  <c r="DX20" i="48" a="1"/>
  <c r="DX20" i="48" s="1"/>
  <c r="DX17" i="48" a="1"/>
  <c r="DX17" i="48" s="1"/>
  <c r="DX15" i="48" a="1"/>
  <c r="DX15" i="48" s="1"/>
  <c r="DX10" i="48" a="1"/>
  <c r="DX10" i="48" s="1"/>
  <c r="DX5" i="48" a="1"/>
  <c r="DX5" i="48" s="1"/>
  <c r="DX50" i="48" a="1"/>
  <c r="DX50" i="48" s="1"/>
  <c r="DX48" i="48" a="1"/>
  <c r="DX48" i="48" s="1"/>
  <c r="DX43" i="48" a="1"/>
  <c r="DX43" i="48" s="1"/>
  <c r="DX39" i="48" a="1"/>
  <c r="DX39" i="48" s="1"/>
  <c r="DX33" i="48" a="1"/>
  <c r="DX33" i="48" s="1"/>
  <c r="DX29" i="48" a="1"/>
  <c r="DX29" i="48" s="1"/>
  <c r="DX27" i="48" a="1"/>
  <c r="DX27" i="48" s="1"/>
  <c r="DX26" i="48" a="1"/>
  <c r="DX26" i="48" s="1"/>
  <c r="DX18" i="48" a="1"/>
  <c r="DX18" i="48" s="1"/>
  <c r="DX13" i="48" a="1"/>
  <c r="DX13" i="48" s="1"/>
  <c r="DX8" i="48" a="1"/>
  <c r="DX8" i="48" s="1"/>
  <c r="DX7" i="48" a="1"/>
  <c r="DX7" i="48" s="1"/>
  <c r="DX3" i="48" a="1"/>
  <c r="DX3" i="48" s="1"/>
  <c r="DX37" i="48" a="1"/>
  <c r="DX37" i="48" s="1"/>
  <c r="DX22" i="48" a="1"/>
  <c r="DX22" i="48" s="1"/>
  <c r="DX4" i="48" a="1"/>
  <c r="DX4" i="48" s="1"/>
  <c r="DX51" i="48" a="1"/>
  <c r="DX51" i="48" s="1"/>
  <c r="DX35" i="48" a="1"/>
  <c r="DX35" i="48" s="1"/>
  <c r="DX16" i="48" a="1"/>
  <c r="DX16" i="48" s="1"/>
  <c r="DX2" i="48" a="1"/>
  <c r="DX2" i="48" s="1"/>
  <c r="DX46" i="48" a="1"/>
  <c r="DX46" i="48" s="1"/>
  <c r="DX30" i="48" a="1"/>
  <c r="DX30" i="48" s="1"/>
  <c r="DX11" i="48" a="1"/>
  <c r="DX11" i="48" s="1"/>
  <c r="DX41" i="48" a="1"/>
  <c r="DX41" i="48" s="1"/>
  <c r="DX23" i="48" a="1"/>
  <c r="DX23" i="48" s="1"/>
  <c r="DX14" i="48" a="1"/>
  <c r="DX14" i="48" s="1"/>
  <c r="DY1" i="48" a="1"/>
  <c r="DY1" i="48" s="1"/>
  <c r="DY48" i="48" l="1" a="1"/>
  <c r="DY48" i="48" s="1"/>
  <c r="DY44" i="48" a="1"/>
  <c r="DY44" i="48" s="1"/>
  <c r="DY42" i="48" a="1"/>
  <c r="DY42" i="48" s="1"/>
  <c r="DY37" i="48" a="1"/>
  <c r="DY37" i="48" s="1"/>
  <c r="DY30" i="48" a="1"/>
  <c r="DY30" i="48" s="1"/>
  <c r="DY29" i="48" a="1"/>
  <c r="DY29" i="48" s="1"/>
  <c r="DY27" i="48" a="1"/>
  <c r="DY27" i="48" s="1"/>
  <c r="DY20" i="48" a="1"/>
  <c r="DY20" i="48" s="1"/>
  <c r="DY15" i="48" a="1"/>
  <c r="DY15" i="48" s="1"/>
  <c r="DY10" i="48" a="1"/>
  <c r="DY10" i="48" s="1"/>
  <c r="DY8" i="48" a="1"/>
  <c r="DY8" i="48" s="1"/>
  <c r="DY5" i="48" a="1"/>
  <c r="DY5" i="48" s="1"/>
  <c r="DY51" i="48" a="1"/>
  <c r="DY51" i="48" s="1"/>
  <c r="DY47" i="48" a="1"/>
  <c r="DY47" i="48" s="1"/>
  <c r="DY45" i="48" a="1"/>
  <c r="DY45" i="48" s="1"/>
  <c r="DY38" i="48" a="1"/>
  <c r="DY38" i="48" s="1"/>
  <c r="DY34" i="48" a="1"/>
  <c r="DY34" i="48" s="1"/>
  <c r="DY32" i="48" a="1"/>
  <c r="DY32" i="48" s="1"/>
  <c r="DY25" i="48" a="1"/>
  <c r="DY25" i="48" s="1"/>
  <c r="DY23" i="48" a="1"/>
  <c r="DY23" i="48" s="1"/>
  <c r="DY19" i="48" a="1"/>
  <c r="DY19" i="48" s="1"/>
  <c r="DY18" i="48" a="1"/>
  <c r="DY18" i="48" s="1"/>
  <c r="DY13" i="48" a="1"/>
  <c r="DY13" i="48" s="1"/>
  <c r="DY7" i="48" a="1"/>
  <c r="DY7" i="48" s="1"/>
  <c r="DY3" i="48" a="1"/>
  <c r="DY3" i="48" s="1"/>
  <c r="DY50" i="48" a="1"/>
  <c r="DY50" i="48" s="1"/>
  <c r="DY46" i="48" a="1"/>
  <c r="DY46" i="48" s="1"/>
  <c r="DY41" i="48" a="1"/>
  <c r="DY41" i="48" s="1"/>
  <c r="DY36" i="48" a="1"/>
  <c r="DY36" i="48" s="1"/>
  <c r="DY35" i="48" a="1"/>
  <c r="DY35" i="48" s="1"/>
  <c r="DY28" i="48" a="1"/>
  <c r="DY28" i="48" s="1"/>
  <c r="DY26" i="48" a="1"/>
  <c r="DY26" i="48" s="1"/>
  <c r="DY24" i="48" a="1"/>
  <c r="DY24" i="48" s="1"/>
  <c r="DY17" i="48" a="1"/>
  <c r="DY17" i="48" s="1"/>
  <c r="DY14" i="48" a="1"/>
  <c r="DY14" i="48" s="1"/>
  <c r="DY11" i="48" a="1"/>
  <c r="DY11" i="48" s="1"/>
  <c r="DY4" i="48" a="1"/>
  <c r="DY4" i="48" s="1"/>
  <c r="DY6" i="48" a="1"/>
  <c r="DY6" i="48" s="1"/>
  <c r="DY40" i="48" a="1"/>
  <c r="DY40" i="48" s="1"/>
  <c r="DY22" i="48" a="1"/>
  <c r="DY22" i="48" s="1"/>
  <c r="DY9" i="48" a="1"/>
  <c r="DY9" i="48" s="1"/>
  <c r="DY39" i="48" a="1"/>
  <c r="DY39" i="48" s="1"/>
  <c r="DY21" i="48" a="1"/>
  <c r="DY21" i="48" s="1"/>
  <c r="DY2" i="48" a="1"/>
  <c r="DY2" i="48" s="1"/>
  <c r="DY49" i="48" a="1"/>
  <c r="DY49" i="48" s="1"/>
  <c r="DY33" i="48" a="1"/>
  <c r="DY33" i="48" s="1"/>
  <c r="DY16" i="48" a="1"/>
  <c r="DY16" i="48" s="1"/>
  <c r="DY43" i="48" a="1"/>
  <c r="DY43" i="48" s="1"/>
  <c r="DY31" i="48" a="1"/>
  <c r="DY31" i="48" s="1"/>
  <c r="DY12" i="48" a="1"/>
  <c r="DY12" i="48" s="1"/>
  <c r="DZ1" i="48" a="1"/>
  <c r="DZ1" i="48" s="1"/>
  <c r="DZ51" i="48" l="1" a="1"/>
  <c r="DZ51" i="48" s="1"/>
  <c r="DZ46" i="48" a="1"/>
  <c r="DZ46" i="48" s="1"/>
  <c r="DZ45" i="48" a="1"/>
  <c r="DZ45" i="48" s="1"/>
  <c r="DZ38" i="48" a="1"/>
  <c r="DZ38" i="48" s="1"/>
  <c r="DZ35" i="48" a="1"/>
  <c r="DZ35" i="48" s="1"/>
  <c r="DZ28" i="48" a="1"/>
  <c r="DZ28" i="48" s="1"/>
  <c r="DZ26" i="48" a="1"/>
  <c r="DZ26" i="48" s="1"/>
  <c r="DZ24" i="48" a="1"/>
  <c r="DZ24" i="48" s="1"/>
  <c r="DZ19" i="48" a="1"/>
  <c r="DZ19" i="48" s="1"/>
  <c r="DZ15" i="48" a="1"/>
  <c r="DZ15" i="48" s="1"/>
  <c r="DZ9" i="48" a="1"/>
  <c r="DZ9" i="48" s="1"/>
  <c r="DZ5" i="48" a="1"/>
  <c r="DZ5" i="48" s="1"/>
  <c r="DZ4" i="48" a="1"/>
  <c r="DZ4" i="48" s="1"/>
  <c r="DZ50" i="48" a="1"/>
  <c r="DZ50" i="48" s="1"/>
  <c r="DZ47" i="48" a="1"/>
  <c r="DZ47" i="48" s="1"/>
  <c r="DZ42" i="48" a="1"/>
  <c r="DZ42" i="48" s="1"/>
  <c r="DZ36" i="48" a="1"/>
  <c r="DZ36" i="48" s="1"/>
  <c r="DZ33" i="48" a="1"/>
  <c r="DZ33" i="48" s="1"/>
  <c r="DZ29" i="48" a="1"/>
  <c r="DZ29" i="48" s="1"/>
  <c r="DZ22" i="48" a="1"/>
  <c r="DZ22" i="48" s="1"/>
  <c r="DZ25" i="48" a="1"/>
  <c r="DZ25" i="48" s="1"/>
  <c r="DZ17" i="48" a="1"/>
  <c r="DZ17" i="48" s="1"/>
  <c r="DZ14" i="48" a="1"/>
  <c r="DZ14" i="48" s="1"/>
  <c r="DZ8" i="48" a="1"/>
  <c r="DZ8" i="48" s="1"/>
  <c r="DZ6" i="48" a="1"/>
  <c r="DZ6" i="48" s="1"/>
  <c r="DZ3" i="48" a="1"/>
  <c r="DZ3" i="48" s="1"/>
  <c r="DZ49" i="48" a="1"/>
  <c r="DZ49" i="48" s="1"/>
  <c r="DZ43" i="48" a="1"/>
  <c r="DZ43" i="48" s="1"/>
  <c r="DZ41" i="48" a="1"/>
  <c r="DZ41" i="48" s="1"/>
  <c r="DZ39" i="48" a="1"/>
  <c r="DZ39" i="48" s="1"/>
  <c r="DZ34" i="48" a="1"/>
  <c r="DZ34" i="48" s="1"/>
  <c r="DZ31" i="48" a="1"/>
  <c r="DZ31" i="48" s="1"/>
  <c r="DZ20" i="48" a="1"/>
  <c r="DZ20" i="48" s="1"/>
  <c r="DZ44" i="48" a="1"/>
  <c r="DZ44" i="48" s="1"/>
  <c r="DZ16" i="48" a="1"/>
  <c r="DZ16" i="48" s="1"/>
  <c r="DZ11" i="48" a="1"/>
  <c r="DZ11" i="48" s="1"/>
  <c r="DZ30" i="48" a="1"/>
  <c r="DZ30" i="48" s="1"/>
  <c r="DZ2" i="48" a="1"/>
  <c r="DZ2" i="48" s="1"/>
  <c r="DZ40" i="48" a="1"/>
  <c r="DZ40" i="48" s="1"/>
  <c r="DZ27" i="48" a="1"/>
  <c r="DZ27" i="48" s="1"/>
  <c r="DZ18" i="48" a="1"/>
  <c r="DZ18" i="48" s="1"/>
  <c r="DZ12" i="48" a="1"/>
  <c r="DZ12" i="48" s="1"/>
  <c r="DZ7" i="48" a="1"/>
  <c r="DZ7" i="48" s="1"/>
  <c r="DZ37" i="48" a="1"/>
  <c r="DZ37" i="48" s="1"/>
  <c r="DZ23" i="48" a="1"/>
  <c r="DZ23" i="48" s="1"/>
  <c r="DZ32" i="48" a="1"/>
  <c r="DZ32" i="48" s="1"/>
  <c r="DZ21" i="48" a="1"/>
  <c r="DZ21" i="48" s="1"/>
  <c r="DZ10" i="48" a="1"/>
  <c r="DZ10" i="48" s="1"/>
  <c r="DZ13" i="48" a="1"/>
  <c r="DZ13" i="48" s="1"/>
  <c r="DZ48" i="48" a="1"/>
  <c r="DZ48" i="48" s="1"/>
  <c r="EA1" i="48" a="1"/>
  <c r="EA1" i="48" s="1"/>
  <c r="EA50" i="48" l="1" a="1"/>
  <c r="EA50" i="48" s="1"/>
  <c r="EA46" i="48" a="1"/>
  <c r="EA46" i="48" s="1"/>
  <c r="EA41" i="48" a="1"/>
  <c r="EA41" i="48" s="1"/>
  <c r="EA37" i="48" a="1"/>
  <c r="EA37" i="48" s="1"/>
  <c r="EA33" i="48" a="1"/>
  <c r="EA33" i="48" s="1"/>
  <c r="EA30" i="48" a="1"/>
  <c r="EA30" i="48" s="1"/>
  <c r="EA25" i="48" a="1"/>
  <c r="EA25" i="48" s="1"/>
  <c r="EA23" i="48" a="1"/>
  <c r="EA23" i="48" s="1"/>
  <c r="EA16" i="48" a="1"/>
  <c r="EA16" i="48" s="1"/>
  <c r="EA9" i="48" a="1"/>
  <c r="EA9" i="48" s="1"/>
  <c r="EA12" i="48" a="1"/>
  <c r="EA12" i="48" s="1"/>
  <c r="EA2" i="48" a="1"/>
  <c r="EA2" i="48" s="1"/>
  <c r="EA5" i="48" a="1"/>
  <c r="EA5" i="48" s="1"/>
  <c r="EA49" i="48" a="1"/>
  <c r="EA49" i="48" s="1"/>
  <c r="EA45" i="48" a="1"/>
  <c r="EA45" i="48" s="1"/>
  <c r="EA40" i="48" a="1"/>
  <c r="EA40" i="48" s="1"/>
  <c r="EA36" i="48" a="1"/>
  <c r="EA36" i="48" s="1"/>
  <c r="EA34" i="48" a="1"/>
  <c r="EA34" i="48" s="1"/>
  <c r="EA32" i="48" a="1"/>
  <c r="EA32" i="48" s="1"/>
  <c r="EA26" i="48" a="1"/>
  <c r="EA26" i="48" s="1"/>
  <c r="EA21" i="48" a="1"/>
  <c r="EA21" i="48" s="1"/>
  <c r="EA15" i="48" a="1"/>
  <c r="EA15" i="48" s="1"/>
  <c r="EA13" i="48" a="1"/>
  <c r="EA13" i="48" s="1"/>
  <c r="EA10" i="48" a="1"/>
  <c r="EA10" i="48" s="1"/>
  <c r="EA4" i="48" a="1"/>
  <c r="EA4" i="48" s="1"/>
  <c r="EA48" i="48" a="1"/>
  <c r="EA48" i="48" s="1"/>
  <c r="EA39" i="48" a="1"/>
  <c r="EA39" i="48" s="1"/>
  <c r="EA19" i="48" a="1"/>
  <c r="EA19" i="48" s="1"/>
  <c r="EA6" i="48" a="1"/>
  <c r="EA6" i="48" s="1"/>
  <c r="EA38" i="48" a="1"/>
  <c r="EA38" i="48" s="1"/>
  <c r="EA24" i="48" a="1"/>
  <c r="EA24" i="48" s="1"/>
  <c r="EA3" i="48" a="1"/>
  <c r="EA3" i="48" s="1"/>
  <c r="EA47" i="48" a="1"/>
  <c r="EA47" i="48" s="1"/>
  <c r="EA22" i="48" a="1"/>
  <c r="EA22" i="48" s="1"/>
  <c r="EA17" i="48" a="1"/>
  <c r="EA17" i="48" s="1"/>
  <c r="EA43" i="48" a="1"/>
  <c r="EA43" i="48" s="1"/>
  <c r="EA35" i="48" a="1"/>
  <c r="EA35" i="48" s="1"/>
  <c r="EA11" i="48" a="1"/>
  <c r="EA11" i="48" s="1"/>
  <c r="EA7" i="48" a="1"/>
  <c r="EA7" i="48" s="1"/>
  <c r="EA29" i="48" a="1"/>
  <c r="EA29" i="48" s="1"/>
  <c r="EA27" i="48" a="1"/>
  <c r="EA27" i="48" s="1"/>
  <c r="EA44" i="48" a="1"/>
  <c r="EA44" i="48" s="1"/>
  <c r="EA20" i="48" a="1"/>
  <c r="EA20" i="48" s="1"/>
  <c r="EA14" i="48" a="1"/>
  <c r="EA14" i="48" s="1"/>
  <c r="EA42" i="48" a="1"/>
  <c r="EA42" i="48" s="1"/>
  <c r="EA31" i="48" a="1"/>
  <c r="EA31" i="48" s="1"/>
  <c r="EA28" i="48" a="1"/>
  <c r="EA28" i="48" s="1"/>
  <c r="EA18" i="48" a="1"/>
  <c r="EA18" i="48" s="1"/>
  <c r="EA8" i="48" a="1"/>
  <c r="EA8" i="48" s="1"/>
  <c r="EA51" i="48" a="1"/>
  <c r="EA51" i="48" s="1"/>
  <c r="EB1" i="48" a="1"/>
  <c r="EB1" i="48" s="1"/>
  <c r="EB49" i="48" l="1" a="1"/>
  <c r="EB49" i="48" s="1"/>
  <c r="EB43" i="48" a="1"/>
  <c r="EB43" i="48" s="1"/>
  <c r="EB42" i="48" a="1"/>
  <c r="EB42" i="48" s="1"/>
  <c r="EB36" i="48" a="1"/>
  <c r="EB36" i="48" s="1"/>
  <c r="EB33" i="48" a="1"/>
  <c r="EB33" i="48" s="1"/>
  <c r="EB29" i="48" a="1"/>
  <c r="EB29" i="48" s="1"/>
  <c r="EB22" i="48" a="1"/>
  <c r="EB22" i="48" s="1"/>
  <c r="EB21" i="48" a="1"/>
  <c r="EB21" i="48" s="1"/>
  <c r="EB19" i="48" a="1"/>
  <c r="EB19" i="48" s="1"/>
  <c r="EB48" i="48" a="1"/>
  <c r="EB48" i="48" s="1"/>
  <c r="EB44" i="48" a="1"/>
  <c r="EB44" i="48" s="1"/>
  <c r="EB40" i="48" a="1"/>
  <c r="EB40" i="48" s="1"/>
  <c r="EB38" i="48" a="1"/>
  <c r="EB38" i="48" s="1"/>
  <c r="EB31" i="48" a="1"/>
  <c r="EB31" i="48" s="1"/>
  <c r="EB30" i="48" a="1"/>
  <c r="EB30" i="48" s="1"/>
  <c r="EB27" i="48" a="1"/>
  <c r="EB27" i="48" s="1"/>
  <c r="EB20" i="48" a="1"/>
  <c r="EB20" i="48" s="1"/>
  <c r="EB17" i="48" a="1"/>
  <c r="EB17" i="48" s="1"/>
  <c r="EB34" i="48" a="1"/>
  <c r="EB34" i="48" s="1"/>
  <c r="EB26" i="48" a="1"/>
  <c r="EB26" i="48" s="1"/>
  <c r="EB15" i="48" a="1"/>
  <c r="EB15" i="48" s="1"/>
  <c r="EB2" i="48" a="1"/>
  <c r="EB2" i="48" s="1"/>
  <c r="EB46" i="48" a="1"/>
  <c r="EB46" i="48" s="1"/>
  <c r="EB23" i="48" a="1"/>
  <c r="EB23" i="48" s="1"/>
  <c r="EB11" i="48" a="1"/>
  <c r="EB11" i="48" s="1"/>
  <c r="EB4" i="48" a="1"/>
  <c r="EB4" i="48" s="1"/>
  <c r="EB45" i="48" a="1"/>
  <c r="EB45" i="48" s="1"/>
  <c r="EB35" i="48" a="1"/>
  <c r="EB35" i="48" s="1"/>
  <c r="EB8" i="48" a="1"/>
  <c r="EB8" i="48" s="1"/>
  <c r="EB28" i="48" a="1"/>
  <c r="EB28" i="48" s="1"/>
  <c r="EB24" i="48" a="1"/>
  <c r="EB24" i="48" s="1"/>
  <c r="EB14" i="48" a="1"/>
  <c r="EB14" i="48" s="1"/>
  <c r="EB7" i="48" a="1"/>
  <c r="EB7" i="48" s="1"/>
  <c r="EB51" i="48" a="1"/>
  <c r="EB51" i="48" s="1"/>
  <c r="EB41" i="48" a="1"/>
  <c r="EB41" i="48" s="1"/>
  <c r="EB18" i="48" a="1"/>
  <c r="EB18" i="48" s="1"/>
  <c r="EB12" i="48" a="1"/>
  <c r="EB12" i="48" s="1"/>
  <c r="EB5" i="48" a="1"/>
  <c r="EB5" i="48" s="1"/>
  <c r="EB39" i="48" a="1"/>
  <c r="EB39" i="48" s="1"/>
  <c r="EB32" i="48" a="1"/>
  <c r="EB32" i="48" s="1"/>
  <c r="EB6" i="48" a="1"/>
  <c r="EB6" i="48" s="1"/>
  <c r="EB50" i="48" a="1"/>
  <c r="EB50" i="48" s="1"/>
  <c r="EB10" i="48" a="1"/>
  <c r="EB10" i="48" s="1"/>
  <c r="EB47" i="48" a="1"/>
  <c r="EB47" i="48" s="1"/>
  <c r="EB9" i="48" a="1"/>
  <c r="EB9" i="48" s="1"/>
  <c r="EB3" i="48" a="1"/>
  <c r="EB3" i="48" s="1"/>
  <c r="EB37" i="48" a="1"/>
  <c r="EB37" i="48" s="1"/>
  <c r="EB25" i="48" a="1"/>
  <c r="EB25" i="48" s="1"/>
  <c r="EB16" i="48" a="1"/>
  <c r="EB16" i="48" s="1"/>
  <c r="EB13" i="48" a="1"/>
  <c r="EB13" i="48" s="1"/>
  <c r="EC1" i="48" a="1"/>
  <c r="EC1" i="48" s="1"/>
  <c r="EC46" i="48" l="1" a="1"/>
  <c r="EC46" i="48" s="1"/>
  <c r="EC41" i="48" a="1"/>
  <c r="EC41" i="48" s="1"/>
  <c r="EC27" i="48" a="1"/>
  <c r="EC27" i="48" s="1"/>
  <c r="EC21" i="48" a="1"/>
  <c r="EC21" i="48" s="1"/>
  <c r="EC14" i="48" a="1"/>
  <c r="EC14" i="48" s="1"/>
  <c r="EC8" i="48" a="1"/>
  <c r="EC8" i="48" s="1"/>
  <c r="EC38" i="48" a="1"/>
  <c r="EC38" i="48" s="1"/>
  <c r="EC33" i="48" a="1"/>
  <c r="EC33" i="48" s="1"/>
  <c r="EC23" i="48" a="1"/>
  <c r="EC23" i="48" s="1"/>
  <c r="EC20" i="48" a="1"/>
  <c r="EC20" i="48" s="1"/>
  <c r="EC7" i="48" a="1"/>
  <c r="EC7" i="48" s="1"/>
  <c r="EC51" i="48" a="1"/>
  <c r="EC51" i="48" s="1"/>
  <c r="EC44" i="48" a="1"/>
  <c r="EC44" i="48" s="1"/>
  <c r="EC39" i="48" a="1"/>
  <c r="EC39" i="48" s="1"/>
  <c r="EC28" i="48" a="1"/>
  <c r="EC28" i="48" s="1"/>
  <c r="EC19" i="48" a="1"/>
  <c r="EC19" i="48" s="1"/>
  <c r="EC12" i="48" a="1"/>
  <c r="EC12" i="48" s="1"/>
  <c r="EC3" i="48" a="1"/>
  <c r="EC3" i="48" s="1"/>
  <c r="EC50" i="48" a="1"/>
  <c r="EC50" i="48" s="1"/>
  <c r="EC45" i="48" a="1"/>
  <c r="EC45" i="48" s="1"/>
  <c r="EC32" i="48" a="1"/>
  <c r="EC32" i="48" s="1"/>
  <c r="EC24" i="48" a="1"/>
  <c r="EC24" i="48" s="1"/>
  <c r="EC17" i="48" a="1"/>
  <c r="EC17" i="48" s="1"/>
  <c r="EC10" i="48" a="1"/>
  <c r="EC10" i="48" s="1"/>
  <c r="EC43" i="48" a="1"/>
  <c r="EC43" i="48" s="1"/>
  <c r="EC37" i="48" a="1"/>
  <c r="EC37" i="48" s="1"/>
  <c r="EC29" i="48" a="1"/>
  <c r="EC29" i="48" s="1"/>
  <c r="EC25" i="48" a="1"/>
  <c r="EC25" i="48" s="1"/>
  <c r="EC9" i="48" a="1"/>
  <c r="EC9" i="48" s="1"/>
  <c r="EC2" i="48" a="1"/>
  <c r="EC2" i="48" s="1"/>
  <c r="EC49" i="48" a="1"/>
  <c r="EC49" i="48" s="1"/>
  <c r="EC40" i="48" a="1"/>
  <c r="EC40" i="48" s="1"/>
  <c r="EC36" i="48" a="1"/>
  <c r="EC36" i="48" s="1"/>
  <c r="EC26" i="48" a="1"/>
  <c r="EC26" i="48" s="1"/>
  <c r="EC16" i="48" a="1"/>
  <c r="EC16" i="48" s="1"/>
  <c r="EC13" i="48" a="1"/>
  <c r="EC13" i="48" s="1"/>
  <c r="EC6" i="48" a="1"/>
  <c r="EC6" i="48" s="1"/>
  <c r="EC35" i="48" a="1"/>
  <c r="EC35" i="48" s="1"/>
  <c r="EC34" i="48" a="1"/>
  <c r="EC34" i="48" s="1"/>
  <c r="EC11" i="48" a="1"/>
  <c r="EC11" i="48" s="1"/>
  <c r="EC30" i="48" a="1"/>
  <c r="EC30" i="48" s="1"/>
  <c r="EC4" i="48" a="1"/>
  <c r="EC4" i="48" s="1"/>
  <c r="EC31" i="48" a="1"/>
  <c r="EC31" i="48" s="1"/>
  <c r="EC5" i="48" a="1"/>
  <c r="EC5" i="48" s="1"/>
  <c r="EC47" i="48" a="1"/>
  <c r="EC47" i="48" s="1"/>
  <c r="EC22" i="48" a="1"/>
  <c r="EC22" i="48" s="1"/>
  <c r="EC48" i="48" a="1"/>
  <c r="EC48" i="48" s="1"/>
  <c r="EC15" i="48" a="1"/>
  <c r="EC15" i="48" s="1"/>
  <c r="EC42" i="48" a="1"/>
  <c r="EC42" i="48" s="1"/>
  <c r="EC18" i="48" a="1"/>
  <c r="EC18" i="48" s="1"/>
  <c r="ED1" i="48" a="1"/>
  <c r="ED1" i="48" s="1"/>
  <c r="ED46" i="48" l="1" a="1"/>
  <c r="ED46" i="48" s="1"/>
  <c r="ED40" i="48" a="1"/>
  <c r="ED40" i="48" s="1"/>
  <c r="ED35" i="48" a="1"/>
  <c r="ED35" i="48" s="1"/>
  <c r="ED24" i="48" a="1"/>
  <c r="ED24" i="48" s="1"/>
  <c r="ED12" i="48" a="1"/>
  <c r="ED12" i="48" s="1"/>
  <c r="ED9" i="48" a="1"/>
  <c r="ED9" i="48" s="1"/>
  <c r="ED45" i="48" a="1"/>
  <c r="ED45" i="48" s="1"/>
  <c r="ED38" i="48" a="1"/>
  <c r="ED38" i="48" s="1"/>
  <c r="ED25" i="48" a="1"/>
  <c r="ED25" i="48" s="1"/>
  <c r="ED20" i="48" a="1"/>
  <c r="ED20" i="48" s="1"/>
  <c r="ED10" i="48" a="1"/>
  <c r="ED10" i="48" s="1"/>
  <c r="ED6" i="48" a="1"/>
  <c r="ED6" i="48" s="1"/>
  <c r="ED49" i="48" a="1"/>
  <c r="ED49" i="48" s="1"/>
  <c r="ED39" i="48" a="1"/>
  <c r="ED39" i="48" s="1"/>
  <c r="ED32" i="48" a="1"/>
  <c r="ED32" i="48" s="1"/>
  <c r="ED26" i="48" a="1"/>
  <c r="ED26" i="48" s="1"/>
  <c r="ED19" i="48" a="1"/>
  <c r="ED19" i="48" s="1"/>
  <c r="ED4" i="48" a="1"/>
  <c r="ED4" i="48" s="1"/>
  <c r="ED50" i="48" a="1"/>
  <c r="ED50" i="48" s="1"/>
  <c r="ED43" i="48" a="1"/>
  <c r="ED43" i="48" s="1"/>
  <c r="ED37" i="48" a="1"/>
  <c r="ED37" i="48" s="1"/>
  <c r="ED30" i="48" a="1"/>
  <c r="ED30" i="48" s="1"/>
  <c r="ED17" i="48" a="1"/>
  <c r="ED17" i="48" s="1"/>
  <c r="ED8" i="48" a="1"/>
  <c r="ED8" i="48" s="1"/>
  <c r="ED5" i="48" a="1"/>
  <c r="ED5" i="48" s="1"/>
  <c r="ED51" i="48" a="1"/>
  <c r="ED51" i="48" s="1"/>
  <c r="ED44" i="48" a="1"/>
  <c r="ED44" i="48" s="1"/>
  <c r="ED31" i="48" a="1"/>
  <c r="ED31" i="48" s="1"/>
  <c r="ED22" i="48" a="1"/>
  <c r="ED22" i="48" s="1"/>
  <c r="ED16" i="48" a="1"/>
  <c r="ED16" i="48" s="1"/>
  <c r="ED15" i="48" a="1"/>
  <c r="ED15" i="48" s="1"/>
  <c r="ED42" i="48" a="1"/>
  <c r="ED42" i="48" s="1"/>
  <c r="ED36" i="48" a="1"/>
  <c r="ED36" i="48" s="1"/>
  <c r="ED28" i="48" a="1"/>
  <c r="ED28" i="48" s="1"/>
  <c r="ED27" i="48" a="1"/>
  <c r="ED27" i="48" s="1"/>
  <c r="ED13" i="48" a="1"/>
  <c r="ED13" i="48" s="1"/>
  <c r="ED2" i="48" a="1"/>
  <c r="ED2" i="48" s="1"/>
  <c r="ED34" i="48" a="1"/>
  <c r="ED34" i="48" s="1"/>
  <c r="ED11" i="48" a="1"/>
  <c r="ED11" i="48" s="1"/>
  <c r="ED33" i="48" a="1"/>
  <c r="ED33" i="48" s="1"/>
  <c r="ED7" i="48" a="1"/>
  <c r="ED7" i="48" s="1"/>
  <c r="ED29" i="48" a="1"/>
  <c r="ED29" i="48" s="1"/>
  <c r="ED3" i="48" a="1"/>
  <c r="ED3" i="48" s="1"/>
  <c r="ED48" i="48" a="1"/>
  <c r="ED48" i="48" s="1"/>
  <c r="ED23" i="48" a="1"/>
  <c r="ED23" i="48" s="1"/>
  <c r="ED47" i="48" a="1"/>
  <c r="ED47" i="48" s="1"/>
  <c r="ED21" i="48" a="1"/>
  <c r="ED21" i="48" s="1"/>
  <c r="ED41" i="48" a="1"/>
  <c r="ED41" i="48" s="1"/>
  <c r="ED18" i="48" a="1"/>
  <c r="ED18" i="48" s="1"/>
  <c r="ED14" i="48" a="1"/>
  <c r="ED14" i="48" s="1"/>
  <c r="EE1" i="48" a="1"/>
  <c r="EE1" i="48" s="1"/>
  <c r="EE47" i="48" l="1" a="1"/>
  <c r="EE47" i="48" s="1"/>
  <c r="EE34" i="48" a="1"/>
  <c r="EE34" i="48" s="1"/>
  <c r="EE26" i="48" a="1"/>
  <c r="EE26" i="48" s="1"/>
  <c r="EE20" i="48" a="1"/>
  <c r="EE20" i="48" s="1"/>
  <c r="EE13" i="48" a="1"/>
  <c r="EE13" i="48" s="1"/>
  <c r="EE43" i="48" a="1"/>
  <c r="EE43" i="48" s="1"/>
  <c r="EE36" i="48" a="1"/>
  <c r="EE36" i="48" s="1"/>
  <c r="EE31" i="48" a="1"/>
  <c r="EE31" i="48" s="1"/>
  <c r="EE22" i="48" a="1"/>
  <c r="EE22" i="48" s="1"/>
  <c r="EE11" i="48" a="1"/>
  <c r="EE11" i="48" s="1"/>
  <c r="EE6" i="48" a="1"/>
  <c r="EE6" i="48" s="1"/>
  <c r="EE51" i="48" a="1"/>
  <c r="EE51" i="48" s="1"/>
  <c r="EE44" i="48" a="1"/>
  <c r="EE44" i="48" s="1"/>
  <c r="EE39" i="48" a="1"/>
  <c r="EE39" i="48" s="1"/>
  <c r="EE27" i="48" a="1"/>
  <c r="EE27" i="48" s="1"/>
  <c r="EE18" i="48" a="1"/>
  <c r="EE18" i="48" s="1"/>
  <c r="EE9" i="48" a="1"/>
  <c r="EE9" i="48" s="1"/>
  <c r="EE5" i="48" a="1"/>
  <c r="EE5" i="48" s="1"/>
  <c r="EE50" i="48" a="1"/>
  <c r="EE50" i="48" s="1"/>
  <c r="EE37" i="48" a="1"/>
  <c r="EE37" i="48" s="1"/>
  <c r="EE28" i="48" a="1"/>
  <c r="EE28" i="48" s="1"/>
  <c r="EE23" i="48" a="1"/>
  <c r="EE23" i="48" s="1"/>
  <c r="EE16" i="48" a="1"/>
  <c r="EE16" i="48" s="1"/>
  <c r="EE2" i="48" a="1"/>
  <c r="EE2" i="48" s="1"/>
  <c r="EE49" i="48" a="1"/>
  <c r="EE49" i="48" s="1"/>
  <c r="EE45" i="48" a="1"/>
  <c r="EE45" i="48" s="1"/>
  <c r="EE38" i="48" a="1"/>
  <c r="EE38" i="48" s="1"/>
  <c r="EE29" i="48" a="1"/>
  <c r="EE29" i="48" s="1"/>
  <c r="EE15" i="48" a="1"/>
  <c r="EE15" i="48" s="1"/>
  <c r="EE14" i="48" a="1"/>
  <c r="EE14" i="48" s="1"/>
  <c r="EE3" i="48" a="1"/>
  <c r="EE3" i="48" s="1"/>
  <c r="EE48" i="48" a="1"/>
  <c r="EE48" i="48" s="1"/>
  <c r="EE42" i="48" a="1"/>
  <c r="EE42" i="48" s="1"/>
  <c r="EE32" i="48" a="1"/>
  <c r="EE32" i="48" s="1"/>
  <c r="EE24" i="48" a="1"/>
  <c r="EE24" i="48" s="1"/>
  <c r="EE19" i="48" a="1"/>
  <c r="EE19" i="48" s="1"/>
  <c r="EE12" i="48" a="1"/>
  <c r="EE12" i="48" s="1"/>
  <c r="EE35" i="48" a="1"/>
  <c r="EE35" i="48" s="1"/>
  <c r="EE10" i="48" a="1"/>
  <c r="EE10" i="48" s="1"/>
  <c r="EE33" i="48" a="1"/>
  <c r="EE33" i="48" s="1"/>
  <c r="EE8" i="48" a="1"/>
  <c r="EE8" i="48" s="1"/>
  <c r="EE30" i="48" a="1"/>
  <c r="EE30" i="48" s="1"/>
  <c r="EE7" i="48" a="1"/>
  <c r="EE7" i="48" s="1"/>
  <c r="EE17" i="48" a="1"/>
  <c r="EE17" i="48" s="1"/>
  <c r="EE4" i="48" a="1"/>
  <c r="EE4" i="48" s="1"/>
  <c r="EE25" i="48" a="1"/>
  <c r="EE25" i="48" s="1"/>
  <c r="EE46" i="48" a="1"/>
  <c r="EE46" i="48" s="1"/>
  <c r="EE21" i="48" a="1"/>
  <c r="EE21" i="48" s="1"/>
  <c r="EE41" i="48" a="1"/>
  <c r="EE41" i="48" s="1"/>
  <c r="EE40" i="48" a="1"/>
  <c r="EE40" i="48" s="1"/>
  <c r="EF1" i="48" a="1"/>
  <c r="EF1" i="48" s="1"/>
  <c r="EF46" i="48" l="1" a="1"/>
  <c r="EF46" i="48" s="1"/>
  <c r="EF39" i="48" a="1"/>
  <c r="EF39" i="48" s="1"/>
  <c r="EF33" i="48" a="1"/>
  <c r="EF33" i="48" s="1"/>
  <c r="EF21" i="48" a="1"/>
  <c r="EF21" i="48" s="1"/>
  <c r="EF19" i="48" a="1"/>
  <c r="EF19" i="48" s="1"/>
  <c r="EF9" i="48" a="1"/>
  <c r="EF9" i="48" s="1"/>
  <c r="EF12" i="48" a="1"/>
  <c r="EF12" i="48" s="1"/>
  <c r="EF6" i="48" a="1"/>
  <c r="EF6" i="48" s="1"/>
  <c r="EF51" i="48" a="1"/>
  <c r="EF51" i="48" s="1"/>
  <c r="EF44" i="48" a="1"/>
  <c r="EF44" i="48" s="1"/>
  <c r="EF31" i="48" a="1"/>
  <c r="EF31" i="48" s="1"/>
  <c r="EF23" i="48" a="1"/>
  <c r="EF23" i="48" s="1"/>
  <c r="EF45" i="48" a="1"/>
  <c r="EF45" i="48" s="1"/>
  <c r="EF37" i="48" a="1"/>
  <c r="EF37" i="48" s="1"/>
  <c r="EF29" i="48" a="1"/>
  <c r="EF29" i="48" s="1"/>
  <c r="EF24" i="48" a="1"/>
  <c r="EF24" i="48" s="1"/>
  <c r="EF20" i="48" a="1"/>
  <c r="EF20" i="48" s="1"/>
  <c r="EF17" i="48" a="1"/>
  <c r="EF17" i="48" s="1"/>
  <c r="EF15" i="48" a="1"/>
  <c r="EF15" i="48" s="1"/>
  <c r="EF10" i="48" a="1"/>
  <c r="EF10" i="48" s="1"/>
  <c r="EF5" i="48" a="1"/>
  <c r="EF5" i="48" s="1"/>
  <c r="EF50" i="48" a="1"/>
  <c r="EF50" i="48" s="1"/>
  <c r="EF43" i="48" a="1"/>
  <c r="EF43" i="48" s="1"/>
  <c r="EF38" i="48" a="1"/>
  <c r="EF38" i="48" s="1"/>
  <c r="EF25" i="48" a="1"/>
  <c r="EF25" i="48" s="1"/>
  <c r="EF49" i="48" a="1"/>
  <c r="EF49" i="48" s="1"/>
  <c r="EF36" i="48" a="1"/>
  <c r="EF36" i="48" s="1"/>
  <c r="EF30" i="48" a="1"/>
  <c r="EF30" i="48" s="1"/>
  <c r="EF26" i="48" a="1"/>
  <c r="EF26" i="48" s="1"/>
  <c r="EF18" i="48" a="1"/>
  <c r="EF18" i="48" s="1"/>
  <c r="EF13" i="48" a="1"/>
  <c r="EF13" i="48" s="1"/>
  <c r="EF8" i="48" a="1"/>
  <c r="EF8" i="48" s="1"/>
  <c r="EF7" i="48" a="1"/>
  <c r="EF7" i="48" s="1"/>
  <c r="EF3" i="48" a="1"/>
  <c r="EF3" i="48" s="1"/>
  <c r="EF47" i="48" a="1"/>
  <c r="EF47" i="48" s="1"/>
  <c r="EF42" i="48" a="1"/>
  <c r="EF42" i="48" s="1"/>
  <c r="EF35" i="48" a="1"/>
  <c r="EF35" i="48" s="1"/>
  <c r="EF32" i="48" a="1"/>
  <c r="EF32" i="48" s="1"/>
  <c r="EF11" i="48" a="1"/>
  <c r="EF11" i="48" s="1"/>
  <c r="EF34" i="48" a="1"/>
  <c r="EF34" i="48" s="1"/>
  <c r="EF28" i="48" a="1"/>
  <c r="EF28" i="48" s="1"/>
  <c r="EF14" i="48" a="1"/>
  <c r="EF14" i="48" s="1"/>
  <c r="EF27" i="48" a="1"/>
  <c r="EF27" i="48" s="1"/>
  <c r="EF48" i="48" a="1"/>
  <c r="EF48" i="48" s="1"/>
  <c r="EF22" i="48" a="1"/>
  <c r="EF22" i="48" s="1"/>
  <c r="EF4" i="48" a="1"/>
  <c r="EF4" i="48" s="1"/>
  <c r="EF40" i="48" a="1"/>
  <c r="EF40" i="48" s="1"/>
  <c r="EF16" i="48" a="1"/>
  <c r="EF16" i="48" s="1"/>
  <c r="EF2" i="48" a="1"/>
  <c r="EF2" i="48" s="1"/>
  <c r="EF41" i="48" a="1"/>
  <c r="EF41" i="48" s="1"/>
  <c r="EG1" i="48" a="1"/>
  <c r="EG1" i="48" s="1"/>
  <c r="EG48" i="48" l="1" a="1"/>
  <c r="EG48" i="48" s="1"/>
  <c r="EG44" i="48" a="1"/>
  <c r="EG44" i="48" s="1"/>
  <c r="EG40" i="48" a="1"/>
  <c r="EG40" i="48" s="1"/>
  <c r="EG37" i="48" a="1"/>
  <c r="EG37" i="48" s="1"/>
  <c r="EG30" i="48" a="1"/>
  <c r="EG30" i="48" s="1"/>
  <c r="EG29" i="48" a="1"/>
  <c r="EG29" i="48" s="1"/>
  <c r="EG23" i="48" a="1"/>
  <c r="EG23" i="48" s="1"/>
  <c r="EG20" i="48" a="1"/>
  <c r="EG20" i="48" s="1"/>
  <c r="EG15" i="48" a="1"/>
  <c r="EG15" i="48" s="1"/>
  <c r="EG10" i="48" a="1"/>
  <c r="EG10" i="48" s="1"/>
  <c r="EG8" i="48" a="1"/>
  <c r="EG8" i="48" s="1"/>
  <c r="EG3" i="48" a="1"/>
  <c r="EG3" i="48" s="1"/>
  <c r="EG51" i="48" a="1"/>
  <c r="EG51" i="48" s="1"/>
  <c r="EG46" i="48" a="1"/>
  <c r="EG46" i="48" s="1"/>
  <c r="EG45" i="48" a="1"/>
  <c r="EG45" i="48" s="1"/>
  <c r="EG38" i="48" a="1"/>
  <c r="EG38" i="48" s="1"/>
  <c r="EG34" i="48" a="1"/>
  <c r="EG34" i="48" s="1"/>
  <c r="EG32" i="48" a="1"/>
  <c r="EG32" i="48" s="1"/>
  <c r="EG25" i="48" a="1"/>
  <c r="EG25" i="48" s="1"/>
  <c r="EG27" i="48" a="1"/>
  <c r="EG27" i="48" s="1"/>
  <c r="EG19" i="48" a="1"/>
  <c r="EG19" i="48" s="1"/>
  <c r="EG18" i="48" a="1"/>
  <c r="EG18" i="48" s="1"/>
  <c r="EG13" i="48" a="1"/>
  <c r="EG13" i="48" s="1"/>
  <c r="EG7" i="48" a="1"/>
  <c r="EG7" i="48" s="1"/>
  <c r="EG2" i="48" a="1"/>
  <c r="EG2" i="48" s="1"/>
  <c r="EG50" i="48" a="1"/>
  <c r="EG50" i="48" s="1"/>
  <c r="EG47" i="48" a="1"/>
  <c r="EG47" i="48" s="1"/>
  <c r="EG41" i="48" a="1"/>
  <c r="EG41" i="48" s="1"/>
  <c r="EG36" i="48" a="1"/>
  <c r="EG36" i="48" s="1"/>
  <c r="EG33" i="48" a="1"/>
  <c r="EG33" i="48" s="1"/>
  <c r="EG28" i="48" a="1"/>
  <c r="EG28" i="48" s="1"/>
  <c r="EG26" i="48" a="1"/>
  <c r="EG26" i="48" s="1"/>
  <c r="EG24" i="48" a="1"/>
  <c r="EG24" i="48" s="1"/>
  <c r="EG17" i="48" a="1"/>
  <c r="EG17" i="48" s="1"/>
  <c r="EG14" i="48" a="1"/>
  <c r="EG14" i="48" s="1"/>
  <c r="EG11" i="48" a="1"/>
  <c r="EG11" i="48" s="1"/>
  <c r="EG4" i="48" a="1"/>
  <c r="EG4" i="48" s="1"/>
  <c r="EG6" i="48" a="1"/>
  <c r="EG6" i="48" s="1"/>
  <c r="EG49" i="48" a="1"/>
  <c r="EG49" i="48" s="1"/>
  <c r="EG35" i="48" a="1"/>
  <c r="EG35" i="48" s="1"/>
  <c r="EG16" i="48" a="1"/>
  <c r="EG16" i="48" s="1"/>
  <c r="EG43" i="48" a="1"/>
  <c r="EG43" i="48" s="1"/>
  <c r="EG31" i="48" a="1"/>
  <c r="EG31" i="48" s="1"/>
  <c r="EG12" i="48" a="1"/>
  <c r="EG12" i="48" s="1"/>
  <c r="EG42" i="48" a="1"/>
  <c r="EG42" i="48" s="1"/>
  <c r="EG22" i="48" a="1"/>
  <c r="EG22" i="48" s="1"/>
  <c r="EG9" i="48" a="1"/>
  <c r="EG9" i="48" s="1"/>
  <c r="EG39" i="48" a="1"/>
  <c r="EG39" i="48" s="1"/>
  <c r="EG21" i="48" a="1"/>
  <c r="EG21" i="48" s="1"/>
  <c r="EG5" i="48" a="1"/>
  <c r="EG5" i="48" s="1"/>
  <c r="EH1" i="48" a="1"/>
  <c r="EH1" i="48" s="1"/>
  <c r="EH51" i="48" l="1" a="1"/>
  <c r="EH51" i="48" s="1"/>
  <c r="EH47" i="48" a="1"/>
  <c r="EH47" i="48" s="1"/>
  <c r="EH45" i="48" a="1"/>
  <c r="EH45" i="48" s="1"/>
  <c r="EH38" i="48" a="1"/>
  <c r="EH38" i="48" s="1"/>
  <c r="EH35" i="48" a="1"/>
  <c r="EH35" i="48" s="1"/>
  <c r="EH28" i="48" a="1"/>
  <c r="EH28" i="48" s="1"/>
  <c r="EH27" i="48" a="1"/>
  <c r="EH27" i="48" s="1"/>
  <c r="EH24" i="48" a="1"/>
  <c r="EH24" i="48" s="1"/>
  <c r="EH19" i="48" a="1"/>
  <c r="EH19" i="48" s="1"/>
  <c r="EH15" i="48" a="1"/>
  <c r="EH15" i="48" s="1"/>
  <c r="EH9" i="48" a="1"/>
  <c r="EH9" i="48" s="1"/>
  <c r="EH5" i="48" a="1"/>
  <c r="EH5" i="48" s="1"/>
  <c r="EH4" i="48" a="1"/>
  <c r="EH4" i="48" s="1"/>
  <c r="EH50" i="48" a="1"/>
  <c r="EH50" i="48" s="1"/>
  <c r="EH46" i="48" a="1"/>
  <c r="EH46" i="48" s="1"/>
  <c r="EH42" i="48" a="1"/>
  <c r="EH42" i="48" s="1"/>
  <c r="EH36" i="48" a="1"/>
  <c r="EH36" i="48" s="1"/>
  <c r="EH34" i="48" a="1"/>
  <c r="EH34" i="48" s="1"/>
  <c r="EH29" i="48" a="1"/>
  <c r="EH29" i="48" s="1"/>
  <c r="EH26" i="48" a="1"/>
  <c r="EH26" i="48" s="1"/>
  <c r="EH25" i="48" a="1"/>
  <c r="EH25" i="48" s="1"/>
  <c r="EH17" i="48" a="1"/>
  <c r="EH17" i="48" s="1"/>
  <c r="EH14" i="48" a="1"/>
  <c r="EH14" i="48" s="1"/>
  <c r="EH8" i="48" a="1"/>
  <c r="EH8" i="48" s="1"/>
  <c r="EH6" i="48" a="1"/>
  <c r="EH6" i="48" s="1"/>
  <c r="EH3" i="48" a="1"/>
  <c r="EH3" i="48" s="1"/>
  <c r="EH49" i="48" a="1"/>
  <c r="EH49" i="48" s="1"/>
  <c r="EH43" i="48" a="1"/>
  <c r="EH43" i="48" s="1"/>
  <c r="EH41" i="48" a="1"/>
  <c r="EH41" i="48" s="1"/>
  <c r="EH39" i="48" a="1"/>
  <c r="EH39" i="48" s="1"/>
  <c r="EH33" i="48" a="1"/>
  <c r="EH33" i="48" s="1"/>
  <c r="EH31" i="48" a="1"/>
  <c r="EH31" i="48" s="1"/>
  <c r="EH22" i="48" a="1"/>
  <c r="EH22" i="48" s="1"/>
  <c r="EH21" i="48" a="1"/>
  <c r="EH21" i="48" s="1"/>
  <c r="EH16" i="48" a="1"/>
  <c r="EH16" i="48" s="1"/>
  <c r="EH12" i="48" a="1"/>
  <c r="EH12" i="48" s="1"/>
  <c r="EH13" i="48" a="1"/>
  <c r="EH13" i="48" s="1"/>
  <c r="EH2" i="48" a="1"/>
  <c r="EH2" i="48" s="1"/>
  <c r="EH37" i="48" a="1"/>
  <c r="EH37" i="48" s="1"/>
  <c r="EH20" i="48" a="1"/>
  <c r="EH20" i="48" s="1"/>
  <c r="EH7" i="48" a="1"/>
  <c r="EH7" i="48" s="1"/>
  <c r="EH48" i="48" a="1"/>
  <c r="EH48" i="48" s="1"/>
  <c r="EH32" i="48" a="1"/>
  <c r="EH32" i="48" s="1"/>
  <c r="EH18" i="48" a="1"/>
  <c r="EH18" i="48" s="1"/>
  <c r="EH44" i="48" a="1"/>
  <c r="EH44" i="48" s="1"/>
  <c r="EH30" i="48" a="1"/>
  <c r="EH30" i="48" s="1"/>
  <c r="EH10" i="48" a="1"/>
  <c r="EH10" i="48" s="1"/>
  <c r="EH40" i="48" a="1"/>
  <c r="EH40" i="48" s="1"/>
  <c r="EH23" i="48" a="1"/>
  <c r="EH23" i="48" s="1"/>
  <c r="EH11" i="48" a="1"/>
  <c r="EH11" i="48" s="1"/>
  <c r="EI1" i="48" a="1"/>
  <c r="EI1" i="48" s="1"/>
  <c r="EI50" i="48" l="1" a="1"/>
  <c r="EI50" i="48" s="1"/>
  <c r="EI46" i="48" a="1"/>
  <c r="EI46" i="48" s="1"/>
  <c r="EI40" i="48" a="1"/>
  <c r="EI40" i="48" s="1"/>
  <c r="EI37" i="48" a="1"/>
  <c r="EI37" i="48" s="1"/>
  <c r="EI34" i="48" a="1"/>
  <c r="EI34" i="48" s="1"/>
  <c r="EI30" i="48" a="1"/>
  <c r="EI30" i="48" s="1"/>
  <c r="EI27" i="48" a="1"/>
  <c r="EI27" i="48" s="1"/>
  <c r="EI23" i="48" a="1"/>
  <c r="EI23" i="48" s="1"/>
  <c r="EI18" i="48" a="1"/>
  <c r="EI18" i="48" s="1"/>
  <c r="EI9" i="48" a="1"/>
  <c r="EI9" i="48" s="1"/>
  <c r="EI12" i="48" a="1"/>
  <c r="EI12" i="48" s="1"/>
  <c r="EI2" i="48" a="1"/>
  <c r="EI2" i="48" s="1"/>
  <c r="EI5" i="48" a="1"/>
  <c r="EI5" i="48" s="1"/>
  <c r="EI49" i="48" a="1"/>
  <c r="EI49" i="48" s="1"/>
  <c r="EI45" i="48" a="1"/>
  <c r="EI45" i="48" s="1"/>
  <c r="EI42" i="48" a="1"/>
  <c r="EI42" i="48" s="1"/>
  <c r="EI36" i="48" a="1"/>
  <c r="EI36" i="48" s="1"/>
  <c r="EI33" i="48" a="1"/>
  <c r="EI33" i="48" s="1"/>
  <c r="EI32" i="48" a="1"/>
  <c r="EI32" i="48" s="1"/>
  <c r="EI25" i="48" a="1"/>
  <c r="EI25" i="48" s="1"/>
  <c r="EI21" i="48" a="1"/>
  <c r="EI21" i="48" s="1"/>
  <c r="EI16" i="48" a="1"/>
  <c r="EI16" i="48" s="1"/>
  <c r="EI13" i="48" a="1"/>
  <c r="EI13" i="48" s="1"/>
  <c r="EI10" i="48" a="1"/>
  <c r="EI10" i="48" s="1"/>
  <c r="EI4" i="48" a="1"/>
  <c r="EI4" i="48" s="1"/>
  <c r="EI48" i="48" a="1"/>
  <c r="EI48" i="48" s="1"/>
  <c r="EI43" i="48" a="1"/>
  <c r="EI43" i="48" s="1"/>
  <c r="EI41" i="48" a="1"/>
  <c r="EI41" i="48" s="1"/>
  <c r="EI38" i="48" a="1"/>
  <c r="EI38" i="48" s="1"/>
  <c r="EI29" i="48" a="1"/>
  <c r="EI29" i="48" s="1"/>
  <c r="EI28" i="48" a="1"/>
  <c r="EI28" i="48" s="1"/>
  <c r="EI26" i="48" a="1"/>
  <c r="EI26" i="48" s="1"/>
  <c r="EI20" i="48" a="1"/>
  <c r="EI20" i="48" s="1"/>
  <c r="EI15" i="48" a="1"/>
  <c r="EI15" i="48" s="1"/>
  <c r="EI11" i="48" a="1"/>
  <c r="EI11" i="48" s="1"/>
  <c r="EI8" i="48" a="1"/>
  <c r="EI8" i="48" s="1"/>
  <c r="EI3" i="48" a="1"/>
  <c r="EI3" i="48" s="1"/>
  <c r="EI39" i="48" a="1"/>
  <c r="EI39" i="48" s="1"/>
  <c r="EI22" i="48" a="1"/>
  <c r="EI22" i="48" s="1"/>
  <c r="EI6" i="48" a="1"/>
  <c r="EI6" i="48" s="1"/>
  <c r="EI51" i="48" a="1"/>
  <c r="EI51" i="48" s="1"/>
  <c r="EI35" i="48" a="1"/>
  <c r="EI35" i="48" s="1"/>
  <c r="EI19" i="48" a="1"/>
  <c r="EI19" i="48" s="1"/>
  <c r="EI7" i="48" a="1"/>
  <c r="EI7" i="48" s="1"/>
  <c r="EI47" i="48" a="1"/>
  <c r="EI47" i="48" s="1"/>
  <c r="EI31" i="48" a="1"/>
  <c r="EI31" i="48" s="1"/>
  <c r="EI17" i="48" a="1"/>
  <c r="EI17" i="48" s="1"/>
  <c r="EI44" i="48" a="1"/>
  <c r="EI44" i="48" s="1"/>
  <c r="EI24" i="48" a="1"/>
  <c r="EI24" i="48" s="1"/>
  <c r="EI14" i="48" a="1"/>
  <c r="EI14" i="48" s="1"/>
  <c r="EJ1" i="48" a="1"/>
  <c r="EJ1" i="48" s="1"/>
  <c r="EJ50" i="48" l="1" a="1"/>
  <c r="EJ50" i="48" s="1"/>
  <c r="EJ43" i="48" a="1"/>
  <c r="EJ43" i="48" s="1"/>
  <c r="EJ42" i="48" a="1"/>
  <c r="EJ42" i="48" s="1"/>
  <c r="EJ36" i="48" a="1"/>
  <c r="EJ36" i="48" s="1"/>
  <c r="EJ33" i="48" a="1"/>
  <c r="EJ33" i="48" s="1"/>
  <c r="EJ29" i="48" a="1"/>
  <c r="EJ29" i="48" s="1"/>
  <c r="EJ22" i="48" a="1"/>
  <c r="EJ22" i="48" s="1"/>
  <c r="EJ21" i="48" a="1"/>
  <c r="EJ21" i="48" s="1"/>
  <c r="EJ17" i="48" a="1"/>
  <c r="EJ17" i="48" s="1"/>
  <c r="EJ8" i="48" a="1"/>
  <c r="EJ8" i="48" s="1"/>
  <c r="EJ9" i="48" a="1"/>
  <c r="EJ9" i="48" s="1"/>
  <c r="EJ5" i="48" a="1"/>
  <c r="EJ5" i="48" s="1"/>
  <c r="EJ48" i="48" a="1"/>
  <c r="EJ48" i="48" s="1"/>
  <c r="EJ44" i="48" a="1"/>
  <c r="EJ44" i="48" s="1"/>
  <c r="EJ40" i="48" a="1"/>
  <c r="EJ40" i="48" s="1"/>
  <c r="EJ38" i="48" a="1"/>
  <c r="EJ38" i="48" s="1"/>
  <c r="EJ31" i="48" a="1"/>
  <c r="EJ31" i="48" s="1"/>
  <c r="EJ30" i="48" a="1"/>
  <c r="EJ30" i="48" s="1"/>
  <c r="EJ23" i="48" a="1"/>
  <c r="EJ23" i="48" s="1"/>
  <c r="EJ20" i="48" a="1"/>
  <c r="EJ20" i="48" s="1"/>
  <c r="EJ19" i="48" a="1"/>
  <c r="EJ19" i="48" s="1"/>
  <c r="EJ14" i="48" a="1"/>
  <c r="EJ14" i="48" s="1"/>
  <c r="EJ15" i="48" a="1"/>
  <c r="EJ15" i="48" s="1"/>
  <c r="EJ6" i="48" a="1"/>
  <c r="EJ6" i="48" s="1"/>
  <c r="EJ49" i="48" a="1"/>
  <c r="EJ49" i="48" s="1"/>
  <c r="EJ47" i="48" a="1"/>
  <c r="EJ47" i="48" s="1"/>
  <c r="EJ45" i="48" a="1"/>
  <c r="EJ45" i="48" s="1"/>
  <c r="EJ39" i="48" a="1"/>
  <c r="EJ39" i="48" s="1"/>
  <c r="EJ34" i="48" a="1"/>
  <c r="EJ34" i="48" s="1"/>
  <c r="EJ28" i="48" a="1"/>
  <c r="EJ28" i="48" s="1"/>
  <c r="EJ25" i="48" a="1"/>
  <c r="EJ25" i="48" s="1"/>
  <c r="EJ27" i="48" a="1"/>
  <c r="EJ27" i="48" s="1"/>
  <c r="EJ18" i="48" a="1"/>
  <c r="EJ18" i="48" s="1"/>
  <c r="EJ13" i="48" a="1"/>
  <c r="EJ13" i="48" s="1"/>
  <c r="EJ12" i="48" a="1"/>
  <c r="EJ12" i="48" s="1"/>
  <c r="EJ4" i="48" a="1"/>
  <c r="EJ4" i="48" s="1"/>
  <c r="EJ3" i="48" a="1"/>
  <c r="EJ3" i="48" s="1"/>
  <c r="EJ41" i="48" a="1"/>
  <c r="EJ41" i="48" s="1"/>
  <c r="EJ26" i="48" a="1"/>
  <c r="EJ26" i="48" s="1"/>
  <c r="EJ10" i="48" a="1"/>
  <c r="EJ10" i="48" s="1"/>
  <c r="EJ37" i="48" a="1"/>
  <c r="EJ37" i="48" s="1"/>
  <c r="EJ24" i="48" a="1"/>
  <c r="EJ24" i="48" s="1"/>
  <c r="EJ7" i="48" a="1"/>
  <c r="EJ7" i="48" s="1"/>
  <c r="EJ51" i="48" a="1"/>
  <c r="EJ51" i="48" s="1"/>
  <c r="EJ35" i="48" a="1"/>
  <c r="EJ35" i="48" s="1"/>
  <c r="EJ16" i="48" a="1"/>
  <c r="EJ16" i="48" s="1"/>
  <c r="EJ2" i="48" a="1"/>
  <c r="EJ2" i="48" s="1"/>
  <c r="EJ46" i="48" a="1"/>
  <c r="EJ46" i="48" s="1"/>
  <c r="EJ32" i="48" a="1"/>
  <c r="EJ32" i="48" s="1"/>
  <c r="EJ11" i="48" a="1"/>
  <c r="EJ11" i="48" s="1"/>
  <c r="EK1" i="48" a="1"/>
  <c r="EK1" i="48" s="1"/>
  <c r="EK48" i="48" l="1" a="1"/>
  <c r="EK48" i="48" s="1"/>
  <c r="EK45" i="48" a="1"/>
  <c r="EK45" i="48" s="1"/>
  <c r="EK41" i="48" a="1"/>
  <c r="EK41" i="48" s="1"/>
  <c r="EK36" i="48" a="1"/>
  <c r="EK36" i="48" s="1"/>
  <c r="EK28" i="48" a="1"/>
  <c r="EK28" i="48" s="1"/>
  <c r="EK31" i="48" a="1"/>
  <c r="EK31" i="48" s="1"/>
  <c r="EK25" i="48" a="1"/>
  <c r="EK25" i="48" s="1"/>
  <c r="EK20" i="48" a="1"/>
  <c r="EK20" i="48" s="1"/>
  <c r="EK15" i="48" a="1"/>
  <c r="EK15" i="48" s="1"/>
  <c r="EK10" i="48" a="1"/>
  <c r="EK10" i="48" s="1"/>
  <c r="EK8" i="48" a="1"/>
  <c r="EK8" i="48" s="1"/>
  <c r="EK6" i="48" a="1"/>
  <c r="EK6" i="48" s="1"/>
  <c r="EK51" i="48" a="1"/>
  <c r="EK51" i="48" s="1"/>
  <c r="EK47" i="48" a="1"/>
  <c r="EK47" i="48" s="1"/>
  <c r="EK43" i="48" a="1"/>
  <c r="EK43" i="48" s="1"/>
  <c r="EK38" i="48" a="1"/>
  <c r="EK38" i="48" s="1"/>
  <c r="EK34" i="48" a="1"/>
  <c r="EK34" i="48" s="1"/>
  <c r="EK32" i="48" a="1"/>
  <c r="EK32" i="48" s="1"/>
  <c r="EK27" i="48" a="1"/>
  <c r="EK27" i="48" s="1"/>
  <c r="EK26" i="48" a="1"/>
  <c r="EK26" i="48" s="1"/>
  <c r="EK19" i="48" a="1"/>
  <c r="EK19" i="48" s="1"/>
  <c r="EK18" i="48" a="1"/>
  <c r="EK18" i="48" s="1"/>
  <c r="EK9" i="48" a="1"/>
  <c r="EK9" i="48" s="1"/>
  <c r="EK7" i="48" a="1"/>
  <c r="EK7" i="48" s="1"/>
  <c r="EK4" i="48" a="1"/>
  <c r="EK4" i="48" s="1"/>
  <c r="EK50" i="48" a="1"/>
  <c r="EK50" i="48" s="1"/>
  <c r="EK46" i="48" a="1"/>
  <c r="EK46" i="48" s="1"/>
  <c r="EK42" i="48" a="1"/>
  <c r="EK42" i="48" s="1"/>
  <c r="EK39" i="48" a="1"/>
  <c r="EK39" i="48" s="1"/>
  <c r="EK35" i="48" a="1"/>
  <c r="EK35" i="48" s="1"/>
  <c r="EK29" i="48" a="1"/>
  <c r="EK29" i="48" s="1"/>
  <c r="EK23" i="48" a="1"/>
  <c r="EK23" i="48" s="1"/>
  <c r="EK22" i="48" a="1"/>
  <c r="EK22" i="48" s="1"/>
  <c r="EK17" i="48" a="1"/>
  <c r="EK17" i="48" s="1"/>
  <c r="EK14" i="48" a="1"/>
  <c r="EK14" i="48" s="1"/>
  <c r="EK13" i="48" a="1"/>
  <c r="EK13" i="48" s="1"/>
  <c r="EK2" i="48" a="1"/>
  <c r="EK2" i="48" s="1"/>
  <c r="EK5" i="48" a="1"/>
  <c r="EK5" i="48" s="1"/>
  <c r="EK44" i="48" a="1"/>
  <c r="EK44" i="48" s="1"/>
  <c r="EK30" i="48" a="1"/>
  <c r="EK30" i="48" s="1"/>
  <c r="EK12" i="48" a="1"/>
  <c r="EK12" i="48" s="1"/>
  <c r="EK40" i="48" a="1"/>
  <c r="EK40" i="48" s="1"/>
  <c r="EK24" i="48" a="1"/>
  <c r="EK24" i="48" s="1"/>
  <c r="EK11" i="48" a="1"/>
  <c r="EK11" i="48" s="1"/>
  <c r="EK37" i="48" a="1"/>
  <c r="EK37" i="48" s="1"/>
  <c r="EK21" i="48" a="1"/>
  <c r="EK21" i="48" s="1"/>
  <c r="EK3" i="48" a="1"/>
  <c r="EK3" i="48" s="1"/>
  <c r="EK49" i="48" a="1"/>
  <c r="EK49" i="48" s="1"/>
  <c r="EK33" i="48" a="1"/>
  <c r="EK33" i="48" s="1"/>
  <c r="EK16" i="48" a="1"/>
  <c r="EK16" i="48" s="1"/>
  <c r="EL1" i="48" a="1"/>
  <c r="EL1" i="48" s="1"/>
  <c r="EL50" i="48" l="1" a="1"/>
  <c r="EL50" i="48" s="1"/>
  <c r="EL47" i="48" a="1"/>
  <c r="EL47" i="48" s="1"/>
  <c r="EL44" i="48" a="1"/>
  <c r="EL44" i="48" s="1"/>
  <c r="EL38" i="48" a="1"/>
  <c r="EL38" i="48" s="1"/>
  <c r="EL35" i="48" a="1"/>
  <c r="EL35" i="48" s="1"/>
  <c r="EL30" i="48" a="1"/>
  <c r="EL30" i="48" s="1"/>
  <c r="EL24" i="48" a="1"/>
  <c r="EL24" i="48" s="1"/>
  <c r="EL22" i="48" a="1"/>
  <c r="EL22" i="48" s="1"/>
  <c r="EL17" i="48" a="1"/>
  <c r="EL17" i="48" s="1"/>
  <c r="EL14" i="48" a="1"/>
  <c r="EL14" i="48" s="1"/>
  <c r="EL15" i="48" a="1"/>
  <c r="EL15" i="48" s="1"/>
  <c r="EL6" i="48" a="1"/>
  <c r="EL6" i="48" s="1"/>
  <c r="EL7" i="48" a="1"/>
  <c r="EL7" i="48" s="1"/>
  <c r="EL51" i="48" a="1"/>
  <c r="EL51" i="48" s="1"/>
  <c r="EL46" i="48" a="1"/>
  <c r="EL46" i="48" s="1"/>
  <c r="EL41" i="48" a="1"/>
  <c r="EL41" i="48" s="1"/>
  <c r="EL39" i="48" a="1"/>
  <c r="EL39" i="48" s="1"/>
  <c r="EL33" i="48" a="1"/>
  <c r="EL33" i="48" s="1"/>
  <c r="EL31" i="48" a="1"/>
  <c r="EL31" i="48" s="1"/>
  <c r="EL27" i="48" a="1"/>
  <c r="EL27" i="48" s="1"/>
  <c r="EL23" i="48" a="1"/>
  <c r="EL23" i="48" s="1"/>
  <c r="EL16" i="48" a="1"/>
  <c r="EL16" i="48" s="1"/>
  <c r="EL12" i="48" a="1"/>
  <c r="EL12" i="48" s="1"/>
  <c r="EL13" i="48" a="1"/>
  <c r="EL13" i="48" s="1"/>
  <c r="EL4" i="48" a="1"/>
  <c r="EL4" i="48" s="1"/>
  <c r="EL3" i="48" a="1"/>
  <c r="EL3" i="48" s="1"/>
  <c r="EL49" i="48" a="1"/>
  <c r="EL49" i="48" s="1"/>
  <c r="EL45" i="48" a="1"/>
  <c r="EL45" i="48" s="1"/>
  <c r="EL40" i="48" a="1"/>
  <c r="EL40" i="48" s="1"/>
  <c r="EL37" i="48" a="1"/>
  <c r="EL37" i="48" s="1"/>
  <c r="EL34" i="48" a="1"/>
  <c r="EL34" i="48" s="1"/>
  <c r="EL28" i="48" a="1"/>
  <c r="EL28" i="48" s="1"/>
  <c r="EL25" i="48" a="1"/>
  <c r="EL25" i="48" s="1"/>
  <c r="EL21" i="48" a="1"/>
  <c r="EL21" i="48" s="1"/>
  <c r="EL19" i="48" a="1"/>
  <c r="EL19" i="48" s="1"/>
  <c r="EL10" i="48" a="1"/>
  <c r="EL10" i="48" s="1"/>
  <c r="EL11" i="48" a="1"/>
  <c r="EL11" i="48" s="1"/>
  <c r="EL5" i="48" a="1"/>
  <c r="EL5" i="48" s="1"/>
  <c r="EL48" i="48" a="1"/>
  <c r="EL48" i="48" s="1"/>
  <c r="EL32" i="48" a="1"/>
  <c r="EL32" i="48" s="1"/>
  <c r="EL18" i="48" a="1"/>
  <c r="EL18" i="48" s="1"/>
  <c r="EL43" i="48" a="1"/>
  <c r="EL43" i="48" s="1"/>
  <c r="EL29" i="48" a="1"/>
  <c r="EL29" i="48" s="1"/>
  <c r="EL8" i="48" a="1"/>
  <c r="EL8" i="48" s="1"/>
  <c r="EL42" i="48" a="1"/>
  <c r="EL42" i="48" s="1"/>
  <c r="EL26" i="48" a="1"/>
  <c r="EL26" i="48" s="1"/>
  <c r="EL9" i="48" a="1"/>
  <c r="EL9" i="48" s="1"/>
  <c r="EL36" i="48" a="1"/>
  <c r="EL36" i="48" s="1"/>
  <c r="EL20" i="48" a="1"/>
  <c r="EL20" i="48" s="1"/>
  <c r="EL2" i="48" a="1"/>
  <c r="EL2" i="48" s="1"/>
  <c r="EM1" i="48" a="1"/>
  <c r="EM1" i="48" s="1"/>
  <c r="EM49" i="48" l="1" a="1"/>
  <c r="EM49" i="48" s="1"/>
  <c r="EM46" i="48" a="1"/>
  <c r="EM46" i="48" s="1"/>
  <c r="EM42" i="48" a="1"/>
  <c r="EM42" i="48" s="1"/>
  <c r="EM39" i="48" a="1"/>
  <c r="EM39" i="48" s="1"/>
  <c r="EM33" i="48" a="1"/>
  <c r="EM33" i="48" s="1"/>
  <c r="EM29" i="48" a="1"/>
  <c r="EM29" i="48" s="1"/>
  <c r="EM26" i="48" a="1"/>
  <c r="EM26" i="48" s="1"/>
  <c r="EM25" i="48" a="1"/>
  <c r="EM25" i="48" s="1"/>
  <c r="EM18" i="48" a="1"/>
  <c r="EM18" i="48" s="1"/>
  <c r="EM13" i="48" a="1"/>
  <c r="EM13" i="48" s="1"/>
  <c r="EM12" i="48" a="1"/>
  <c r="EM12" i="48" s="1"/>
  <c r="EM5" i="48" a="1"/>
  <c r="EM5" i="48" s="1"/>
  <c r="EM4" i="48" a="1"/>
  <c r="EM4" i="48" s="1"/>
  <c r="EM50" i="48" a="1"/>
  <c r="EM50" i="48" s="1"/>
  <c r="EM43" i="48" a="1"/>
  <c r="EM43" i="48" s="1"/>
  <c r="EM40" i="48" a="1"/>
  <c r="EM40" i="48" s="1"/>
  <c r="EM37" i="48" a="1"/>
  <c r="EM37" i="48" s="1"/>
  <c r="EM34" i="48" a="1"/>
  <c r="EM34" i="48" s="1"/>
  <c r="EM32" i="48" a="1"/>
  <c r="EM32" i="48" s="1"/>
  <c r="EM22" i="48" a="1"/>
  <c r="EM22" i="48" s="1"/>
  <c r="EM21" i="48" a="1"/>
  <c r="EM21" i="48" s="1"/>
  <c r="EM16" i="48" a="1"/>
  <c r="EM16" i="48" s="1"/>
  <c r="EM11" i="48" a="1"/>
  <c r="EM11" i="48" s="1"/>
  <c r="EM10" i="48" a="1"/>
  <c r="EM10" i="48" s="1"/>
  <c r="EM3" i="48" a="1"/>
  <c r="EM3" i="48" s="1"/>
  <c r="EM48" i="48" a="1"/>
  <c r="EM48" i="48" s="1"/>
  <c r="EM44" i="48" a="1"/>
  <c r="EM44" i="48" s="1"/>
  <c r="EM41" i="48" a="1"/>
  <c r="EM41" i="48" s="1"/>
  <c r="EM38" i="48" a="1"/>
  <c r="EM38" i="48" s="1"/>
  <c r="EM31" i="48" a="1"/>
  <c r="EM31" i="48" s="1"/>
  <c r="EM30" i="48" a="1"/>
  <c r="EM30" i="48" s="1"/>
  <c r="EM23" i="48" a="1"/>
  <c r="EM23" i="48" s="1"/>
  <c r="EM20" i="48" a="1"/>
  <c r="EM20" i="48" s="1"/>
  <c r="EM15" i="48" a="1"/>
  <c r="EM15" i="48" s="1"/>
  <c r="EM9" i="48" a="1"/>
  <c r="EM9" i="48" s="1"/>
  <c r="EM8" i="48" a="1"/>
  <c r="EM8" i="48" s="1"/>
  <c r="EM2" i="48" a="1"/>
  <c r="EM2" i="48" s="1"/>
  <c r="EM51" i="48" a="1"/>
  <c r="EM51" i="48" s="1"/>
  <c r="EM35" i="48" a="1"/>
  <c r="EM35" i="48" s="1"/>
  <c r="EM19" i="48" a="1"/>
  <c r="EM19" i="48" s="1"/>
  <c r="EM7" i="48" a="1"/>
  <c r="EM7" i="48" s="1"/>
  <c r="EM47" i="48" a="1"/>
  <c r="EM47" i="48" s="1"/>
  <c r="EM28" i="48" a="1"/>
  <c r="EM28" i="48" s="1"/>
  <c r="EM17" i="48" a="1"/>
  <c r="EM17" i="48" s="1"/>
  <c r="EM45" i="48" a="1"/>
  <c r="EM45" i="48" s="1"/>
  <c r="EM27" i="48" a="1"/>
  <c r="EM27" i="48" s="1"/>
  <c r="EM14" i="48" a="1"/>
  <c r="EM14" i="48" s="1"/>
  <c r="EM36" i="48" a="1"/>
  <c r="EM36" i="48" s="1"/>
  <c r="EM24" i="48" a="1"/>
  <c r="EM24" i="48" s="1"/>
  <c r="EM6" i="48" a="1"/>
  <c r="EM6" i="48" s="1"/>
  <c r="EN1" i="48" a="1"/>
  <c r="EN1" i="48" s="1"/>
  <c r="EN49" i="48" l="1" a="1"/>
  <c r="EN49" i="48" s="1"/>
  <c r="EN45" i="48" a="1"/>
  <c r="EN45" i="48" s="1"/>
  <c r="EN41" i="48" a="1"/>
  <c r="EN41" i="48" s="1"/>
  <c r="EN38" i="48" a="1"/>
  <c r="EN38" i="48" s="1"/>
  <c r="EN33" i="48" a="1"/>
  <c r="EN33" i="48" s="1"/>
  <c r="EN32" i="48" a="1"/>
  <c r="EN32" i="48" s="1"/>
  <c r="EN25" i="48" a="1"/>
  <c r="EN25" i="48" s="1"/>
  <c r="EN21" i="48" a="1"/>
  <c r="EN21" i="48" s="1"/>
  <c r="EN19" i="48" a="1"/>
  <c r="EN19" i="48" s="1"/>
  <c r="EN9" i="48" a="1"/>
  <c r="EN9" i="48" s="1"/>
  <c r="EN12" i="48" a="1"/>
  <c r="EN12" i="48" s="1"/>
  <c r="EN6" i="48" a="1"/>
  <c r="EN6" i="48" s="1"/>
  <c r="EN48" i="48" a="1"/>
  <c r="EN48" i="48" s="1"/>
  <c r="EN44" i="48" a="1"/>
  <c r="EN44" i="48" s="1"/>
  <c r="EN40" i="48" a="1"/>
  <c r="EN40" i="48" s="1"/>
  <c r="EN36" i="48" a="1"/>
  <c r="EN36" i="48" s="1"/>
  <c r="EN31" i="48" a="1"/>
  <c r="EN31" i="48" s="1"/>
  <c r="EN28" i="48" a="1"/>
  <c r="EN28" i="48" s="1"/>
  <c r="EN27" i="48" a="1"/>
  <c r="EN27" i="48" s="1"/>
  <c r="EN20" i="48" a="1"/>
  <c r="EN20" i="48" s="1"/>
  <c r="EN17" i="48" a="1"/>
  <c r="EN17" i="48" s="1"/>
  <c r="EN15" i="48" a="1"/>
  <c r="EN15" i="48" s="1"/>
  <c r="EN10" i="48" a="1"/>
  <c r="EN10" i="48" s="1"/>
  <c r="EN5" i="48" a="1"/>
  <c r="EN5" i="48" s="1"/>
  <c r="EN51" i="48" a="1"/>
  <c r="EN51" i="48" s="1"/>
  <c r="EN47" i="48" a="1"/>
  <c r="EN47" i="48" s="1"/>
  <c r="EN43" i="48" a="1"/>
  <c r="EN43" i="48" s="1"/>
  <c r="EN39" i="48" a="1"/>
  <c r="EN39" i="48" s="1"/>
  <c r="EN35" i="48" a="1"/>
  <c r="EN35" i="48" s="1"/>
  <c r="EN29" i="48" a="1"/>
  <c r="EN29" i="48" s="1"/>
  <c r="EN23" i="48" a="1"/>
  <c r="EN23" i="48" s="1"/>
  <c r="EN26" i="48" a="1"/>
  <c r="EN26" i="48" s="1"/>
  <c r="EN18" i="48" a="1"/>
  <c r="EN18" i="48" s="1"/>
  <c r="EN13" i="48" a="1"/>
  <c r="EN13" i="48" s="1"/>
  <c r="EN8" i="48" a="1"/>
  <c r="EN8" i="48" s="1"/>
  <c r="EN7" i="48" a="1"/>
  <c r="EN7" i="48" s="1"/>
  <c r="EN3" i="48" a="1"/>
  <c r="EN3" i="48" s="1"/>
  <c r="EN37" i="48" a="1"/>
  <c r="EN37" i="48" s="1"/>
  <c r="EN22" i="48" a="1"/>
  <c r="EN22" i="48" s="1"/>
  <c r="EN4" i="48" a="1"/>
  <c r="EN4" i="48" s="1"/>
  <c r="EN50" i="48" a="1"/>
  <c r="EN50" i="48" s="1"/>
  <c r="EN34" i="48" a="1"/>
  <c r="EN34" i="48" s="1"/>
  <c r="EN16" i="48" a="1"/>
  <c r="EN16" i="48" s="1"/>
  <c r="EN2" i="48" a="1"/>
  <c r="EN2" i="48" s="1"/>
  <c r="EN46" i="48" a="1"/>
  <c r="EN46" i="48" s="1"/>
  <c r="EN30" i="48" a="1"/>
  <c r="EN30" i="48" s="1"/>
  <c r="EN11" i="48" a="1"/>
  <c r="EN11" i="48" s="1"/>
  <c r="EN42" i="48" a="1"/>
  <c r="EN42" i="48" s="1"/>
  <c r="EN24" i="48" a="1"/>
  <c r="EN24" i="48" s="1"/>
  <c r="EN14" i="48" a="1"/>
  <c r="EN14" i="48" s="1"/>
  <c r="EO1" i="48" a="1"/>
  <c r="EO1" i="48" s="1"/>
  <c r="EO48" i="48" l="1" a="1"/>
  <c r="EO48" i="48" s="1"/>
  <c r="EO43" i="48" a="1"/>
  <c r="EO43" i="48" s="1"/>
  <c r="EO42" i="48" a="1"/>
  <c r="EO42" i="48" s="1"/>
  <c r="EO37" i="48" a="1"/>
  <c r="EO37" i="48" s="1"/>
  <c r="EO30" i="48" a="1"/>
  <c r="EO30" i="48" s="1"/>
  <c r="EO29" i="48" a="1"/>
  <c r="EO29" i="48" s="1"/>
  <c r="EO27" i="48" a="1"/>
  <c r="EO27" i="48" s="1"/>
  <c r="EO20" i="48" a="1"/>
  <c r="EO20" i="48" s="1"/>
  <c r="EO15" i="48" a="1"/>
  <c r="EO15" i="48" s="1"/>
  <c r="EO10" i="48" a="1"/>
  <c r="EO10" i="48" s="1"/>
  <c r="EO8" i="48" a="1"/>
  <c r="EO8" i="48" s="1"/>
  <c r="EO5" i="48" a="1"/>
  <c r="EO5" i="48" s="1"/>
  <c r="EO51" i="48" a="1"/>
  <c r="EO51" i="48" s="1"/>
  <c r="EO47" i="48" a="1"/>
  <c r="EO47" i="48" s="1"/>
  <c r="EO44" i="48" a="1"/>
  <c r="EO44" i="48" s="1"/>
  <c r="EO38" i="48" a="1"/>
  <c r="EO38" i="48" s="1"/>
  <c r="EO34" i="48" a="1"/>
  <c r="EO34" i="48" s="1"/>
  <c r="EO32" i="48" a="1"/>
  <c r="EO32" i="48" s="1"/>
  <c r="EO25" i="48" a="1"/>
  <c r="EO25" i="48" s="1"/>
  <c r="EO23" i="48" a="1"/>
  <c r="EO23" i="48" s="1"/>
  <c r="EO19" i="48" a="1"/>
  <c r="EO19" i="48" s="1"/>
  <c r="EO18" i="48" a="1"/>
  <c r="EO18" i="48" s="1"/>
  <c r="EO13" i="48" a="1"/>
  <c r="EO13" i="48" s="1"/>
  <c r="EO7" i="48" a="1"/>
  <c r="EO7" i="48" s="1"/>
  <c r="EO3" i="48" a="1"/>
  <c r="EO3" i="48" s="1"/>
  <c r="EO50" i="48" a="1"/>
  <c r="EO50" i="48" s="1"/>
  <c r="EO46" i="48" a="1"/>
  <c r="EO46" i="48" s="1"/>
  <c r="EO41" i="48" a="1"/>
  <c r="EO41" i="48" s="1"/>
  <c r="EO36" i="48" a="1"/>
  <c r="EO36" i="48" s="1"/>
  <c r="EO33" i="48" a="1"/>
  <c r="EO33" i="48" s="1"/>
  <c r="EO28" i="48" a="1"/>
  <c r="EO28" i="48" s="1"/>
  <c r="EO26" i="48" a="1"/>
  <c r="EO26" i="48" s="1"/>
  <c r="EO24" i="48" a="1"/>
  <c r="EO24" i="48" s="1"/>
  <c r="EO17" i="48" a="1"/>
  <c r="EO17" i="48" s="1"/>
  <c r="EO14" i="48" a="1"/>
  <c r="EO14" i="48" s="1"/>
  <c r="EO11" i="48" a="1"/>
  <c r="EO11" i="48" s="1"/>
  <c r="EO4" i="48" a="1"/>
  <c r="EO4" i="48" s="1"/>
  <c r="EO6" i="48" a="1"/>
  <c r="EO6" i="48" s="1"/>
  <c r="EO40" i="48" a="1"/>
  <c r="EO40" i="48" s="1"/>
  <c r="EO22" i="48" a="1"/>
  <c r="EO22" i="48" s="1"/>
  <c r="EO9" i="48" a="1"/>
  <c r="EO9" i="48" s="1"/>
  <c r="EO39" i="48" a="1"/>
  <c r="EO39" i="48" s="1"/>
  <c r="EO21" i="48" a="1"/>
  <c r="EO21" i="48" s="1"/>
  <c r="EO2" i="48" a="1"/>
  <c r="EO2" i="48" s="1"/>
  <c r="EO49" i="48" a="1"/>
  <c r="EO49" i="48" s="1"/>
  <c r="EO35" i="48" a="1"/>
  <c r="EO35" i="48" s="1"/>
  <c r="EO16" i="48" a="1"/>
  <c r="EO16" i="48" s="1"/>
  <c r="EO45" i="48" a="1"/>
  <c r="EO45" i="48" s="1"/>
  <c r="EO31" i="48" a="1"/>
  <c r="EO31" i="48" s="1"/>
  <c r="EO12" i="48" a="1"/>
  <c r="EO12" i="48" s="1"/>
  <c r="EP1" i="48" a="1"/>
  <c r="EP1" i="48" s="1"/>
  <c r="EP51" i="48" l="1" a="1"/>
  <c r="EP51" i="48" s="1"/>
  <c r="EP46" i="48" a="1"/>
  <c r="EP46" i="48" s="1"/>
  <c r="EP45" i="48" a="1"/>
  <c r="EP45" i="48" s="1"/>
  <c r="EP38" i="48" a="1"/>
  <c r="EP38" i="48" s="1"/>
  <c r="EP35" i="48" a="1"/>
  <c r="EP35" i="48" s="1"/>
  <c r="EP28" i="48" a="1"/>
  <c r="EP28" i="48" s="1"/>
  <c r="EP27" i="48" a="1"/>
  <c r="EP27" i="48" s="1"/>
  <c r="EP24" i="48" a="1"/>
  <c r="EP24" i="48" s="1"/>
  <c r="EP19" i="48" a="1"/>
  <c r="EP19" i="48" s="1"/>
  <c r="EP15" i="48" a="1"/>
  <c r="EP15" i="48" s="1"/>
  <c r="EP8" i="48" a="1"/>
  <c r="EP8" i="48" s="1"/>
  <c r="EP5" i="48" a="1"/>
  <c r="EP5" i="48" s="1"/>
  <c r="EP4" i="48" a="1"/>
  <c r="EP4" i="48" s="1"/>
  <c r="EP50" i="48" a="1"/>
  <c r="EP50" i="48" s="1"/>
  <c r="EP47" i="48" a="1"/>
  <c r="EP47" i="48" s="1"/>
  <c r="EP42" i="48" a="1"/>
  <c r="EP42" i="48" s="1"/>
  <c r="EP36" i="48" a="1"/>
  <c r="EP36" i="48" s="1"/>
  <c r="EP33" i="48" a="1"/>
  <c r="EP33" i="48" s="1"/>
  <c r="EP29" i="48" a="1"/>
  <c r="EP29" i="48" s="1"/>
  <c r="EP26" i="48" a="1"/>
  <c r="EP26" i="48" s="1"/>
  <c r="EP25" i="48" a="1"/>
  <c r="EP25" i="48" s="1"/>
  <c r="EP17" i="48" a="1"/>
  <c r="EP17" i="48" s="1"/>
  <c r="EP14" i="48" a="1"/>
  <c r="EP14" i="48" s="1"/>
  <c r="EP13" i="48" a="1"/>
  <c r="EP13" i="48" s="1"/>
  <c r="EP6" i="48" a="1"/>
  <c r="EP6" i="48" s="1"/>
  <c r="EP3" i="48" a="1"/>
  <c r="EP3" i="48" s="1"/>
  <c r="EP49" i="48" a="1"/>
  <c r="EP49" i="48" s="1"/>
  <c r="EP43" i="48" a="1"/>
  <c r="EP43" i="48" s="1"/>
  <c r="EP23" i="48" a="1"/>
  <c r="EP23" i="48" s="1"/>
  <c r="EP12" i="48" a="1"/>
  <c r="EP12" i="48" s="1"/>
  <c r="EP7" i="48" a="1"/>
  <c r="EP7" i="48" s="1"/>
  <c r="EP44" i="48" a="1"/>
  <c r="EP44" i="48" s="1"/>
  <c r="EP34" i="48" a="1"/>
  <c r="EP34" i="48" s="1"/>
  <c r="EP10" i="48" a="1"/>
  <c r="EP10" i="48" s="1"/>
  <c r="EP32" i="48" a="1"/>
  <c r="EP32" i="48" s="1"/>
  <c r="EP21" i="48" a="1"/>
  <c r="EP21" i="48" s="1"/>
  <c r="EP22" i="48" a="1"/>
  <c r="EP22" i="48" s="1"/>
  <c r="EP41" i="48" a="1"/>
  <c r="EP41" i="48" s="1"/>
  <c r="EP20" i="48" a="1"/>
  <c r="EP20" i="48" s="1"/>
  <c r="EP11" i="48" a="1"/>
  <c r="EP11" i="48" s="1"/>
  <c r="EP40" i="48" a="1"/>
  <c r="EP40" i="48" s="1"/>
  <c r="EP31" i="48" a="1"/>
  <c r="EP31" i="48" s="1"/>
  <c r="EP9" i="48" a="1"/>
  <c r="EP9" i="48" s="1"/>
  <c r="EP30" i="48" a="1"/>
  <c r="EP30" i="48" s="1"/>
  <c r="EP16" i="48" a="1"/>
  <c r="EP16" i="48" s="1"/>
  <c r="EP48" i="48" a="1"/>
  <c r="EP48" i="48" s="1"/>
  <c r="EP39" i="48" a="1"/>
  <c r="EP39" i="48" s="1"/>
  <c r="EP18" i="48" a="1"/>
  <c r="EP18" i="48" s="1"/>
  <c r="EP2" i="48" a="1"/>
  <c r="EP2" i="48" s="1"/>
  <c r="EP37" i="48" a="1"/>
  <c r="EP37" i="48" s="1"/>
  <c r="EQ1" i="48" a="1"/>
  <c r="EQ1" i="48" s="1"/>
  <c r="EQ50" i="48" l="1" a="1"/>
  <c r="EQ50" i="48" s="1"/>
  <c r="EQ46" i="48" a="1"/>
  <c r="EQ46" i="48" s="1"/>
  <c r="EQ40" i="48" a="1"/>
  <c r="EQ40" i="48" s="1"/>
  <c r="EQ37" i="48" a="1"/>
  <c r="EQ37" i="48" s="1"/>
  <c r="EQ34" i="48" a="1"/>
  <c r="EQ34" i="48" s="1"/>
  <c r="EQ30" i="48" a="1"/>
  <c r="EQ30" i="48" s="1"/>
  <c r="EQ24" i="48" a="1"/>
  <c r="EQ24" i="48" s="1"/>
  <c r="EQ23" i="48" a="1"/>
  <c r="EQ23" i="48" s="1"/>
  <c r="EQ18" i="48" a="1"/>
  <c r="EQ18" i="48" s="1"/>
  <c r="EQ13" i="48" a="1"/>
  <c r="EQ13" i="48" s="1"/>
  <c r="EQ12" i="48" a="1"/>
  <c r="EQ12" i="48" s="1"/>
  <c r="EQ4" i="48" a="1"/>
  <c r="EQ4" i="48" s="1"/>
  <c r="EQ5" i="48" a="1"/>
  <c r="EQ5" i="48" s="1"/>
  <c r="EQ49" i="48" a="1"/>
  <c r="EQ49" i="48" s="1"/>
  <c r="EQ45" i="48" a="1"/>
  <c r="EQ45" i="48" s="1"/>
  <c r="EQ42" i="48" a="1"/>
  <c r="EQ42" i="48" s="1"/>
  <c r="EQ36" i="48" a="1"/>
  <c r="EQ36" i="48" s="1"/>
  <c r="EQ33" i="48" a="1"/>
  <c r="EQ33" i="48" s="1"/>
  <c r="EQ32" i="48" a="1"/>
  <c r="EQ32" i="48" s="1"/>
  <c r="EQ25" i="48" a="1"/>
  <c r="EQ25" i="48" s="1"/>
  <c r="EQ21" i="48" a="1"/>
  <c r="EQ21" i="48" s="1"/>
  <c r="EQ16" i="48" a="1"/>
  <c r="EQ16" i="48" s="1"/>
  <c r="EQ11" i="48" a="1"/>
  <c r="EQ11" i="48" s="1"/>
  <c r="EQ10" i="48" a="1"/>
  <c r="EQ10" i="48" s="1"/>
  <c r="EQ3" i="48" a="1"/>
  <c r="EQ3" i="48" s="1"/>
  <c r="EQ44" i="48" a="1"/>
  <c r="EQ44" i="48" s="1"/>
  <c r="EQ29" i="48" a="1"/>
  <c r="EQ29" i="48" s="1"/>
  <c r="EQ14" i="48" a="1"/>
  <c r="EQ14" i="48" s="1"/>
  <c r="EQ31" i="48" a="1"/>
  <c r="EQ31" i="48" s="1"/>
  <c r="EQ20" i="48" a="1"/>
  <c r="EQ20" i="48" s="1"/>
  <c r="EQ43" i="48" a="1"/>
  <c r="EQ43" i="48" s="1"/>
  <c r="EQ51" i="48" a="1"/>
  <c r="EQ51" i="48" s="1"/>
  <c r="EQ41" i="48" a="1"/>
  <c r="EQ41" i="48" s="1"/>
  <c r="EQ19" i="48" a="1"/>
  <c r="EQ19" i="48" s="1"/>
  <c r="EQ8" i="48" a="1"/>
  <c r="EQ8" i="48" s="1"/>
  <c r="EQ9" i="48" a="1"/>
  <c r="EQ9" i="48" s="1"/>
  <c r="EQ39" i="48" a="1"/>
  <c r="EQ39" i="48" s="1"/>
  <c r="EQ28" i="48" a="1"/>
  <c r="EQ28" i="48" s="1"/>
  <c r="EQ6" i="48" a="1"/>
  <c r="EQ6" i="48" s="1"/>
  <c r="EQ48" i="48" a="1"/>
  <c r="EQ48" i="48" s="1"/>
  <c r="EQ27" i="48" a="1"/>
  <c r="EQ27" i="48" s="1"/>
  <c r="EQ15" i="48" a="1"/>
  <c r="EQ15" i="48" s="1"/>
  <c r="EQ47" i="48" a="1"/>
  <c r="EQ47" i="48" s="1"/>
  <c r="EQ38" i="48" a="1"/>
  <c r="EQ38" i="48" s="1"/>
  <c r="EQ17" i="48" a="1"/>
  <c r="EQ17" i="48" s="1"/>
  <c r="EQ2" i="48" a="1"/>
  <c r="EQ2" i="48" s="1"/>
  <c r="EQ22" i="48" a="1"/>
  <c r="EQ22" i="48" s="1"/>
  <c r="EQ35" i="48" a="1"/>
  <c r="EQ35" i="48" s="1"/>
  <c r="EQ26" i="48" a="1"/>
  <c r="EQ26" i="48" s="1"/>
  <c r="EQ7" i="48" a="1"/>
  <c r="EQ7" i="48" s="1"/>
  <c r="ER1" i="48" a="1"/>
  <c r="ER1" i="48" s="1"/>
  <c r="ER50" i="48" l="1" a="1"/>
  <c r="ER50" i="48" s="1"/>
  <c r="ER45" i="48" a="1"/>
  <c r="ER45" i="48" s="1"/>
  <c r="ER42" i="48" a="1"/>
  <c r="ER42" i="48" s="1"/>
  <c r="ER36" i="48" a="1"/>
  <c r="ER36" i="48" s="1"/>
  <c r="ER35" i="48" a="1"/>
  <c r="ER35" i="48" s="1"/>
  <c r="ER29" i="48" a="1"/>
  <c r="ER29" i="48" s="1"/>
  <c r="ER22" i="48" a="1"/>
  <c r="ER22" i="48" s="1"/>
  <c r="ER21" i="48" a="1"/>
  <c r="ER21" i="48" s="1"/>
  <c r="ER17" i="48" a="1"/>
  <c r="ER17" i="48" s="1"/>
  <c r="ER48" i="48" a="1"/>
  <c r="ER48" i="48" s="1"/>
  <c r="ER43" i="48" a="1"/>
  <c r="ER43" i="48" s="1"/>
  <c r="ER40" i="48" a="1"/>
  <c r="ER40" i="48" s="1"/>
  <c r="ER38" i="48" a="1"/>
  <c r="ER38" i="48" s="1"/>
  <c r="ER31" i="48" a="1"/>
  <c r="ER31" i="48" s="1"/>
  <c r="ER30" i="48" a="1"/>
  <c r="ER30" i="48" s="1"/>
  <c r="ER27" i="48" a="1"/>
  <c r="ER27" i="48" s="1"/>
  <c r="ER20" i="48" a="1"/>
  <c r="ER20" i="48" s="1"/>
  <c r="ER19" i="48" a="1"/>
  <c r="ER19" i="48" s="1"/>
  <c r="ER51" i="48" a="1"/>
  <c r="ER51" i="48" s="1"/>
  <c r="ER32" i="48" a="1"/>
  <c r="ER32" i="48" s="1"/>
  <c r="ER18" i="48" a="1"/>
  <c r="ER18" i="48" s="1"/>
  <c r="ER14" i="48" a="1"/>
  <c r="ER14" i="48" s="1"/>
  <c r="ER5" i="48" a="1"/>
  <c r="ER5" i="48" s="1"/>
  <c r="ER49" i="48" a="1"/>
  <c r="ER49" i="48" s="1"/>
  <c r="ER39" i="48" a="1"/>
  <c r="ER39" i="48" s="1"/>
  <c r="ER16" i="48" a="1"/>
  <c r="ER16" i="48" s="1"/>
  <c r="ER12" i="48" a="1"/>
  <c r="ER12" i="48" s="1"/>
  <c r="ER6" i="48" a="1"/>
  <c r="ER6" i="48" s="1"/>
  <c r="ER37" i="48" a="1"/>
  <c r="ER37" i="48" s="1"/>
  <c r="ER25" i="48" a="1"/>
  <c r="ER25" i="48" s="1"/>
  <c r="ER3" i="48" a="1"/>
  <c r="ER3" i="48" s="1"/>
  <c r="ER46" i="48" a="1"/>
  <c r="ER46" i="48" s="1"/>
  <c r="ER26" i="48" a="1"/>
  <c r="ER26" i="48" s="1"/>
  <c r="ER13" i="48" a="1"/>
  <c r="ER13" i="48" s="1"/>
  <c r="ER10" i="48" a="1"/>
  <c r="ER10" i="48" s="1"/>
  <c r="ER2" i="48" a="1"/>
  <c r="ER2" i="48" s="1"/>
  <c r="ER47" i="48" a="1"/>
  <c r="ER47" i="48" s="1"/>
  <c r="ER34" i="48" a="1"/>
  <c r="ER34" i="48" s="1"/>
  <c r="ER11" i="48" a="1"/>
  <c r="ER11" i="48" s="1"/>
  <c r="ER15" i="48" a="1"/>
  <c r="ER15" i="48" s="1"/>
  <c r="ER28" i="48" a="1"/>
  <c r="ER28" i="48" s="1"/>
  <c r="ER33" i="48" a="1"/>
  <c r="ER33" i="48" s="1"/>
  <c r="ER23" i="48" a="1"/>
  <c r="ER23" i="48" s="1"/>
  <c r="ER4" i="48" a="1"/>
  <c r="ER4" i="48" s="1"/>
  <c r="ER44" i="48" a="1"/>
  <c r="ER44" i="48" s="1"/>
  <c r="ER24" i="48" a="1"/>
  <c r="ER24" i="48" s="1"/>
  <c r="ER9" i="48" a="1"/>
  <c r="ER9" i="48" s="1"/>
  <c r="ER7" i="48" a="1"/>
  <c r="ER7" i="48" s="1"/>
  <c r="ER41" i="48" a="1"/>
  <c r="ER41" i="48" s="1"/>
  <c r="ER8" i="48" a="1"/>
  <c r="ER8" i="48" s="1"/>
  <c r="ES1" i="48" a="1"/>
  <c r="ES1" i="48" s="1"/>
  <c r="ES49" i="48" l="1" a="1"/>
  <c r="ES49" i="48" s="1"/>
  <c r="ES43" i="48" a="1"/>
  <c r="ES43" i="48" s="1"/>
  <c r="ES29" i="48" a="1"/>
  <c r="ES29" i="48" s="1"/>
  <c r="ES25" i="48" a="1"/>
  <c r="ES25" i="48" s="1"/>
  <c r="ES16" i="48" a="1"/>
  <c r="ES16" i="48" s="1"/>
  <c r="ES13" i="48" a="1"/>
  <c r="ES13" i="48" s="1"/>
  <c r="ES37" i="48" a="1"/>
  <c r="ES37" i="48" s="1"/>
  <c r="ES41" i="48" a="1"/>
  <c r="ES41" i="48" s="1"/>
  <c r="ES36" i="48" a="1"/>
  <c r="ES36" i="48" s="1"/>
  <c r="ES30" i="48" a="1"/>
  <c r="ES30" i="48" s="1"/>
  <c r="ES26" i="48" a="1"/>
  <c r="ES26" i="48" s="1"/>
  <c r="ES11" i="48" a="1"/>
  <c r="ES11" i="48" s="1"/>
  <c r="ES6" i="48" a="1"/>
  <c r="ES6" i="48" s="1"/>
  <c r="ES32" i="48" a="1"/>
  <c r="ES32" i="48" s="1"/>
  <c r="ES47" i="48" a="1"/>
  <c r="ES47" i="48" s="1"/>
  <c r="ES40" i="48" a="1"/>
  <c r="ES40" i="48" s="1"/>
  <c r="ES35" i="48" a="1"/>
  <c r="ES35" i="48" s="1"/>
  <c r="ES22" i="48" a="1"/>
  <c r="ES22" i="48" s="1"/>
  <c r="ES15" i="48" a="1"/>
  <c r="ES15" i="48" s="1"/>
  <c r="ES9" i="48" a="1"/>
  <c r="ES9" i="48" s="1"/>
  <c r="ES4" i="48" a="1"/>
  <c r="ES4" i="48" s="1"/>
  <c r="ES50" i="48" a="1"/>
  <c r="ES50" i="48" s="1"/>
  <c r="ES17" i="48" a="1"/>
  <c r="ES17" i="48" s="1"/>
  <c r="ES48" i="48" a="1"/>
  <c r="ES48" i="48" s="1"/>
  <c r="ES34" i="48" a="1"/>
  <c r="ES34" i="48" s="1"/>
  <c r="ES31" i="48" a="1"/>
  <c r="ES31" i="48" s="1"/>
  <c r="ES21" i="48" a="1"/>
  <c r="ES21" i="48" s="1"/>
  <c r="ES18" i="48" a="1"/>
  <c r="ES18" i="48" s="1"/>
  <c r="ES5" i="48" a="1"/>
  <c r="ES5" i="48" s="1"/>
  <c r="ES46" i="48" a="1"/>
  <c r="ES46" i="48" s="1"/>
  <c r="ES42" i="48" a="1"/>
  <c r="ES42" i="48" s="1"/>
  <c r="ES33" i="48" a="1"/>
  <c r="ES33" i="48" s="1"/>
  <c r="ES27" i="48" a="1"/>
  <c r="ES27" i="48" s="1"/>
  <c r="ES14" i="48" a="1"/>
  <c r="ES14" i="48" s="1"/>
  <c r="ES8" i="48" a="1"/>
  <c r="ES8" i="48" s="1"/>
  <c r="ES10" i="48" a="1"/>
  <c r="ES10" i="48" s="1"/>
  <c r="ES45" i="48" a="1"/>
  <c r="ES45" i="48" s="1"/>
  <c r="ES38" i="48" a="1"/>
  <c r="ES38" i="48" s="1"/>
  <c r="ES23" i="48" a="1"/>
  <c r="ES23" i="48" s="1"/>
  <c r="ES20" i="48" a="1"/>
  <c r="ES20" i="48" s="1"/>
  <c r="ES12" i="48" a="1"/>
  <c r="ES12" i="48" s="1"/>
  <c r="ES7" i="48" a="1"/>
  <c r="ES7" i="48" s="1"/>
  <c r="ES44" i="48" a="1"/>
  <c r="ES44" i="48" s="1"/>
  <c r="ES51" i="48" a="1"/>
  <c r="ES51" i="48" s="1"/>
  <c r="ES39" i="48" a="1"/>
  <c r="ES39" i="48" s="1"/>
  <c r="ES28" i="48" a="1"/>
  <c r="ES28" i="48" s="1"/>
  <c r="ES24" i="48" a="1"/>
  <c r="ES24" i="48" s="1"/>
  <c r="ES19" i="48" a="1"/>
  <c r="ES19" i="48" s="1"/>
  <c r="ES2" i="48" a="1"/>
  <c r="ES2" i="48" s="1"/>
  <c r="ES3" i="48" a="1"/>
  <c r="ES3" i="48" s="1"/>
  <c r="ET1" i="48" a="1"/>
  <c r="ET1" i="48" s="1"/>
  <c r="ET49" i="48" l="1" a="1"/>
  <c r="ET49" i="48" s="1"/>
  <c r="ET44" i="48" a="1"/>
  <c r="ET44" i="48" s="1"/>
  <c r="ET36" i="48" a="1"/>
  <c r="ET36" i="48" s="1"/>
  <c r="ET31" i="48" a="1"/>
  <c r="ET31" i="48" s="1"/>
  <c r="ET19" i="48" a="1"/>
  <c r="ET19" i="48" s="1"/>
  <c r="ET15" i="48" a="1"/>
  <c r="ET15" i="48" s="1"/>
  <c r="ET5" i="48" a="1"/>
  <c r="ET5" i="48" s="1"/>
  <c r="ET4" i="48" a="1"/>
  <c r="ET4" i="48" s="1"/>
  <c r="ET48" i="48" a="1"/>
  <c r="ET48" i="48" s="1"/>
  <c r="ET42" i="48" a="1"/>
  <c r="ET42" i="48" s="1"/>
  <c r="ET28" i="48" a="1"/>
  <c r="ET28" i="48" s="1"/>
  <c r="ET22" i="48" a="1"/>
  <c r="ET22" i="48" s="1"/>
  <c r="ET18" i="48" a="1"/>
  <c r="ET18" i="48" s="1"/>
  <c r="ET13" i="48" a="1"/>
  <c r="ET13" i="48" s="1"/>
  <c r="ET26" i="48" a="1"/>
  <c r="ET26" i="48" s="1"/>
  <c r="ET40" i="48" a="1"/>
  <c r="ET40" i="48" s="1"/>
  <c r="ET35" i="48" a="1"/>
  <c r="ET35" i="48" s="1"/>
  <c r="ET29" i="48" a="1"/>
  <c r="ET29" i="48" s="1"/>
  <c r="ET23" i="48" a="1"/>
  <c r="ET23" i="48" s="1"/>
  <c r="ET11" i="48" a="1"/>
  <c r="ET11" i="48" s="1"/>
  <c r="ET2" i="48" a="1"/>
  <c r="ET2" i="48" s="1"/>
  <c r="ET50" i="48" a="1"/>
  <c r="ET50" i="48" s="1"/>
  <c r="ET16" i="48" a="1"/>
  <c r="ET16" i="48" s="1"/>
  <c r="ET47" i="48" a="1"/>
  <c r="ET47" i="48" s="1"/>
  <c r="ET41" i="48" a="1"/>
  <c r="ET41" i="48" s="1"/>
  <c r="ET34" i="48" a="1"/>
  <c r="ET34" i="48" s="1"/>
  <c r="ET21" i="48" a="1"/>
  <c r="ET21" i="48" s="1"/>
  <c r="ET14" i="48" a="1"/>
  <c r="ET14" i="48" s="1"/>
  <c r="ET9" i="48" a="1"/>
  <c r="ET9" i="48" s="1"/>
  <c r="ET7" i="48" a="1"/>
  <c r="ET7" i="48" s="1"/>
  <c r="ET46" i="48" a="1"/>
  <c r="ET46" i="48" s="1"/>
  <c r="ET33" i="48" a="1"/>
  <c r="ET33" i="48" s="1"/>
  <c r="ET27" i="48" a="1"/>
  <c r="ET27" i="48" s="1"/>
  <c r="ET20" i="48" a="1"/>
  <c r="ET20" i="48" s="1"/>
  <c r="ET12" i="48" a="1"/>
  <c r="ET12" i="48" s="1"/>
  <c r="ET45" i="48" a="1"/>
  <c r="ET45" i="48" s="1"/>
  <c r="ET38" i="48" a="1"/>
  <c r="ET38" i="48" s="1"/>
  <c r="ET32" i="48" a="1"/>
  <c r="ET32" i="48" s="1"/>
  <c r="ET24" i="48" a="1"/>
  <c r="ET24" i="48" s="1"/>
  <c r="ET10" i="48" a="1"/>
  <c r="ET10" i="48" s="1"/>
  <c r="ET3" i="48" a="1"/>
  <c r="ET3" i="48" s="1"/>
  <c r="ET37" i="48" a="1"/>
  <c r="ET37" i="48" s="1"/>
  <c r="ET51" i="48" a="1"/>
  <c r="ET51" i="48" s="1"/>
  <c r="ET43" i="48" a="1"/>
  <c r="ET43" i="48" s="1"/>
  <c r="ET39" i="48" a="1"/>
  <c r="ET39" i="48" s="1"/>
  <c r="ET25" i="48" a="1"/>
  <c r="ET25" i="48" s="1"/>
  <c r="ET17" i="48" a="1"/>
  <c r="ET17" i="48" s="1"/>
  <c r="ET8" i="48" a="1"/>
  <c r="ET8" i="48" s="1"/>
  <c r="ET6" i="48" a="1"/>
  <c r="ET6" i="48" s="1"/>
  <c r="ET30" i="48" a="1"/>
  <c r="ET30" i="48" s="1"/>
  <c r="EU1" i="48" a="1"/>
  <c r="EU1" i="48" s="1"/>
  <c r="EU49" i="48" l="1" a="1"/>
  <c r="EU49" i="48" s="1"/>
  <c r="EU38" i="48" a="1"/>
  <c r="EU38" i="48" s="1"/>
  <c r="EU29" i="48" a="1"/>
  <c r="EU29" i="48" s="1"/>
  <c r="EU27" i="48" a="1"/>
  <c r="EU27" i="48" s="1"/>
  <c r="EU16" i="48" a="1"/>
  <c r="EU16" i="48" s="1"/>
  <c r="EU7" i="48" a="1"/>
  <c r="EU7" i="48" s="1"/>
  <c r="EU14" i="48" a="1"/>
  <c r="EU14" i="48" s="1"/>
  <c r="EU48" i="48" a="1"/>
  <c r="EU48" i="48" s="1"/>
  <c r="EU42" i="48" a="1"/>
  <c r="EU42" i="48" s="1"/>
  <c r="EU35" i="48" a="1"/>
  <c r="EU35" i="48" s="1"/>
  <c r="EU32" i="48" a="1"/>
  <c r="EU32" i="48" s="1"/>
  <c r="EU15" i="48" a="1"/>
  <c r="EU15" i="48" s="1"/>
  <c r="EU12" i="48" a="1"/>
  <c r="EU12" i="48" s="1"/>
  <c r="EU3" i="48" a="1"/>
  <c r="EU3" i="48" s="1"/>
  <c r="EU24" i="48" a="1"/>
  <c r="EU24" i="48" s="1"/>
  <c r="EU45" i="48" a="1"/>
  <c r="EU45" i="48" s="1"/>
  <c r="EU40" i="48" a="1"/>
  <c r="EU40" i="48" s="1"/>
  <c r="EU30" i="48" a="1"/>
  <c r="EU30" i="48" s="1"/>
  <c r="EU25" i="48" a="1"/>
  <c r="EU25" i="48" s="1"/>
  <c r="EU17" i="48" a="1"/>
  <c r="EU17" i="48" s="1"/>
  <c r="EU10" i="48" a="1"/>
  <c r="EU10" i="48" s="1"/>
  <c r="EU2" i="48" a="1"/>
  <c r="EU2" i="48" s="1"/>
  <c r="EU41" i="48" a="1"/>
  <c r="EU41" i="48" s="1"/>
  <c r="EU33" i="48" a="1"/>
  <c r="EU33" i="48" s="1"/>
  <c r="EU26" i="48" a="1"/>
  <c r="EU26" i="48" s="1"/>
  <c r="EU21" i="48" a="1"/>
  <c r="EU21" i="48" s="1"/>
  <c r="EU8" i="48" a="1"/>
  <c r="EU8" i="48" s="1"/>
  <c r="EU4" i="48" a="1"/>
  <c r="EU4" i="48" s="1"/>
  <c r="EU46" i="48" a="1"/>
  <c r="EU46" i="48" s="1"/>
  <c r="EU36" i="48" a="1"/>
  <c r="EU36" i="48" s="1"/>
  <c r="EU34" i="48" a="1"/>
  <c r="EU34" i="48" s="1"/>
  <c r="EU20" i="48" a="1"/>
  <c r="EU20" i="48" s="1"/>
  <c r="EU13" i="48" a="1"/>
  <c r="EU13" i="48" s="1"/>
  <c r="EU6" i="48" a="1"/>
  <c r="EU6" i="48" s="1"/>
  <c r="EU44" i="48" a="1"/>
  <c r="EU44" i="48" s="1"/>
  <c r="EU51" i="48" a="1"/>
  <c r="EU51" i="48" s="1"/>
  <c r="EU47" i="48" a="1"/>
  <c r="EU47" i="48" s="1"/>
  <c r="EU31" i="48" a="1"/>
  <c r="EU31" i="48" s="1"/>
  <c r="EU22" i="48" a="1"/>
  <c r="EU22" i="48" s="1"/>
  <c r="EU19" i="48" a="1"/>
  <c r="EU19" i="48" s="1"/>
  <c r="EU11" i="48" a="1"/>
  <c r="EU11" i="48" s="1"/>
  <c r="EU37" i="48" a="1"/>
  <c r="EU37" i="48" s="1"/>
  <c r="EU43" i="48" a="1"/>
  <c r="EU43" i="48" s="1"/>
  <c r="EU39" i="48" a="1"/>
  <c r="EU39" i="48" s="1"/>
  <c r="EU28" i="48" a="1"/>
  <c r="EU28" i="48" s="1"/>
  <c r="EU23" i="48" a="1"/>
  <c r="EU23" i="48" s="1"/>
  <c r="EU9" i="48" a="1"/>
  <c r="EU9" i="48" s="1"/>
  <c r="EU5" i="48" a="1"/>
  <c r="EU5" i="48" s="1"/>
  <c r="EU50" i="48" a="1"/>
  <c r="EU50" i="48" s="1"/>
  <c r="EU18" i="48" a="1"/>
  <c r="EU18" i="48" s="1"/>
  <c r="EV1" i="48" a="1"/>
  <c r="EV1" i="48" s="1"/>
  <c r="EV49" i="48" l="1" a="1"/>
  <c r="EV49" i="48" s="1"/>
  <c r="EV42" i="48" a="1"/>
  <c r="EV42" i="48" s="1"/>
  <c r="EV36" i="48" a="1"/>
  <c r="EV36" i="48" s="1"/>
  <c r="EV26" i="48" a="1"/>
  <c r="EV26" i="48" s="1"/>
  <c r="EV19" i="48" a="1"/>
  <c r="EV19" i="48" s="1"/>
  <c r="EV14" i="48" a="1"/>
  <c r="EV14" i="48" s="1"/>
  <c r="EV6" i="48" a="1"/>
  <c r="EV6" i="48" s="1"/>
  <c r="EV8" i="48" a="1"/>
  <c r="EV8" i="48" s="1"/>
  <c r="EV47" i="48" a="1"/>
  <c r="EV47" i="48" s="1"/>
  <c r="EV34" i="48" a="1"/>
  <c r="EV34" i="48" s="1"/>
  <c r="EV32" i="48" a="1"/>
  <c r="EV32" i="48" s="1"/>
  <c r="EV22" i="48" a="1"/>
  <c r="EV22" i="48" s="1"/>
  <c r="EV17" i="48" a="1"/>
  <c r="EV17" i="48" s="1"/>
  <c r="EV5" i="48" a="1"/>
  <c r="EV5" i="48" s="1"/>
  <c r="EV38" i="48" a="1"/>
  <c r="EV38" i="48" s="1"/>
  <c r="EV48" i="48" a="1"/>
  <c r="EV48" i="48" s="1"/>
  <c r="EV41" i="48" a="1"/>
  <c r="EV41" i="48" s="1"/>
  <c r="EV35" i="48" a="1"/>
  <c r="EV35" i="48" s="1"/>
  <c r="EV28" i="48" a="1"/>
  <c r="EV28" i="48" s="1"/>
  <c r="EV13" i="48" a="1"/>
  <c r="EV13" i="48" s="1"/>
  <c r="EV12" i="48" a="1"/>
  <c r="EV12" i="48" s="1"/>
  <c r="EV2" i="48" a="1"/>
  <c r="EV2" i="48" s="1"/>
  <c r="EV4" i="48" a="1"/>
  <c r="EV4" i="48" s="1"/>
  <c r="EV46" i="48" a="1"/>
  <c r="EV46" i="48" s="1"/>
  <c r="EV40" i="48" a="1"/>
  <c r="EV40" i="48" s="1"/>
  <c r="EV23" i="48" a="1"/>
  <c r="EV23" i="48" s="1"/>
  <c r="EV21" i="48" a="1"/>
  <c r="EV21" i="48" s="1"/>
  <c r="EV11" i="48" a="1"/>
  <c r="EV11" i="48" s="1"/>
  <c r="EV10" i="48" a="1"/>
  <c r="EV10" i="48" s="1"/>
  <c r="EV39" i="48" a="1"/>
  <c r="EV39" i="48" s="1"/>
  <c r="EV33" i="48" a="1"/>
  <c r="EV33" i="48" s="1"/>
  <c r="EV24" i="48" a="1"/>
  <c r="EV24" i="48" s="1"/>
  <c r="EV20" i="48" a="1"/>
  <c r="EV20" i="48" s="1"/>
  <c r="EV7" i="48" a="1"/>
  <c r="EV7" i="48" s="1"/>
  <c r="EV25" i="48" a="1"/>
  <c r="EV25" i="48" s="1"/>
  <c r="EV51" i="48" a="1"/>
  <c r="EV51" i="48" s="1"/>
  <c r="EV44" i="48" a="1"/>
  <c r="EV44" i="48" s="1"/>
  <c r="EV37" i="48" a="1"/>
  <c r="EV37" i="48" s="1"/>
  <c r="EV31" i="48" a="1"/>
  <c r="EV31" i="48" s="1"/>
  <c r="EV18" i="48" a="1"/>
  <c r="EV18" i="48" s="1"/>
  <c r="EV9" i="48" a="1"/>
  <c r="EV9" i="48" s="1"/>
  <c r="EV3" i="48" a="1"/>
  <c r="EV3" i="48" s="1"/>
  <c r="EV43" i="48" a="1"/>
  <c r="EV43" i="48" s="1"/>
  <c r="EV50" i="48" a="1"/>
  <c r="EV50" i="48" s="1"/>
  <c r="EV45" i="48" a="1"/>
  <c r="EV45" i="48" s="1"/>
  <c r="EV29" i="48" a="1"/>
  <c r="EV29" i="48" s="1"/>
  <c r="EV27" i="48" a="1"/>
  <c r="EV27" i="48" s="1"/>
  <c r="EV16" i="48" a="1"/>
  <c r="EV16" i="48" s="1"/>
  <c r="EV15" i="48" a="1"/>
  <c r="EV15" i="48" s="1"/>
  <c r="EV30" i="48" a="1"/>
  <c r="EV30" i="48" s="1"/>
  <c r="EW1" i="48" a="1"/>
  <c r="EW1" i="48" s="1"/>
  <c r="EW41" i="48" l="1" a="1"/>
  <c r="EW41" i="48" s="1"/>
  <c r="EW37" i="48" a="1"/>
  <c r="EW37" i="48" s="1"/>
  <c r="EW31" i="48" a="1"/>
  <c r="EW31" i="48" s="1"/>
  <c r="EW23" i="48" a="1"/>
  <c r="EW23" i="48" s="1"/>
  <c r="EW11" i="48" a="1"/>
  <c r="EW11" i="48" s="1"/>
  <c r="EW5" i="48" a="1"/>
  <c r="EW5" i="48" s="1"/>
  <c r="EW16" i="48" a="1"/>
  <c r="EW16" i="48" s="1"/>
  <c r="EW48" i="48" a="1"/>
  <c r="EW48" i="48" s="1"/>
  <c r="EW40" i="48" a="1"/>
  <c r="EW40" i="48" s="1"/>
  <c r="EW34" i="48" a="1"/>
  <c r="EW34" i="48" s="1"/>
  <c r="EW24" i="48" a="1"/>
  <c r="EW24" i="48" s="1"/>
  <c r="EW15" i="48" a="1"/>
  <c r="EW15" i="48" s="1"/>
  <c r="EW9" i="48" a="1"/>
  <c r="EW9" i="48" s="1"/>
  <c r="EW6" i="48" a="1"/>
  <c r="EW6" i="48" s="1"/>
  <c r="EW44" i="48" a="1"/>
  <c r="EW44" i="48" s="1"/>
  <c r="EW47" i="48" a="1"/>
  <c r="EW47" i="48" s="1"/>
  <c r="EW35" i="48" a="1"/>
  <c r="EW35" i="48" s="1"/>
  <c r="EW29" i="48" a="1"/>
  <c r="EW29" i="48" s="1"/>
  <c r="EW21" i="48" a="1"/>
  <c r="EW21" i="48" s="1"/>
  <c r="EW18" i="48" a="1"/>
  <c r="EW18" i="48" s="1"/>
  <c r="EW3" i="48" a="1"/>
  <c r="EW3" i="48" s="1"/>
  <c r="EW22" i="48" a="1"/>
  <c r="EW22" i="48" s="1"/>
  <c r="EW46" i="48" a="1"/>
  <c r="EW46" i="48" s="1"/>
  <c r="EW42" i="48" a="1"/>
  <c r="EW42" i="48" s="1"/>
  <c r="EW33" i="48" a="1"/>
  <c r="EW33" i="48" s="1"/>
  <c r="EW25" i="48" a="1"/>
  <c r="EW25" i="48" s="1"/>
  <c r="EW14" i="48" a="1"/>
  <c r="EW14" i="48" s="1"/>
  <c r="EW8" i="48" a="1"/>
  <c r="EW8" i="48" s="1"/>
  <c r="EW45" i="48" a="1"/>
  <c r="EW45" i="48" s="1"/>
  <c r="EW38" i="48" a="1"/>
  <c r="EW38" i="48" s="1"/>
  <c r="EW27" i="48" a="1"/>
  <c r="EW27" i="48" s="1"/>
  <c r="EW20" i="48" a="1"/>
  <c r="EW20" i="48" s="1"/>
  <c r="EW12" i="48" a="1"/>
  <c r="EW12" i="48" s="1"/>
  <c r="EW7" i="48" a="1"/>
  <c r="EW7" i="48" s="1"/>
  <c r="EW28" i="48" a="1"/>
  <c r="EW28" i="48" s="1"/>
  <c r="EW51" i="48" a="1"/>
  <c r="EW51" i="48" s="1"/>
  <c r="EW36" i="48" a="1"/>
  <c r="EW36" i="48" s="1"/>
  <c r="EW30" i="48" a="1"/>
  <c r="EW30" i="48" s="1"/>
  <c r="EW26" i="48" a="1"/>
  <c r="EW26" i="48" s="1"/>
  <c r="EW19" i="48" a="1"/>
  <c r="EW19" i="48" s="1"/>
  <c r="EW4" i="48" a="1"/>
  <c r="EW4" i="48" s="1"/>
  <c r="EW13" i="48" a="1"/>
  <c r="EW13" i="48" s="1"/>
  <c r="EW50" i="48" a="1"/>
  <c r="EW50" i="48" s="1"/>
  <c r="EW43" i="48" a="1"/>
  <c r="EW43" i="48" s="1"/>
  <c r="EW39" i="48" a="1"/>
  <c r="EW39" i="48" s="1"/>
  <c r="EW32" i="48" a="1"/>
  <c r="EW32" i="48" s="1"/>
  <c r="EW17" i="48" a="1"/>
  <c r="EW17" i="48" s="1"/>
  <c r="EW10" i="48" a="1"/>
  <c r="EW10" i="48" s="1"/>
  <c r="EW2" i="48" a="1"/>
  <c r="EW2" i="48" s="1"/>
  <c r="EW49" i="48" a="1"/>
  <c r="EW49" i="48" s="1"/>
  <c r="EX1" i="48" a="1"/>
  <c r="EX1" i="48" s="1"/>
  <c r="EX48" i="48" l="1" a="1"/>
  <c r="EX48" i="48" s="1"/>
  <c r="EX42" i="48" a="1"/>
  <c r="EX42" i="48" s="1"/>
  <c r="EX31" i="48" a="1"/>
  <c r="EX31" i="48" s="1"/>
  <c r="EX24" i="48" a="1"/>
  <c r="EX24" i="48" s="1"/>
  <c r="EX18" i="48" a="1"/>
  <c r="EX18" i="48" s="1"/>
  <c r="EX13" i="48" a="1"/>
  <c r="EX13" i="48" s="1"/>
  <c r="EX40" i="48" a="1"/>
  <c r="EX40" i="48" s="1"/>
  <c r="EX35" i="48" a="1"/>
  <c r="EX35" i="48" s="1"/>
  <c r="EX30" i="48" a="1"/>
  <c r="EX30" i="48" s="1"/>
  <c r="EX25" i="48" a="1"/>
  <c r="EX25" i="48" s="1"/>
  <c r="EX11" i="48" a="1"/>
  <c r="EX11" i="48" s="1"/>
  <c r="EX7" i="48" a="1"/>
  <c r="EX7" i="48" s="1"/>
  <c r="EX49" i="48" a="1"/>
  <c r="EX49" i="48" s="1"/>
  <c r="EX8" i="48" a="1"/>
  <c r="EX8" i="48" s="1"/>
  <c r="EX45" i="48" a="1"/>
  <c r="EX45" i="48" s="1"/>
  <c r="EX41" i="48" a="1"/>
  <c r="EX41" i="48" s="1"/>
  <c r="EX33" i="48" a="1"/>
  <c r="EX33" i="48" s="1"/>
  <c r="EX21" i="48" a="1"/>
  <c r="EX21" i="48" s="1"/>
  <c r="EX15" i="48" a="1"/>
  <c r="EX15" i="48" s="1"/>
  <c r="EX9" i="48" a="1"/>
  <c r="EX9" i="48" s="1"/>
  <c r="EX4" i="48" a="1"/>
  <c r="EX4" i="48" s="1"/>
  <c r="EX14" i="48" a="1"/>
  <c r="EX14" i="48" s="1"/>
  <c r="EX37" i="48" a="1"/>
  <c r="EX37" i="48" s="1"/>
  <c r="EX47" i="48" a="1"/>
  <c r="EX47" i="48" s="1"/>
  <c r="EX34" i="48" a="1"/>
  <c r="EX34" i="48" s="1"/>
  <c r="EX27" i="48" a="1"/>
  <c r="EX27" i="48" s="1"/>
  <c r="EX20" i="48" a="1"/>
  <c r="EX20" i="48" s="1"/>
  <c r="EX46" i="48" a="1"/>
  <c r="EX46" i="48" s="1"/>
  <c r="EX38" i="48" a="1"/>
  <c r="EX38" i="48" s="1"/>
  <c r="EX32" i="48" a="1"/>
  <c r="EX32" i="48" s="1"/>
  <c r="EX26" i="48" a="1"/>
  <c r="EX26" i="48" s="1"/>
  <c r="EX12" i="48" a="1"/>
  <c r="EX12" i="48" s="1"/>
  <c r="EX5" i="48" a="1"/>
  <c r="EX5" i="48" s="1"/>
  <c r="EX44" i="48" a="1"/>
  <c r="EX44" i="48" s="1"/>
  <c r="EX2" i="48" a="1"/>
  <c r="EX2" i="48" s="1"/>
  <c r="EX51" i="48" a="1"/>
  <c r="EX51" i="48" s="1"/>
  <c r="EX43" i="48" a="1"/>
  <c r="EX43" i="48" s="1"/>
  <c r="EX36" i="48" a="1"/>
  <c r="EX36" i="48" s="1"/>
  <c r="EX22" i="48" a="1"/>
  <c r="EX22" i="48" s="1"/>
  <c r="EX19" i="48" a="1"/>
  <c r="EX19" i="48" s="1"/>
  <c r="EX10" i="48" a="1"/>
  <c r="EX10" i="48" s="1"/>
  <c r="EX6" i="48" a="1"/>
  <c r="EX6" i="48" s="1"/>
  <c r="EX16" i="48" a="1"/>
  <c r="EX16" i="48" s="1"/>
  <c r="EX50" i="48" a="1"/>
  <c r="EX50" i="48" s="1"/>
  <c r="EX39" i="48" a="1"/>
  <c r="EX39" i="48" s="1"/>
  <c r="EX28" i="48" a="1"/>
  <c r="EX28" i="48" s="1"/>
  <c r="EX23" i="48" a="1"/>
  <c r="EX23" i="48" s="1"/>
  <c r="EX17" i="48" a="1"/>
  <c r="EX17" i="48" s="1"/>
  <c r="EX3" i="48" a="1"/>
  <c r="EX3" i="48" s="1"/>
  <c r="EX29" i="48" a="1"/>
  <c r="EX29" i="48" s="1"/>
  <c r="EY1" i="48" a="1"/>
  <c r="EY1" i="48" s="1"/>
  <c r="EY48" i="48" l="1" a="1"/>
  <c r="EY48" i="48" s="1"/>
  <c r="EY42" i="48" a="1"/>
  <c r="EY42" i="48" s="1"/>
  <c r="EY34" i="48" a="1"/>
  <c r="EY34" i="48" s="1"/>
  <c r="EY32" i="48" a="1"/>
  <c r="EY32" i="48" s="1"/>
  <c r="EY15" i="48" a="1"/>
  <c r="EY15" i="48" s="1"/>
  <c r="EY12" i="48" a="1"/>
  <c r="EY12" i="48" s="1"/>
  <c r="EY7" i="48" a="1"/>
  <c r="EY7" i="48" s="1"/>
  <c r="EY30" i="48" a="1"/>
  <c r="EY30" i="48" s="1"/>
  <c r="EY47" i="48" a="1"/>
  <c r="EY47" i="48" s="1"/>
  <c r="EY40" i="48" a="1"/>
  <c r="EY40" i="48" s="1"/>
  <c r="EY28" i="48" a="1"/>
  <c r="EY28" i="48" s="1"/>
  <c r="EY23" i="48" a="1"/>
  <c r="EY23" i="48" s="1"/>
  <c r="EY17" i="48" a="1"/>
  <c r="EY17" i="48" s="1"/>
  <c r="EY10" i="48" a="1"/>
  <c r="EY10" i="48" s="1"/>
  <c r="EY41" i="48" a="1"/>
  <c r="EY41" i="48" s="1"/>
  <c r="EY33" i="48" a="1"/>
  <c r="EY33" i="48" s="1"/>
  <c r="EY24" i="48" a="1"/>
  <c r="EY24" i="48" s="1"/>
  <c r="EY21" i="48" a="1"/>
  <c r="EY21" i="48" s="1"/>
  <c r="EY8" i="48" a="1"/>
  <c r="EY8" i="48" s="1"/>
  <c r="EY5" i="48" a="1"/>
  <c r="EY5" i="48" s="1"/>
  <c r="EY46" i="48" a="1"/>
  <c r="EY46" i="48" s="1"/>
  <c r="EY39" i="48" a="1"/>
  <c r="EY39" i="48" s="1"/>
  <c r="EY20" i="48" a="1"/>
  <c r="EY20" i="48" s="1"/>
  <c r="EY6" i="48" a="1"/>
  <c r="EY6" i="48" s="1"/>
  <c r="EY25" i="48" a="1"/>
  <c r="EY25" i="48" s="1"/>
  <c r="EY49" i="48" a="1"/>
  <c r="EY49" i="48" s="1"/>
  <c r="EY16" i="48" a="1"/>
  <c r="EY16" i="48" s="1"/>
  <c r="EY35" i="48" a="1"/>
  <c r="EY35" i="48" s="1"/>
  <c r="EY13" i="48" a="1"/>
  <c r="EY13" i="48" s="1"/>
  <c r="EY11" i="48" a="1"/>
  <c r="EY11" i="48" s="1"/>
  <c r="EY51" i="48" a="1"/>
  <c r="EY51" i="48" s="1"/>
  <c r="EY45" i="48" a="1"/>
  <c r="EY45" i="48" s="1"/>
  <c r="EY29" i="48" a="1"/>
  <c r="EY29" i="48" s="1"/>
  <c r="EY19" i="48" a="1"/>
  <c r="EY19" i="48" s="1"/>
  <c r="EY2" i="48" a="1"/>
  <c r="EY2" i="48" s="1"/>
  <c r="EY43" i="48" a="1"/>
  <c r="EY43" i="48" s="1"/>
  <c r="EY37" i="48" a="1"/>
  <c r="EY37" i="48" s="1"/>
  <c r="EY31" i="48" a="1"/>
  <c r="EY31" i="48" s="1"/>
  <c r="EY26" i="48" a="1"/>
  <c r="EY26" i="48" s="1"/>
  <c r="EY9" i="48" a="1"/>
  <c r="EY9" i="48" s="1"/>
  <c r="EY3" i="48" a="1"/>
  <c r="EY3" i="48" s="1"/>
  <c r="EY27" i="48" a="1"/>
  <c r="EY27" i="48" s="1"/>
  <c r="EY50" i="48" a="1"/>
  <c r="EY50" i="48" s="1"/>
  <c r="EY44" i="48" a="1"/>
  <c r="EY44" i="48" s="1"/>
  <c r="EY36" i="48" a="1"/>
  <c r="EY36" i="48" s="1"/>
  <c r="EY22" i="48" a="1"/>
  <c r="EY22" i="48" s="1"/>
  <c r="EY18" i="48" a="1"/>
  <c r="EY18" i="48" s="1"/>
  <c r="EY14" i="48" a="1"/>
  <c r="EY14" i="48" s="1"/>
  <c r="EY4" i="48" a="1"/>
  <c r="EY4" i="48" s="1"/>
  <c r="EY38" i="48" a="1"/>
  <c r="EY38" i="48" s="1"/>
  <c r="EZ1" i="48" a="1"/>
  <c r="EZ1" i="48" s="1"/>
  <c r="EZ47" i="48" l="1" a="1"/>
  <c r="EZ47" i="48" s="1"/>
  <c r="EZ33" i="48" a="1"/>
  <c r="EZ33" i="48" s="1"/>
  <c r="EZ30" i="48" a="1"/>
  <c r="EZ30" i="48" s="1"/>
  <c r="EZ21" i="48" a="1"/>
  <c r="EZ21" i="48" s="1"/>
  <c r="EZ13" i="48" a="1"/>
  <c r="EZ13" i="48" s="1"/>
  <c r="EZ40" i="48" a="1"/>
  <c r="EZ40" i="48" s="1"/>
  <c r="EZ45" i="48" a="1"/>
  <c r="EZ45" i="48" s="1"/>
  <c r="EZ42" i="48" a="1"/>
  <c r="EZ42" i="48" s="1"/>
  <c r="EZ35" i="48" a="1"/>
  <c r="EZ35" i="48" s="1"/>
  <c r="EZ25" i="48" a="1"/>
  <c r="EZ25" i="48" s="1"/>
  <c r="EZ11" i="48" a="1"/>
  <c r="EZ11" i="48" s="1"/>
  <c r="EZ12" i="48" a="1"/>
  <c r="EZ12" i="48" s="1"/>
  <c r="EZ7" i="48" a="1"/>
  <c r="EZ7" i="48" s="1"/>
  <c r="EZ2" i="48" a="1"/>
  <c r="EZ2" i="48" s="1"/>
  <c r="EZ34" i="48" a="1"/>
  <c r="EZ34" i="48" s="1"/>
  <c r="EZ46" i="48" a="1"/>
  <c r="EZ46" i="48" s="1"/>
  <c r="EZ39" i="48" a="1"/>
  <c r="EZ39" i="48" s="1"/>
  <c r="EZ27" i="48" a="1"/>
  <c r="EZ27" i="48" s="1"/>
  <c r="EZ20" i="48" a="1"/>
  <c r="EZ20" i="48" s="1"/>
  <c r="EZ37" i="48" a="1"/>
  <c r="EZ37" i="48" s="1"/>
  <c r="EZ31" i="48" a="1"/>
  <c r="EZ31" i="48" s="1"/>
  <c r="EZ19" i="48" a="1"/>
  <c r="EZ19" i="48" s="1"/>
  <c r="EZ9" i="48" a="1"/>
  <c r="EZ9" i="48" s="1"/>
  <c r="EZ5" i="48" a="1"/>
  <c r="EZ5" i="48" s="1"/>
  <c r="EZ43" i="48" a="1"/>
  <c r="EZ43" i="48" s="1"/>
  <c r="EZ18" i="48" a="1"/>
  <c r="EZ18" i="48" s="1"/>
  <c r="EZ3" i="48" a="1"/>
  <c r="EZ3" i="48" s="1"/>
  <c r="EZ51" i="48" a="1"/>
  <c r="EZ51" i="48" s="1"/>
  <c r="EZ26" i="48" a="1"/>
  <c r="EZ26" i="48" s="1"/>
  <c r="EZ10" i="48" a="1"/>
  <c r="EZ10" i="48" s="1"/>
  <c r="EZ28" i="48" a="1"/>
  <c r="EZ28" i="48" s="1"/>
  <c r="EZ17" i="48" a="1"/>
  <c r="EZ17" i="48" s="1"/>
  <c r="EZ49" i="48" a="1"/>
  <c r="EZ49" i="48" s="1"/>
  <c r="EZ36" i="48" a="1"/>
  <c r="EZ36" i="48" s="1"/>
  <c r="EZ4" i="48" a="1"/>
  <c r="EZ4" i="48" s="1"/>
  <c r="EZ50" i="48" a="1"/>
  <c r="EZ50" i="48" s="1"/>
  <c r="EZ44" i="48" a="1"/>
  <c r="EZ44" i="48" s="1"/>
  <c r="EZ32" i="48" a="1"/>
  <c r="EZ32" i="48" s="1"/>
  <c r="EZ22" i="48" a="1"/>
  <c r="EZ22" i="48" s="1"/>
  <c r="EZ16" i="48" a="1"/>
  <c r="EZ16" i="48" s="1"/>
  <c r="EZ8" i="48" a="1"/>
  <c r="EZ8" i="48" s="1"/>
  <c r="EZ15" i="48" a="1"/>
  <c r="EZ15" i="48" s="1"/>
  <c r="EZ6" i="48" a="1"/>
  <c r="EZ6" i="48" s="1"/>
  <c r="EZ24" i="48" a="1"/>
  <c r="EZ24" i="48" s="1"/>
  <c r="EZ41" i="48" a="1"/>
  <c r="EZ41" i="48" s="1"/>
  <c r="EZ38" i="48" a="1"/>
  <c r="EZ38" i="48" s="1"/>
  <c r="EZ29" i="48" a="1"/>
  <c r="EZ29" i="48" s="1"/>
  <c r="EZ23" i="48" a="1"/>
  <c r="EZ23" i="48" s="1"/>
  <c r="EZ48" i="48" a="1"/>
  <c r="EZ48" i="48" s="1"/>
  <c r="EZ14" i="48" a="1"/>
  <c r="EZ14" i="4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base_registration" type="6" refreshedVersion="3" background="1" saveData="1">
    <textPr codePage="850" sourceFile="C:\Users\nacho\Downloads\base_registration.html" delimited="0" decimal="," thousands=".">
      <textFields>
        <textField/>
      </textFields>
    </textPr>
  </connection>
  <connection id="2" xr16:uid="{00000000-0015-0000-FFFF-FFFF01000000}" name="Conexión" type="4" refreshedVersion="5" background="1" saveData="1">
    <webPr sourceData="1" parsePre="1" consecutive="1" xl2000="1" url="http://oa.upv.es/videoscursocod.php?CODIGO=9e0e4ba0-d852-2243-8590-320e9d78ff36"/>
  </connection>
  <connection id="3" xr16:uid="{00000000-0015-0000-FFFF-FFFF02000000}" name="confirmation" type="6" refreshedVersion="3" background="1">
    <textPr codePage="65001" sourceFile="D:\Dropbox\REDES SOCIALES\CURSOS\MOOC\Matematicas\curso\views\confirmation.html" delimited="0" decimal="," thousands=".">
      <textFields>
        <textField/>
      </textFields>
    </textPr>
  </connection>
</connections>
</file>

<file path=xl/sharedStrings.xml><?xml version="1.0" encoding="utf-8"?>
<sst xmlns="http://schemas.openxmlformats.org/spreadsheetml/2006/main" count="3570" uniqueCount="2394">
  <si>
    <t>unidad3</t>
  </si>
  <si>
    <t>unidad4</t>
  </si>
  <si>
    <t>unidad5</t>
  </si>
  <si>
    <t>unidad6</t>
  </si>
  <si>
    <t>¡Correcto!</t>
  </si>
  <si>
    <t>True</t>
  </si>
  <si>
    <t>OBJETIVOS</t>
  </si>
  <si>
    <t>CORRECTA</t>
  </si>
  <si>
    <t>Código de Google Analytics</t>
  </si>
  <si>
    <t>Duración</t>
  </si>
  <si>
    <t>Trabajo estimado</t>
  </si>
  <si>
    <t>¿Qué aprenderé?</t>
  </si>
  <si>
    <t>¿Qué necesito saber?</t>
  </si>
  <si>
    <t>unidad2</t>
  </si>
  <si>
    <t>URL Plataforma</t>
  </si>
  <si>
    <t>http://upvx.es</t>
  </si>
  <si>
    <t>&lt;script type="text/javascript"&gt;
  var _gaq = _gaq || [];
  _gaq.push(['_setAccount', 'UA-37045027-1']);
  _gaq.push(['_setDomainName', 'upvx.es']);
  _gaq.push(['_trackPageview']);
  (function() {
    var ga = document.createElement('script'); ga.type = 'text/javascript'; ga.async = true;
    ga.src = ('https:' == document.location.protocol ? 'https://ssl' : 'http://www') + '.google-analytics.com/ga.js';
    var s = document.getElementsByTagName('script')[0]; s.parentNode.insertBefore(ga, s);
  })();
&lt;/script&gt;</t>
  </si>
  <si>
    <t>now_available</t>
  </si>
  <si>
    <t>type</t>
  </si>
  <si>
    <t>PREVIA</t>
  </si>
  <si>
    <t>Leccion</t>
  </si>
  <si>
    <t>Unidad</t>
  </si>
  <si>
    <t>Nombre Unidad</t>
  </si>
  <si>
    <t>Titulo</t>
  </si>
  <si>
    <t>Presentador</t>
  </si>
  <si>
    <t>Examen</t>
  </si>
  <si>
    <t>Pregunta</t>
  </si>
  <si>
    <t>respuesta 1</t>
  </si>
  <si>
    <t>respuesta 2</t>
  </si>
  <si>
    <t>respuesta 3</t>
  </si>
  <si>
    <t>respuesta 4</t>
  </si>
  <si>
    <t>Respuesta válida</t>
  </si>
  <si>
    <t>Puntos</t>
  </si>
  <si>
    <t>Imagen</t>
  </si>
  <si>
    <t>Atribución imagen</t>
  </si>
  <si>
    <t>enlace imagen</t>
  </si>
  <si>
    <t>Bienvenida</t>
  </si>
  <si>
    <t>PREGUNTA</t>
  </si>
  <si>
    <t>DESCRIPCIÓN DEL VÍDEO</t>
  </si>
  <si>
    <t>RESPUESTA 1</t>
  </si>
  <si>
    <t>COMENTARIO 1</t>
  </si>
  <si>
    <t>RESPUESTA 2</t>
  </si>
  <si>
    <t>COMENTARIO 2</t>
  </si>
  <si>
    <t>RESPUESTA 3</t>
  </si>
  <si>
    <t>COMENTARIO 3</t>
  </si>
  <si>
    <t>RESPUESTA 4</t>
  </si>
  <si>
    <t>COMENTARIO 4</t>
  </si>
  <si>
    <t>ID YOUTUBE</t>
  </si>
  <si>
    <t>value (decimales con . y no con ,)</t>
  </si>
  <si>
    <t>Nombre</t>
  </si>
  <si>
    <t>Grupo del curso</t>
  </si>
  <si>
    <t>Grupodeanuncios</t>
  </si>
  <si>
    <t>Fecha inicio</t>
  </si>
  <si>
    <t>Nombre institucion</t>
  </si>
  <si>
    <t>Universitat Politècnica València</t>
  </si>
  <si>
    <t>http://www.upv.es</t>
  </si>
  <si>
    <t>URL Políticas privacidad</t>
  </si>
  <si>
    <t>URL Institución</t>
  </si>
  <si>
    <t>PREGUNTA 2</t>
  </si>
  <si>
    <t>RESPUESTA CORRECTA 2</t>
  </si>
  <si>
    <t>PREGUNTA 3</t>
  </si>
  <si>
    <t>PREGUNTA 4</t>
  </si>
  <si>
    <t>http://www.upvx.es/condiciones</t>
  </si>
  <si>
    <t>AUTOR</t>
  </si>
  <si>
    <t>CURSO</t>
  </si>
  <si>
    <t>MÓDULO</t>
  </si>
  <si>
    <t>TÍTULO</t>
  </si>
  <si>
    <t>YOUTUBE</t>
  </si>
  <si>
    <t>final</t>
  </si>
  <si>
    <t>idioma</t>
  </si>
  <si>
    <t>castellano</t>
  </si>
  <si>
    <t>unidad1</t>
  </si>
  <si>
    <t>unidad8</t>
  </si>
  <si>
    <t>No es correcto sigue intentándolo</t>
  </si>
  <si>
    <t>DOCUMENTOS</t>
  </si>
  <si>
    <t>Busquets Mataix, Jaime Luis</t>
  </si>
  <si>
    <t>Empezar a trabajar con Excel 2010</t>
  </si>
  <si>
    <t>Introducción al programa Excel</t>
  </si>
  <si>
    <t>liHtOy2xi5E</t>
  </si>
  <si>
    <t>Concepto de hoja de cálculo</t>
  </si>
  <si>
    <t>iL1a7_oPfHs</t>
  </si>
  <si>
    <t>Iniciar y guardar una sesión de trabajo con Excel</t>
  </si>
  <si>
    <t>Fk13bIx7WF0</t>
  </si>
  <si>
    <t>Identificación de las partes de la pantalla</t>
  </si>
  <si>
    <t>qTnIlcJXd5o</t>
  </si>
  <si>
    <t>Ayudas del programa</t>
  </si>
  <si>
    <t>OP7-BkUsMc8</t>
  </si>
  <si>
    <t>Abrir y cerrar archivos, crear nuevas hojas y terminar la sesión</t>
  </si>
  <si>
    <t>5AWHZZkU-8g</t>
  </si>
  <si>
    <t>cslo8Y_eiHw</t>
  </si>
  <si>
    <t>Modos de desplazamiento dentro de la hoja</t>
  </si>
  <si>
    <t>whMhXJlPZDE</t>
  </si>
  <si>
    <t>Introducción y modificación de los datos en la hoja</t>
  </si>
  <si>
    <t>YyedKgK_yYg</t>
  </si>
  <si>
    <t>Borrar datos existentes</t>
  </si>
  <si>
    <t>8dZzbPfqNds</t>
  </si>
  <si>
    <t>Deshacer y rehacer acciones</t>
  </si>
  <si>
    <t>xyewnrmX20M</t>
  </si>
  <si>
    <t>Operaciones básicas</t>
  </si>
  <si>
    <t>s8yLam_rqX0</t>
  </si>
  <si>
    <t>Introducción de expresiones</t>
  </si>
  <si>
    <t>NsLcyJhPDiQ</t>
  </si>
  <si>
    <t>Operadores aritméticos</t>
  </si>
  <si>
    <t>7npsyrBSug0</t>
  </si>
  <si>
    <t>Prioridad en la ejecución</t>
  </si>
  <si>
    <t>ldfoLOcJWUk</t>
  </si>
  <si>
    <t>Referencias a celdas</t>
  </si>
  <si>
    <t>hdjAJrKmj1E</t>
  </si>
  <si>
    <t>Expresiones encadenadas</t>
  </si>
  <si>
    <t>hK9FLOJDUXI</t>
  </si>
  <si>
    <t>Ejercicio práctico 1</t>
  </si>
  <si>
    <t>fqmY-ViCfE4</t>
  </si>
  <si>
    <t>Ejercicio práctico 2</t>
  </si>
  <si>
    <t>vSwRL89GFzQ</t>
  </si>
  <si>
    <t>Ejercicio práctico 3</t>
  </si>
  <si>
    <t>cJMcPhHZxEQ</t>
  </si>
  <si>
    <t>Ejercicio práctico 4</t>
  </si>
  <si>
    <t>taOWfGw5oAI</t>
  </si>
  <si>
    <t>XsQkK9BoaeU</t>
  </si>
  <si>
    <t>Operaciones básicas en Excel</t>
  </si>
  <si>
    <t>Tipos de datos</t>
  </si>
  <si>
    <t>c9eTRqxF3O4</t>
  </si>
  <si>
    <t>Datos de tipo numérico</t>
  </si>
  <si>
    <t>EYi9hAcFiYI</t>
  </si>
  <si>
    <t>Datos de tipo texto</t>
  </si>
  <si>
    <t>qbrjeQUQA7M</t>
  </si>
  <si>
    <t>Datos de tipo fecha y hora</t>
  </si>
  <si>
    <t>iEEZx_bM5NY</t>
  </si>
  <si>
    <t>Datos de tipo lógico</t>
  </si>
  <si>
    <t>CE5T1ptsTPM</t>
  </si>
  <si>
    <t>Rangos de celdas</t>
  </si>
  <si>
    <t>Zu1z07gQsTs</t>
  </si>
  <si>
    <t>Concepto de rango</t>
  </si>
  <si>
    <t>Sogz6ABsKYo</t>
  </si>
  <si>
    <t>Mover y copiar celdas o rangos</t>
  </si>
  <si>
    <t>fBN6uL-8A1Y</t>
  </si>
  <si>
    <t>Selección múltiple</t>
  </si>
  <si>
    <t>KSvn0iIoIVk</t>
  </si>
  <si>
    <t>Dar nombre a un rango</t>
  </si>
  <si>
    <t>QicU-GRn5wo</t>
  </si>
  <si>
    <t>Referencias</t>
  </si>
  <si>
    <t>Nl8LTjAFflE</t>
  </si>
  <si>
    <t>Referencias relativas</t>
  </si>
  <si>
    <t>KmrSnxJXEzU</t>
  </si>
  <si>
    <t>Referencias absolutas</t>
  </si>
  <si>
    <t>7UdWstgjQAE</t>
  </si>
  <si>
    <t>Referencias mixtas</t>
  </si>
  <si>
    <t>67sreiqMOqU</t>
  </si>
  <si>
    <t>Utilizar la información disponible en la hoja</t>
  </si>
  <si>
    <t>esi1H-S7nYI</t>
  </si>
  <si>
    <t>Y9md84VwKGM</t>
  </si>
  <si>
    <t>Patrón de relleno</t>
  </si>
  <si>
    <t>4tfZaSpyhmA</t>
  </si>
  <si>
    <t>0BrdMERwmZo</t>
  </si>
  <si>
    <t>IpcpAAedCyA</t>
  </si>
  <si>
    <t>_hAiSyraYEo</t>
  </si>
  <si>
    <t>CVBBR7o6FrQ</t>
  </si>
  <si>
    <t>Ejercicio práctico 5</t>
  </si>
  <si>
    <t>bAedbMhk_xk</t>
  </si>
  <si>
    <t>EKCQHwzti4c</t>
  </si>
  <si>
    <t>Formatos</t>
  </si>
  <si>
    <t>Formato para los datos</t>
  </si>
  <si>
    <t>8CK-fAdbeac</t>
  </si>
  <si>
    <t>Formatos para los números</t>
  </si>
  <si>
    <t>jnXq8P4m5iA</t>
  </si>
  <si>
    <t>Fuentes</t>
  </si>
  <si>
    <t>KoFeWY1MLv4</t>
  </si>
  <si>
    <t>Formatos para las fechas y horas</t>
  </si>
  <si>
    <t>fcNPYZ9QfH8</t>
  </si>
  <si>
    <t>Alineación</t>
  </si>
  <si>
    <t>nvOCTUf58m8</t>
  </si>
  <si>
    <t>Formatos para las celdas</t>
  </si>
  <si>
    <t>6oCdy-jU50c</t>
  </si>
  <si>
    <t>Bordes</t>
  </si>
  <si>
    <t>bOALapAzwFo</t>
  </si>
  <si>
    <t>NjMcAiEJ5qI</t>
  </si>
  <si>
    <t>Tramas</t>
  </si>
  <si>
    <t>L61KFGDrlsI</t>
  </si>
  <si>
    <t>Copiando celdas con formato</t>
  </si>
  <si>
    <t>9vvdd8ozgdQ</t>
  </si>
  <si>
    <t>Formato para columnas y filas</t>
  </si>
  <si>
    <t>RaJXRCCsc2g</t>
  </si>
  <si>
    <t>Anchura de las columnas</t>
  </si>
  <si>
    <t>rmsRPi-jbNI</t>
  </si>
  <si>
    <t>Altura de las filas y ajustar texto</t>
  </si>
  <si>
    <t>YdBIn9myv6c</t>
  </si>
  <si>
    <t>Combinar celdas</t>
  </si>
  <si>
    <t>S1aj16X5zFs</t>
  </si>
  <si>
    <t>Ocultar y mostrar</t>
  </si>
  <si>
    <t>SrGxIfcXI0o</t>
  </si>
  <si>
    <t>Trabajando con la hoja</t>
  </si>
  <si>
    <t>cWRFg5nyeRM</t>
  </si>
  <si>
    <t>Diferencia entre el contenido real y el mostrado</t>
  </si>
  <si>
    <t>J5XCGe_Ke9Q</t>
  </si>
  <si>
    <t>Evaluación de diferentes valores</t>
  </si>
  <si>
    <t>5b0AbUDjmCI</t>
  </si>
  <si>
    <t>Insertar y eliminar filas o columnas</t>
  </si>
  <si>
    <t>PPaOCWwphds</t>
  </si>
  <si>
    <t>Ns2K2HC1UNk</t>
  </si>
  <si>
    <t>YVuD4fIi2cs</t>
  </si>
  <si>
    <t>1FRDgcn0qIE</t>
  </si>
  <si>
    <t>zYQukTosyII</t>
  </si>
  <si>
    <t>1IO3ZBC-qg0</t>
  </si>
  <si>
    <t>Ejercicio práctico 6</t>
  </si>
  <si>
    <t>OoBKn3V4NZs</t>
  </si>
  <si>
    <t>Ejercicio práctico 7</t>
  </si>
  <si>
    <t>9bg9jNuji4s</t>
  </si>
  <si>
    <t>nY0zNK2buI0</t>
  </si>
  <si>
    <t>PKTd_-qACLk</t>
  </si>
  <si>
    <t>Presentación de resultados</t>
  </si>
  <si>
    <t>Preparación e impresión de la hoja</t>
  </si>
  <si>
    <t>Y_B3ydafoWQ</t>
  </si>
  <si>
    <t>Estilos y temas</t>
  </si>
  <si>
    <t>42VpaOB7t_M</t>
  </si>
  <si>
    <t>Vista preliminar e impresión</t>
  </si>
  <si>
    <t>RsysuHNeWG8</t>
  </si>
  <si>
    <t>Configuración rápida</t>
  </si>
  <si>
    <t>rNTIsr1KQjI</t>
  </si>
  <si>
    <t>Márgenes</t>
  </si>
  <si>
    <t>fHWkyPgu2UE</t>
  </si>
  <si>
    <t>Escalado</t>
  </si>
  <si>
    <t>USIg0WTD78E</t>
  </si>
  <si>
    <t>Diseño de página</t>
  </si>
  <si>
    <t>1shyyfTgQeQ</t>
  </si>
  <si>
    <t>Establecer área de impresión</t>
  </si>
  <si>
    <t>3s0djRb1r98</t>
  </si>
  <si>
    <t>Opciones de la hoja</t>
  </si>
  <si>
    <t>NlO6e1TgDHc</t>
  </si>
  <si>
    <t>Orden de las páginas</t>
  </si>
  <si>
    <t>eYZkMlp6oZ8</t>
  </si>
  <si>
    <t>Insertar elementos</t>
  </si>
  <si>
    <t>lm8c2HSwEaM</t>
  </si>
  <si>
    <t>gHiwPkBBuV8</t>
  </si>
  <si>
    <t>Saltos de página</t>
  </si>
  <si>
    <t>iTHX7zQpbVM</t>
  </si>
  <si>
    <t>Títulos</t>
  </si>
  <si>
    <t>1Rv8a_E98Lk</t>
  </si>
  <si>
    <t>wPdGpb3W2xk</t>
  </si>
  <si>
    <t>Naf77NhXzwk</t>
  </si>
  <si>
    <t>zlCN1DxxHa4</t>
  </si>
  <si>
    <t>htcqDTajSdc</t>
  </si>
  <si>
    <t>fKdC-C3_Dv4</t>
  </si>
  <si>
    <t>QEp6fevpghA</t>
  </si>
  <si>
    <t>Gráficos</t>
  </si>
  <si>
    <t>El primer gráfico</t>
  </si>
  <si>
    <t>arc8Ft8ywf4</t>
  </si>
  <si>
    <t>Crear un gráfico</t>
  </si>
  <si>
    <t>kFkh9wn097A</t>
  </si>
  <si>
    <t>Diseño y elementos de un gráfico</t>
  </si>
  <si>
    <t>K7WDSSPnG_0</t>
  </si>
  <si>
    <t>Incorporando categorías</t>
  </si>
  <si>
    <t>en34S9ReBKw</t>
  </si>
  <si>
    <t>Incorporando nuevos datos</t>
  </si>
  <si>
    <t>KzRni6KstfY</t>
  </si>
  <si>
    <t>Corrigiendo las series de datos</t>
  </si>
  <si>
    <t>G4_1N-1UFbQ</t>
  </si>
  <si>
    <t>Intercambiando filas y columnas</t>
  </si>
  <si>
    <t>wfg-iXDSYnI</t>
  </si>
  <si>
    <t>Principales tipos de gráfico</t>
  </si>
  <si>
    <t>TFTBg1RdMEY</t>
  </si>
  <si>
    <t>Gráficos incrustados y hojas de gráficos</t>
  </si>
  <si>
    <t>3r50wexjDyI</t>
  </si>
  <si>
    <t>Rangos discontinuos</t>
  </si>
  <si>
    <t>nVqV7hp7VhE</t>
  </si>
  <si>
    <t>Minigráficos</t>
  </si>
  <si>
    <t>RFefFX8M_vE</t>
  </si>
  <si>
    <t>Usando los minigráficos</t>
  </si>
  <si>
    <t>Ycc04q_kT_4</t>
  </si>
  <si>
    <t>Z-vZBUtcz-U</t>
  </si>
  <si>
    <t>D9mWk52Xmfc</t>
  </si>
  <si>
    <t>vfyP8N9N83g</t>
  </si>
  <si>
    <t>cTGgpbNMvok</t>
  </si>
  <si>
    <t>NZyhQfJQyYE</t>
  </si>
  <si>
    <t>Presentación de gráficos</t>
  </si>
  <si>
    <t>Presentación de elementos de un gráfico</t>
  </si>
  <si>
    <t>OrZb0KQmWvU</t>
  </si>
  <si>
    <t>jLOgPPpUvGc</t>
  </si>
  <si>
    <t>Rótulos de los ejes</t>
  </si>
  <si>
    <t>wPL03cgNfbs</t>
  </si>
  <si>
    <t>Leyenda</t>
  </si>
  <si>
    <t>-W2_5oHhvZM</t>
  </si>
  <si>
    <t>Etiquetas de datos</t>
  </si>
  <si>
    <t>L3DlNFyM8U0</t>
  </si>
  <si>
    <t>Tabla de datos</t>
  </si>
  <si>
    <t>tyu2Pnzp9Ws</t>
  </si>
  <si>
    <t>Edición de detalles del gráfico</t>
  </si>
  <si>
    <t>fT_OYdjmdL4</t>
  </si>
  <si>
    <t>Ejes</t>
  </si>
  <si>
    <t>Nh5pTthJqbU</t>
  </si>
  <si>
    <t>Líneas de la cuadrícula</t>
  </si>
  <si>
    <t>E3nrK1nn2Bg</t>
  </si>
  <si>
    <t>Área de trazado</t>
  </si>
  <si>
    <t>SXbuIjT-aos</t>
  </si>
  <si>
    <t>Cuadro gráfico</t>
  </si>
  <si>
    <t>Ortwvuc2dKg</t>
  </si>
  <si>
    <t>Plano interior del gráfico</t>
  </si>
  <si>
    <t>Luxbh9NXd2Q</t>
  </si>
  <si>
    <t>Giro 3D</t>
  </si>
  <si>
    <t>LArTPbixCCQ</t>
  </si>
  <si>
    <t>Formato de los elementos de un gráfico</t>
  </si>
  <si>
    <t>3i-e26vAgN8</t>
  </si>
  <si>
    <t>Selección de un elemento del gráfico</t>
  </si>
  <si>
    <t>114HqmEa1KA</t>
  </si>
  <si>
    <t>Estilos</t>
  </si>
  <si>
    <t>Tz0SNp295Gw</t>
  </si>
  <si>
    <t>JZuNKkcPXpw</t>
  </si>
  <si>
    <t>ABd9rJT0DyQ</t>
  </si>
  <si>
    <t>A_N-PnprYSo</t>
  </si>
  <si>
    <t>KeCMcAieIlA</t>
  </si>
  <si>
    <t>HOwvO4lh1F4</t>
  </si>
  <si>
    <t>HCyNcrBeFIM</t>
  </si>
  <si>
    <t>Funciones</t>
  </si>
  <si>
    <t>Uso básico de funciones</t>
  </si>
  <si>
    <t>q4qqak91PeI</t>
  </si>
  <si>
    <t>La función autosuma</t>
  </si>
  <si>
    <t>bgRyM7Mri1c</t>
  </si>
  <si>
    <t>Sintaxis de las funciones</t>
  </si>
  <si>
    <t>fNqRFhj_3zA</t>
  </si>
  <si>
    <t>Insertar función</t>
  </si>
  <si>
    <t>5F55NMtXFu4</t>
  </si>
  <si>
    <t>Funciones más usuales</t>
  </si>
  <si>
    <t>A25uGrmcrLM</t>
  </si>
  <si>
    <t>Funciones estadísticas</t>
  </si>
  <si>
    <t>IhFy3GvNyzA</t>
  </si>
  <si>
    <t>Funciones matemáticas y trigonométricas</t>
  </si>
  <si>
    <t>w0xuVb_pdkk</t>
  </si>
  <si>
    <t>Funciones financieras</t>
  </si>
  <si>
    <t>jpwJlgWGJAY</t>
  </si>
  <si>
    <t>Funciones de búsqueda y referencia</t>
  </si>
  <si>
    <t>iBHXSOJMXHA</t>
  </si>
  <si>
    <t>Funciones lógicas</t>
  </si>
  <si>
    <t>nr4ZRSFctwI</t>
  </si>
  <si>
    <t>Utilizando las funciones</t>
  </si>
  <si>
    <t>28A_5OtO9ps</t>
  </si>
  <si>
    <t>Mover y copiar funciones</t>
  </si>
  <si>
    <t>KHRBp6ukT7k</t>
  </si>
  <si>
    <t>Funciones anidadas</t>
  </si>
  <si>
    <t>Yo2Ys-Onues</t>
  </si>
  <si>
    <t>HwImDftnCgE</t>
  </si>
  <si>
    <t>TmbBOVPzV9k</t>
  </si>
  <si>
    <t>0P4di-Gz0-4</t>
  </si>
  <si>
    <t>kZnIh1ux7xo</t>
  </si>
  <si>
    <t>PpRUh6_1lCs</t>
  </si>
  <si>
    <t>7IRMK5uX0og</t>
  </si>
  <si>
    <t>Tablas de datos</t>
  </si>
  <si>
    <t>Formatos para tablas de datos</t>
  </si>
  <si>
    <t>cq9GkURrvXs</t>
  </si>
  <si>
    <t>Formatos condicionales según el valor</t>
  </si>
  <si>
    <t>_L6hajG0SSM</t>
  </si>
  <si>
    <t>Formato condicional según la posición relativa</t>
  </si>
  <si>
    <t>5mOrqcRY6rs</t>
  </si>
  <si>
    <t>Formato condicional por barras de datos</t>
  </si>
  <si>
    <t>d7bb-B77t7A</t>
  </si>
  <si>
    <t>Formato condicional por escalas de color</t>
  </si>
  <si>
    <t>1WNOANDQ3C4</t>
  </si>
  <si>
    <t>Formato condicional por conjuntos de iconos</t>
  </si>
  <si>
    <t>TBfP0rwRlSg</t>
  </si>
  <si>
    <t>Borrando los formatos condicionales</t>
  </si>
  <si>
    <t>PZqr1uAUVHM</t>
  </si>
  <si>
    <t>JI7wrbu2zBA</t>
  </si>
  <si>
    <t>Dar formato como tabla</t>
  </si>
  <si>
    <t>PgqsYOrSwBg</t>
  </si>
  <si>
    <t>Ordenar los registros</t>
  </si>
  <si>
    <t>f5HZ4V2YJtU</t>
  </si>
  <si>
    <t>Filtrando registros de una tabla de datos</t>
  </si>
  <si>
    <t>dwECcsZASR4</t>
  </si>
  <si>
    <t>Estilos de celdas predeterminados</t>
  </si>
  <si>
    <t>fMUN4M-TQA4</t>
  </si>
  <si>
    <t>Ordenar por color</t>
  </si>
  <si>
    <t>ccfDuSalIM4</t>
  </si>
  <si>
    <t>Filtrar por color</t>
  </si>
  <si>
    <t>okmVnCeEZyk</t>
  </si>
  <si>
    <t>fP95o_c2f0w</t>
  </si>
  <si>
    <t>G7P2cjYAz8E</t>
  </si>
  <si>
    <t>2oD-yDs2_l8</t>
  </si>
  <si>
    <t>6R3_YQRZBfI</t>
  </si>
  <si>
    <t>Nos dará un error, pues no se puede insertar columnas en medio de una tabla.</t>
  </si>
  <si>
    <t>Cuando trabajamos con una hoja Excel, vemos en pantalla las distintas celdas separadas por distintas líneas, horizontales y verticales, formando una cuadrícula. Cuando mandamos imprimir la hoja:</t>
  </si>
  <si>
    <t>Por defecto siempre se imprimen las líneas de cuadrícula.</t>
  </si>
  <si>
    <t>No se pueden imprimir las líneas de cuadrícula.</t>
  </si>
  <si>
    <t>Las líneas de cuadrícula siempre se ven en la pantalla pero por defecto no se imprimen.</t>
  </si>
  <si>
    <t>Por defecto las líneas se cuadrícula se ven en pantalla y no se imprimen, pero podemos cambiar ambas cosas.</t>
  </si>
  <si>
    <t>Cuando queremos imprimir una hoja de cálculo de considerables dimensiones, de modo que no caben todas sus filas en una hoja ni tampoco todas las columnas, lo conveniente es introducir un encabezado o pie de página donde se numeren consecutivamente; en este caso:</t>
  </si>
  <si>
    <t>El orden de las páginas será siempre hacia abajo y luego hacia la derecha.</t>
  </si>
  <si>
    <t>El orden de las páginas será por defecto hacia abajo y luego hacia la derecha, aunque esto se puede cambiar de modo que imprima hacia la derecha y luego hacia abajo.</t>
  </si>
  <si>
    <t>El orden de las páginas será por defecto hacia la derecha y luego hacia abajo, aunque esto se puede cambiar de modo que imprima hacia abajo y luego hacia la derecha.</t>
  </si>
  <si>
    <t>El orden de las páginas será por defecto hacia arriba y luego hacia la izquierda, aunque esto se puede cambiar de modo que imprima hacia la izquierda y luego hacia arriba.</t>
  </si>
  <si>
    <t xml:space="preserve">Indica cuál de las siguientes opciones es la correcta: </t>
  </si>
  <si>
    <t>Los cambios de formato aplicados en una hoja de cálculo son exclusivamente para su  visualización, pero no se reflejan en una posible impresión posterior.</t>
  </si>
  <si>
    <t>Los cambios de formato aplicados en una hoja de cálculo son exclusivamente para su impresión, pero no se reflejan en la misma fuera de la Vista preliminar.</t>
  </si>
  <si>
    <t>Los cambios de formato aplicados en las celdas de una hoja de cálculo se reflejarán en una posible impresión posterior.</t>
  </si>
  <si>
    <t>Todas las opciones anteriores son falsas.</t>
  </si>
  <si>
    <t>Serie de datos</t>
  </si>
  <si>
    <t>Rótulos</t>
  </si>
  <si>
    <t>Líneas de división</t>
  </si>
  <si>
    <t>Una vez hemos creado un gráfico, por ejemplo de columnas agrupadas:</t>
  </si>
  <si>
    <t>Podemos incorporar datos nuevos pero no añadir nuevas categorías.</t>
  </si>
  <si>
    <t>Podemos incorporar nuevas categorías pero no añadir datos nuevos.</t>
  </si>
  <si>
    <t>Podemos corregir una serie de datos, y el gráfico se modificará consecuentemente.</t>
  </si>
  <si>
    <t>Podemos intercambiar las filas y las columnas, pero no añadir nuevas filas o columnas.</t>
  </si>
  <si>
    <t>De barras apiladas.</t>
  </si>
  <si>
    <t>De líneas agrupadas.</t>
  </si>
  <si>
    <t>De columnas 100% apiladas.</t>
  </si>
  <si>
    <t>Circular.</t>
  </si>
  <si>
    <t>En caso de poner un título al gráfico, las opciones que nos da el programa por defecto son:</t>
  </si>
  <si>
    <t>Encima o debajo del gráfico.</t>
  </si>
  <si>
    <t>Encima, o a la izquierda del gráfico.</t>
  </si>
  <si>
    <t>Encima del gráfico o superpuesto centrado.</t>
  </si>
  <si>
    <t>Encima del gráfico o superpuesto a la izquierda.</t>
  </si>
  <si>
    <t>No es un elemento del gráfico que podamos seleccionar:</t>
  </si>
  <si>
    <t>Área del gráfico</t>
  </si>
  <si>
    <t>Eje vertical</t>
  </si>
  <si>
    <t>Recuadro</t>
  </si>
  <si>
    <t>A una tabla de datos podemos darle formatos condicionales; entre ellos no se encuentra:</t>
  </si>
  <si>
    <t>Barras de datos.</t>
  </si>
  <si>
    <t>Escalas de color.</t>
  </si>
  <si>
    <t>Conjuntos de iconos.</t>
  </si>
  <si>
    <t>Estilos “bueno, malo o neutral”.</t>
  </si>
  <si>
    <t>Una tabla de datos de Excel es un área rectangular de celdas en la que normalmente:</t>
  </si>
  <si>
    <t>La primera fila será de encabezados de los distintos campos, y en el resto de celdas de cada columna están los datos de los distintos registros.</t>
  </si>
  <si>
    <t>La primera columna será de encabezados de los distintos campos, y en el resto de celdas de cada columna están los datos de los distintos registros.</t>
  </si>
  <si>
    <t>La primera fila será de encabezados de los distintos registros, y en el resto de celdas de cada columna están los datos de los distintos campos.</t>
  </si>
  <si>
    <t>La primera columna será de encabezados de los distintos registros, y en el resto de celdas de cada columna están los datos de los distintos campos.</t>
  </si>
  <si>
    <t>Excel, como cualquier otro programa del entorno Windows, trabaja con información que guardaremos en archivos, los cuales:</t>
  </si>
  <si>
    <t>La identificación de las celdas de la zona de trabajo se basa en que:</t>
  </si>
  <si>
    <t>Al etiquetarse las filas con letras y las columnas con números, las celdas se nombran por el número de fila seguido de la letra de su columna.</t>
  </si>
  <si>
    <t>Al etiquetarse las filas con números y las columnas con letras, las celdas se nombran por el número de fila seguido de la letra de su columna.</t>
  </si>
  <si>
    <t>Al etiquetarse las filas con letras y las columnas con números, las celdas se nombran por la letra de su columna seguida del número de fila.</t>
  </si>
  <si>
    <t>La zona de trabajo de una hoja de cálculo está formada por:</t>
  </si>
  <si>
    <t>1.024 celdas.</t>
  </si>
  <si>
    <t>262.144 celdas.</t>
  </si>
  <si>
    <t>67.108.864 de celdas.</t>
  </si>
  <si>
    <t>Para modificar el contenido de una celda, podemos:</t>
  </si>
  <si>
    <t>Hacer click en ella para hacerla la celda activa, apareciendo su contenido en la barra de fórmulas; pulsando entonces F3 pasamos al modo de edición de la misma.</t>
  </si>
  <si>
    <t>Hacer click en ella para hacerla la celda activa, apareciendo su contenido en la barra de fórmulas; haciendo entonces click en la barra de fórmulas pasamos al modo de edición de la misma.</t>
  </si>
  <si>
    <t>Hacer click en ella para hacerla la celda activa, apareciendo su contenido en la barra de fórmulas; haciendo nuevamente click en la celda pasamos al modo de edición de la misma.</t>
  </si>
  <si>
    <t>Hacer click en ella para hacerla la celda activa, apareciendo su contenido en la barra de fórmulas; pulsando entonces la tecla Insertar pasamos al modo de edición de la misma.</t>
  </si>
  <si>
    <t>Tenemos los valores numéricos 8 y 3 en las celdas A2 y B2, y queremos que en la celda B4 se calcule el producto de ambas cantidades. Para ello introduciremos en esta celda:</t>
  </si>
  <si>
    <t>Curso básico de iniciación en el manejo del programa de hoja de cálculo Microsoft Excel. En el se tratan las operaciones básicas, tipos y rangos de datos, los formatos de números y celdas y se aprende a cómo crear y modificar un gráfico, usar funciones, crear una base de datos o configurar la impresión</t>
  </si>
  <si>
    <t>Aplicaremos el formato Negrita necesariamente antes que el cambio de tamaño, pues una vez modificado éste las celdas quedan bloqueadas.</t>
  </si>
  <si>
    <t>Aplicaremos el cambio de tamaño necesariamente antes que el formato Negrita, pues una vez aplicado éste las celdas quedan bloqueadas.</t>
  </si>
  <si>
    <t>No podemos aplicar simultáneamente a una misma celda dos características de formato distintas como esas.</t>
  </si>
  <si>
    <t>Haremos click en el botón “Centrar”, y después seleccionaremos el rango A1:F1</t>
  </si>
  <si>
    <t>Haremos click en el botón “Combinar y centrar”, y después seleccionaremos el rango A1:F1</t>
  </si>
  <si>
    <t>Seleccionaremos el rango A1:F1 y haremos click en el botón “Centrar”.</t>
  </si>
  <si>
    <t>Seleccionaremos el rango A1:F1 y haremos click en el botón “Combinar y centrar”.</t>
  </si>
  <si>
    <t>Seleccionar la primera columna y, sobre la separación entre ella y la siguiente, arrastrar hasta que se nos indique la cifra pedida. Repetimos la operación para todas las restantes.</t>
  </si>
  <si>
    <t>Seleccionar todas esas columnas, y pulsando el botón derecho del ratón sobre esa selección, nos aparece el menú contextual, en donde hay una opción “Ancho de columna…” donde podemos dar el valor exacto pedido.</t>
  </si>
  <si>
    <t>Sólo se puede imprimir la hoja activa.</t>
  </si>
  <si>
    <t>Por defecto se imprime la hoja activa, aunque se puede seleccionar que imprima todas las hojas del libro.</t>
  </si>
  <si>
    <t>Tendremos que marcar una selección de celdas, que serán las que se imprimirán.</t>
  </si>
  <si>
    <t>No nos permitirá hacerlo, pues se consume papel.</t>
  </si>
  <si>
    <t>La orientación de las páginas impresas:</t>
  </si>
  <si>
    <t>Es siempre vertical.</t>
  </si>
  <si>
    <t>Es por defecto vertical, pero se puede seleccionar una posibilidad más, que es la de horizontal.</t>
  </si>
  <si>
    <t>Es por defecto vertical, pero se puede seleccionar una posibilidad más, que es la de retrato (“portrait”).</t>
  </si>
  <si>
    <t>Si los márgenes que con los que se imprime nuestro trabajo no nos parecen adecuados:</t>
  </si>
  <si>
    <t>Aparte de las tres posibilidades preestablecidas (Normal, Ancho y Estrecho), Excel nos da la opción de personalizar los márgenes como queramos.</t>
  </si>
  <si>
    <t>Aparte de las cinco posibilidades preestablecidas (Súper Ancho, Ancho, Normal, Estrecho y Súper Estrecho), Excel nos da la opción de personalizar los márgenes como queramos.</t>
  </si>
  <si>
    <t>Un texto libre, el número de página, la fecha de impresión, el nombre de la hoja, una imagen, etc. distribuidos en seis zonas: tres en el encabezado y tres en el pie de página.</t>
  </si>
  <si>
    <t>Un texto libre, el número total de páginas, el disco y carpeta en la que se ubica el libro, un vídeo etc. distribuidos en tres zonas: una en el encabezado y dos en el pie de página.</t>
  </si>
  <si>
    <t>El número de páginas, el número total de páginas, el nombre del archivo, etc. tanto en el encabezado como en el pie, donde además se puede incluir una trama de fondo.</t>
  </si>
  <si>
    <t>El número de página, el disco y carpeta en que se ubica el archivo, la hoja, el rango que se imprime, la fecha y la hora, etc. y todo ello en las cuatro zonas que se divide tanto el encabezado como el pie de página.</t>
  </si>
  <si>
    <t>Podemos aplicar a un rango formatos condicionales, tales como resaltar reglas de celdas. Entre las opciones que tenemos por defecto en este caso no está:</t>
  </si>
  <si>
    <t>Es mayor que…</t>
  </si>
  <si>
    <t>Es menor que…</t>
  </si>
  <si>
    <t>Es igual a…</t>
  </si>
  <si>
    <t>Es distinto a…</t>
  </si>
  <si>
    <t>Hay diversos tipos de formatos condicionales que podemos utilizar; entre los que nos presenta Excel por defecto no se encuentra:</t>
  </si>
  <si>
    <t>Barras de datos con relleno degradado.</t>
  </si>
  <si>
    <t>Entre las reglas superiores e inferiores, por encima del promedio.</t>
  </si>
  <si>
    <t>Conjuntos de emoticonos.</t>
  </si>
  <si>
    <t>Resaltar reglas de celdas, por el texto que contiene.</t>
  </si>
  <si>
    <t>Un conjunto de celdas de forma rectangular, podrá ser considerado por el Excel como una tabla de datos:</t>
  </si>
  <si>
    <t>Siempre que tenga una primera fila de encabezados.</t>
  </si>
  <si>
    <t>Siempre que tenga una primera columna de encabezados.</t>
  </si>
  <si>
    <t>Siempre que tenga una primera fila y una primera columna de encabezados.</t>
  </si>
  <si>
    <t>Es independiente de que tenga o no una primera fila o una primera columna de encabezados.</t>
  </si>
  <si>
    <t>Siempre.</t>
  </si>
  <si>
    <t>Siempre que no tenga una fila completa sin datos.</t>
  </si>
  <si>
    <t>Siempre que no tenga una columna completa sin datos.</t>
  </si>
  <si>
    <t>Siempre que no tenga ni filas ni columnas completas sin datos.</t>
  </si>
  <si>
    <t>Al ordenar una tabla de datos, el orden alfabético de la A a la Z descendente equivale:</t>
  </si>
  <si>
    <t>Al de menor a mayor, es decir, que los valores más bajos se encontrarán en la parte superior de la columna.</t>
  </si>
  <si>
    <t>Al de mayor a menor, es decir, que los valores más bajos se encontrarán en la parte superior de la columna.</t>
  </si>
  <si>
    <t>Al de menor a mayor, es decir, que los valores más bajos se encontrarán en la parte inferior de la columna.</t>
  </si>
  <si>
    <t>Al de mayor a menor, es decir, que los valores más bajos se encontrarán en la parte inferior de la columna.</t>
  </si>
  <si>
    <t>Hay veces que ordenamos los registros y el resultado no es del todo satisfactorio; por ejemplo, cuando varios de ellos tienen el mismo valor, esos quedan ordenados entre sí según el orden anterior. En esos casos:</t>
  </si>
  <si>
    <t>No podremos alterarlo.</t>
  </si>
  <si>
    <t>Si queremos altearlo tendremos obligatoriamente que mover las filas.</t>
  </si>
  <si>
    <t>Podemos añadir nuevos criterios, por ejemplo según el contenido de otras filas.</t>
  </si>
  <si>
    <t>Podemos añadir nuevos criterios, por ejemplo según el contenido de otras columnas.</t>
  </si>
  <si>
    <t>Para ordenar una tabla de datos, tenemos algunas opciones interesantes, como:</t>
  </si>
  <si>
    <t>Distinguir mayúsculas de minúsculas, aunque no podemos ordenar de izquierda a derecha.</t>
  </si>
  <si>
    <t>Ordenar de izquierda a derecha, aunque no podemos distinguir mayúsculas de minúsculas.</t>
  </si>
  <si>
    <t>Distinguir mayúsculas de minúsculas, así como ordenar de izquierda a derecha.</t>
  </si>
  <si>
    <t>No se puede distinguir mayúsculas de minúsculas, ni podemos ordenar de izquierda a derecha.</t>
  </si>
  <si>
    <t>Para aplicar filtros a una tabla, pulsaremos el botón correspondiente, teniendo en cuenta que:</t>
  </si>
  <si>
    <t>No hay pega de estar situados en cualquier celda de la hoja, pues un cuadro de diálogo nos permitirá introducir la tabla a la que queremos aplicar los filtros.</t>
  </si>
  <si>
    <t>Previamente hemos de tener como celda activa una de las celdas de la tabla.</t>
  </si>
  <si>
    <t>Previamente hemos de tener seleccionada la columna de encabezados de fila.</t>
  </si>
  <si>
    <t>Previamente hemos de tener seleccionada la tabla de datos, excepto los encabezados de fila y columna.</t>
  </si>
  <si>
    <t>Entre los filtros de número que se nos ofrecen por defecto, no está incluido:</t>
  </si>
  <si>
    <t>No es igual a…</t>
  </si>
  <si>
    <t>Diez mejores…</t>
  </si>
  <si>
    <t>Diez peores…</t>
  </si>
  <si>
    <t>Si combinamos varios filtros por varios campos activándolos simultáneamente, por defecto se mostrarán aquellos registros:</t>
  </si>
  <si>
    <t>Que cumplen con el primer criterio.</t>
  </si>
  <si>
    <t>Que cumplen con el último criterio.</t>
  </si>
  <si>
    <t>Que cumplen con al menos uno de los criterios.</t>
  </si>
  <si>
    <t>Que cumplen con todos los criterios.</t>
  </si>
  <si>
    <t>Si tenemos tres valores numéricos en las celdas C1, C2 y C3, y queremos calcular el valor de la raíz cuadrada de la suma de los cuadrados de esos valores:</t>
  </si>
  <si>
    <t>En C4 introduciremos la expresión =RAIZ((C1+C2+C3)^2)</t>
  </si>
  <si>
    <t>En C4 introduciremos la expresión =RAIZ(C1^2+C2^2+C3^2)</t>
  </si>
  <si>
    <t>En C4 introduciremos la expresión =RAIZ(C1^2)+RAIZ(C2^2)+RAIZ(C3^2)</t>
  </si>
  <si>
    <t>En C4 introduciremos la expresión =RAIZ((SUMA(C1:C3^2))</t>
  </si>
  <si>
    <t>La expresión =(18/1+5+(14-11)^3)*(20*3-2*3)/2/(12-3)</t>
  </si>
  <si>
    <t>La expresión =(18/(1+5)+(14-11)^3)*20*3-2*3/2*(12-3)</t>
  </si>
  <si>
    <t>La expresión =(18/(1+5)+(14-11)^3)*(20*3-2*3)/2/(12-3)</t>
  </si>
  <si>
    <t>La expresión =(18/(1+5)+(14-11)^3)*(20*3-2*3)/2*(12-3)</t>
  </si>
  <si>
    <t>Queremos introducir en una celda el valor del Impuesto sobre el Valor Añadido, que en estos momentos es del 21%. Para ello:</t>
  </si>
  <si>
    <t>Introduciremos 21% en la celda, que es lo mismo que introducir el valor 0,21 y darle después el estilo porcentual.</t>
  </si>
  <si>
    <t>Introduciremos 21% en la celda, que es lo mismo que introducir el valor 21 y darle después el estilo porcentual.</t>
  </si>
  <si>
    <t>Introduciremos 0,21% en la celda, que es lo mismo que introducir el valor 0,21 y darle después el estilo porcentual.</t>
  </si>
  <si>
    <t>Introduciremos 0,21% en la celda, que es lo mismo que introducir el valor 21 y darle después el estilo porcentual.</t>
  </si>
  <si>
    <t>Si tenemos el valor del IVA en la celda B2, pongamos el 21%, y una serie de cantidades monetarias en el rango A4:A256 de cada una de las cuales queremos calcular el valor del impuesto respectivo, lo mejor es hacer:</t>
  </si>
  <si>
    <t>Introducir en B4 la expresión =A4*B2 y copiarla desde B5 hasta B256.</t>
  </si>
  <si>
    <t>Introducir en B4 la expresión =$A$4*$B$2 y copiarla desde B5 hasta B256.</t>
  </si>
  <si>
    <t>Introducir en B4 la expresión =$A4*$B2 y copiarla desde B5 hasta B256.</t>
  </si>
  <si>
    <t>Introducir en B4 la expresión =A4*B$2 y copiarla desde B5 hasta B256.</t>
  </si>
  <si>
    <t>Si tenemos una información de tipo texto en la celda A1 y queremos combinar las celdas del rango A1:F1 y centrar el contenido de A1 en todo lo ancho der rango combinado, haremos:</t>
  </si>
  <si>
    <t>La expresión =C4^D3</t>
  </si>
  <si>
    <t>La expresión =$C4^D$3</t>
  </si>
  <si>
    <t>La expresión =C$4^$D3</t>
  </si>
  <si>
    <t>La expresión =$C$4^$D$3</t>
  </si>
  <si>
    <t>Construimos una hoja de cálculo, y obtenemos un resultado parcial en la celda C14. A continuación vamos a realizar otra serie de cálculos que querremos se impriman siempre en la página siguiente, por lo que queremos establecer un salto de página, de modo que el resultado en C14 se imprima en la primera página y a partir de la fila 19 en la siguiente. ¿Qué es lo adecuado?</t>
  </si>
  <si>
    <t>Posicionarse en la celda A14 e insertar un salto de página.</t>
  </si>
  <si>
    <t>Posicionarse en la celda C14 e insertar un salto de página.</t>
  </si>
  <si>
    <t>Posicionarse en la celda A15 e insertar un salto de página.</t>
  </si>
  <si>
    <t>Posicionarse en la celda C15 e insertar un salto de página.</t>
  </si>
  <si>
    <t>Una vez hemos creado un gráfico, por ejemplo de barras agrupadas:</t>
  </si>
  <si>
    <t>Podemos modificar un dato concreto de una serie de datos, y el gráfico se modificará consecuentemente.</t>
  </si>
  <si>
    <t>Es de barras agrupadas 3D, con título encima del gráfico, eje vertical primario en modo millares y le harían falta los valores como etiquetas de datos.</t>
  </si>
  <si>
    <t>Es de columnas agrupadas 3D, con título superpuesto centrado, eje vertical primario en modo millares y le haría falta una leyenda.</t>
  </si>
  <si>
    <t>Es de columnas apiladas 3D, con título superpuesto centrado, eje vertical primario en modo millones y le haría falta el rótulo del eje horizontal primario.</t>
  </si>
  <si>
    <t>Es de columnas agrupadas 3D, con título superpuesto centrado, ejes predeterminados y le harían falta unas líneas verticales de cuadrícula primaria.</t>
  </si>
  <si>
    <t>Es un gráfico incrustado, de líneas apiladas con marcadores, líneas horizontales de división primarias, título del eje vertical mostrado horizontalmente, leyenda con relleno de trama y etiquetas de datos.</t>
  </si>
  <si>
    <t>Es un gráfico de dispersión con marcadores, líneas horizontales de división secundarias, título del eje horizontal mostrado verticalmente, leyenda con relleno degradado y etiquetas de datos.</t>
  </si>
  <si>
    <t>Es un gráfico creado en hoja nueva, de líneas agrupadas con marcadores, líneas horizontales de división primarias y terciarias, título del eje vertical mostrado horizontalmente, leyenda con relleno de trama y etiquetas de datos.</t>
  </si>
  <si>
    <t>Es un gráfico creado en hoja nueva, de líneas apiladas con marcadores, líneas horizontales de división secundarias, título del eje vertical mostrado horizontalmente, leyenda con relleno degradado y etiquetas de datos.</t>
  </si>
  <si>
    <t>Tenemos en la celda B2 el valor en centímetros del radio de un círculo; si queremos calcular con la mayor precisión en B3 la longitud de esa circunferencia introduciremos en esa celda:</t>
  </si>
  <si>
    <t>La expresión =2*3,14*B2</t>
  </si>
  <si>
    <t>La expresión =PI*R^2</t>
  </si>
  <si>
    <t>La expresión =PI()*R^2</t>
  </si>
  <si>
    <t>La expresión =PI()*B2^2</t>
  </si>
  <si>
    <t>MIN(B1:B52) para el mínimo, MAX(B1:B52) para el máximo y MEDIA(B1:B52)</t>
  </si>
  <si>
    <t>MIN(B2:B52) para el mínimo, MAX(B2:B52) para el máximo y MEDIA(B2:B52)</t>
  </si>
  <si>
    <t>MIN(B2:B52) para el mínimo, MAX(B2:B52) para el máximo y PROMEDIO(B2:B52)</t>
  </si>
  <si>
    <t>MIN(B432:B52) para el mínimo, MAX(B43: B52) para el máximo y PROMEDIO(B42: B52)</t>
  </si>
  <si>
    <t>Que el gráfico es correcto, y pasamos a otra cosa.</t>
  </si>
  <si>
    <t>Que por alguna extraña razón ha dibujado una línea azul horizontal, pero no le damos mayor importancia.</t>
  </si>
  <si>
    <t>Que estos datos no se pueden representar con este tipo de gráfico y por consiguiente buscamos otro tipo, como por ejemplo los de barras o de columnas.</t>
  </si>
  <si>
    <t>Que ha considerado la primera columna, donde se indica el año de cada valor, como un dato numérico y lo ha representado en la gráfica, por lo que hemos de solucionar el problema, por ejemplo eliminando de la lista de series de datos la correspondiente a los años, e introducirla si acaso en el eje de categorías.</t>
  </si>
  <si>
    <t>La expresión (con signo positivo) =PAGO(B4;B3;B2)</t>
  </si>
  <si>
    <t>La expresión (con signo negativo) =-PAGO(B4;B3;B2)</t>
  </si>
  <si>
    <t>La expresión (con signo negativo) =-PAGO(B4/12;B3*12;B2)</t>
  </si>
  <si>
    <t>La expresión (con signo negativo) =-PAGO(B4/12;B3/12;B2)</t>
  </si>
  <si>
    <t>Para ordenar alfabéticamente según los diferentes alumnos pondremos como celda activa una de la primera columna (por ejemplo la A10) y en la pestaña Datos pulsaremos el botón Ordenar de A a Z.</t>
  </si>
  <si>
    <t>Para ordenar alfabéticamente según los diferentes alumnos pondremos como celda activa una de la primera columna (por ejemplo la A22) y en la pestaña Datos pulsaremos el botón Ordenar de A a Z.</t>
  </si>
  <si>
    <t>Para ordenar descendentemente según el importe pondremos como celda activa una de la cuarta columna (por ejemplo la D10) y en la pestaña Datos pulsaremos el botón Ordenar de A a Z.</t>
  </si>
  <si>
    <t>Para ordenar descendentemente según el importe seleccionaremos el rango D7:D16 y en la pestaña Datos pulsaremos el botón Ordenar de A a Z.</t>
  </si>
  <si>
    <t>¿Cuántas hojas de cálculo debe tener como mínimo un libro de Excel?</t>
  </si>
  <si>
    <t>¡Correcto! Aunque por defecto suelen aparecer 3, este es un valor configurable</t>
  </si>
  <si>
    <t>No es correcto. El mínimo que ha de tener, lógicamente, ha de ser...</t>
  </si>
  <si>
    <t>¿Cuáles son los operadores aritméticos que podemos utilizar en expresiones Excel?</t>
  </si>
  <si>
    <t>Con los formatos de celda por defecto, cuando introducimos un dato en una celda de Excel…</t>
  </si>
  <si>
    <t xml:space="preserve">Los datos numéricos y alfanuméricos se alinean a la izquierda </t>
  </si>
  <si>
    <t xml:space="preserve">Los datos numéricos y alfanuméricos se alinean a la derecha </t>
  </si>
  <si>
    <t xml:space="preserve">Los datos numéricos se alinean a la derecha y los alfanuméricos a la izquierda </t>
  </si>
  <si>
    <t xml:space="preserve">Los datos numéricos se alinean a la izquierda y los alfanuméricos a la derecha </t>
  </si>
  <si>
    <t>¿Cuál de las siguientes expresiones indica un rango de celdas?</t>
  </si>
  <si>
    <t xml:space="preserve">B1aB15 </t>
  </si>
  <si>
    <t xml:space="preserve">B1-C5 </t>
  </si>
  <si>
    <t xml:space="preserve">Z1:AZ5 </t>
  </si>
  <si>
    <t>B5:F1</t>
  </si>
  <si>
    <t>Indique cuál es la afirmación correcta:</t>
  </si>
  <si>
    <t xml:space="preserve">En Excel, las referencias a otras celdas son por defecto absolutas, a no ser que se haga uso del carácter $ </t>
  </si>
  <si>
    <t xml:space="preserve">En Excel, las referencias a otras celdas son por defecto relativas, a no ser que se haga uso del carácter $ </t>
  </si>
  <si>
    <t>La celda B3 contiene la expresión =2/(B1+B2)*$A3 y copiamos dicho contenido a la celda C3; después de ello, ¿cuál será el contenido de C3?</t>
  </si>
  <si>
    <t xml:space="preserve">=2/(B2+B3)*$A4 </t>
  </si>
  <si>
    <t xml:space="preserve">=2/(C2+C3)*$A4 </t>
  </si>
  <si>
    <t xml:space="preserve">=2/(C1+C2)*$A3 </t>
  </si>
  <si>
    <t>=2/(C2+C3)*$A3</t>
  </si>
  <si>
    <t>Al combinar y centrar cuatro celdas (dos filas y dos columnas), cada una con su contenido, el valor que se muestra en la combinación resultante es:</t>
  </si>
  <si>
    <t>El superior izquierdo</t>
  </si>
  <si>
    <t>El superior derecho</t>
  </si>
  <si>
    <t>El inferior izquierdo</t>
  </si>
  <si>
    <t>El inferior derecho</t>
  </si>
  <si>
    <t>Mover y copiar celdas o rangos con referencias</t>
  </si>
  <si>
    <t>http://groups.google.com/group/cursoexcel2010</t>
  </si>
  <si>
    <t>http://groups.google.com/group/cursoexcel2010anuncios</t>
  </si>
  <si>
    <t>http://oa.upv.es/excel2010/UNIDADES%20EN%20PDF/1_2%20Concepto%20de%20hoja%20de%20c%C3%A1lculo.pdf</t>
  </si>
  <si>
    <t>http://oa.upv.es/excel2010/UNIDADES%20EN%20PDF/1_3%20Iniciar%20y%20guardar%20un%20sesi%C3%B3n%20de%20trabajo.pdf</t>
  </si>
  <si>
    <t>http://oa.upv.es/excel2010/UNIDADES%20EN%20PDF/1_4%20Identificaci%C3%B3n%20de%20las%20partes%20de%20la%20pantalla.pdf</t>
  </si>
  <si>
    <t>http://oa.upv.es/excel2010/UNIDADES%20EN%20PDF/1_5%20Ayudas%20del%20programa.pdf</t>
  </si>
  <si>
    <t>http://oa.upv.es/excel2010/UNIDADES%20EN%20PDF/1_6%20Abrir%20y%20cerrar%20archivos.pdf</t>
  </si>
  <si>
    <t>http://oa.upv.es/excel2010/UNIDADES%20EN%20PDF/1_8%20Modos%20de%20desplazamiento%20dentro%20de%20la%20hoja.pdf</t>
  </si>
  <si>
    <t>http://oa.upv.es/excel2010/UNIDADES%20EN%20PDF/1_9%20%20Introducci%C3%B3n%20y%20modificaci%C3%B3n%20de%20los%20datos%20en%20la%20hoja.pdf</t>
  </si>
  <si>
    <t>http://oa.upv.es/excel2010/UNIDADES%20EN%20PDF/1_10%20Borrar%20datos%20existentes.pdf</t>
  </si>
  <si>
    <t>http://oa.upv.es/excel2010/UNIDADES%20EN%20PDF/1_11%20Deshacer%20y%20rehacer%20acciones.pdf</t>
  </si>
  <si>
    <t>http://oa.upv.es/excel2010/UNIDADES%20EN%20PDF/1_13%20Introducci%C3%B3n%20de%20expresiones.pdf</t>
  </si>
  <si>
    <t>http://oa.upv.es/excel2010/UNIDADES%20EN%20PDF/1_14%20Operadores%20aritm%C3%A9ticos.pdf</t>
  </si>
  <si>
    <t>http://oa.upv.es/excel2010/UNIDADES%20EN%20PDF/1_15%20Prioridad%20en%20la%20ejecuci%C3%B3n.pdf</t>
  </si>
  <si>
    <t>http://oa.upv.es/excel2010/UNIDADES%20EN%20PDF/1_16%20Referencias%20a%20celdas.pdf</t>
  </si>
  <si>
    <t>http://oa.upv.es/excel2010/UNIDADES%20EN%20PDF/1_17%20Expresiones%20encadenadas.pdf</t>
  </si>
  <si>
    <t>http://oa.upv.es/excel2010/UNIDADES%20EN%20PDF/2_1%20Tipos%20de%20datos.pdf</t>
  </si>
  <si>
    <t>http://oa.upv.es/excel2010/UNIDADES%20EN%20PDF/2_2%20Datos%20de%20tipo%20num%C3%A9rico.pdf</t>
  </si>
  <si>
    <t>http://oa.upv.es/excel2010/UNIDADES%20EN%20PDF/2_3%20Datos%20de%20tipo%20texto.pdf</t>
  </si>
  <si>
    <t>http://oa.upv.es/excel2010/UNIDADES%20EN%20PDF/2_4%20Datos%20de%20tipo%20fecha%20y%20hora.pdf</t>
  </si>
  <si>
    <t>http://oa.upv.es/excel2010/UNIDADES%20EN%20PDF/2_5%20Datos%20de%20tipo%20l%C3%B3gico.pdf</t>
  </si>
  <si>
    <t>http://oa.upv.es/excel2010/UNIDADES%20EN%20PDF/2_6%20Rangos%20de%20celdas.pdf</t>
  </si>
  <si>
    <t>http://oa.upv.es/excel2010/UNIDADES%20EN%20PDF/2_7%20Concepto%20de%20rango.pdf</t>
  </si>
  <si>
    <t>http://oa.upv.es/excel2010/UNIDADES%20EN%20PDF/2_8%20Mover%20y%20copiar%20celdas%20o%20rangos.pdf</t>
  </si>
  <si>
    <t>http://oa.upv.es/excel2010/UNIDADES%20EN%20PDF/2_9%20Selecci%C3%B3n%20m%C3%BAltiple.pdf</t>
  </si>
  <si>
    <t>http://oa.upv.es/excel2010/UNIDADES%20EN%20PDF/2_10%20Dar%20nombre%20a%20un%20rango.pdf</t>
  </si>
  <si>
    <t>http://oa.upv.es/excel2010/UNIDADES%20EN%20PDF/2_11%20Referencias.pdf</t>
  </si>
  <si>
    <t>http://oa.upv.es/excel2010/UNIDADES%20EN%20PDF/2_12%20Referencias%20relativas.pdf</t>
  </si>
  <si>
    <t>http://oa.upv.es/excel2010/UNIDADES%20EN%20PDF/2_13%20Referencias%20absolutas.pdf</t>
  </si>
  <si>
    <t>http://oa.upv.es/excel2010/UNIDADES%20EN%20PDF/2_14%20Referencias%20mixtas.pdf</t>
  </si>
  <si>
    <t>http://oa.upv.es/excel2010/UNIDADES%20EN%20PDF/2_15%20Mover%20y%20copiar%20celdas%20o%20rangos%20con%20referencia.pdf</t>
  </si>
  <si>
    <t>http://oa.upv.es/excel2010/UNIDADES%20EN%20PDF/2_16%20Patr%C3%B3n%20de%20relleno.pdf</t>
  </si>
  <si>
    <t>http://oa.upv.es/excel2010/UNIDADES%20EN%20PDF/3_1%20Formatos%20para%20los%20datos.pdf</t>
  </si>
  <si>
    <t>http://oa.upv.es/excel2010/UNIDADES%20EN%20PDF/3_2%20Formato%20para%20los%20n%C3%BAmeros.pdf</t>
  </si>
  <si>
    <t>http://oa.upv.es/excel2010/UNIDADES%20EN%20PDF/3_3%20Fuentes.pdf</t>
  </si>
  <si>
    <t>http://oa.upv.es/excel2010/UNIDADES%20EN%20PDF/3_4%20Formatos%20para%20las%20fechas%20y%20horas.pdf</t>
  </si>
  <si>
    <t>http://oa.upv.es/excel2010/UNIDADES%20EN%20PDF/3_5%20Alineaci%C3%B3n.pdf</t>
  </si>
  <si>
    <t>http://oa.upv.es/excel2010/UNIDADES%20EN%20PDF/3_7%20Bordes.pdf</t>
  </si>
  <si>
    <t>http://oa.upv.es/excel2010/UNIDADES%20EN%20PDF/3_8%20Color%20de%20relleno%20y%20de%20fuente.pdf</t>
  </si>
  <si>
    <t>http://oa.upv.es/excel2010/UNIDADES%20EN%20PDF/3_9%20Tramas.pdf</t>
  </si>
  <si>
    <t>http://oa.upv.es/excel2010/UNIDADES%20EN%20PDF/3_10%20Copiando%20celdas%20con%20formato.pdf</t>
  </si>
  <si>
    <t>http://oa.upv.es/excel2010/UNIDADES%20EN%20PDF/3_12%20Amchura%20de%20columnas.pdf</t>
  </si>
  <si>
    <t>http://oa.upv.es/excel2010/UNIDADES%20EN%20PDF/3_13%20Altura%20de%20filas%20y%20ajustar%20el%20texto.pdf</t>
  </si>
  <si>
    <t>http://oa.upv.es/excel2010/UNIDADES%20EN%20PDF/3_14%20Combinar%20celdas.pdf</t>
  </si>
  <si>
    <t>http://oa.upv.es/excel2010/UNIDADES%20EN%20PDF/3_15%20Ocultar%20y%20mostrar.pdf</t>
  </si>
  <si>
    <t>http://oa.upv.es/excel2010/UNIDADES%20EN%20PDF/3_17%20Diferencia%20entre%20el%20contenido%20real%20y%20el%20mostrado.pdf</t>
  </si>
  <si>
    <t>http://oa.upv.es/excel2010/UNIDADES%20EN%20PDF/3_18%20Evaluaci%C3%B3n%20de%20diferentes%20valores.pdf</t>
  </si>
  <si>
    <t>http://oa.upv.es/excel2010/UNIDADES%20EN%20PDF/3_19%20Insertar%20y%20eliminar%20filas%20y%20columnas.pdf</t>
  </si>
  <si>
    <t>http://oa.upv.es/excel2010/UNIDADES%20EN%20PDF/4_1%20Preparaci%C3%B3n%20e%20impresi%C3%B3n%20de%20la%20hoja.pdf</t>
  </si>
  <si>
    <t>http://oa.upv.es/excel2010/UNIDADES%20EN%20PDF/4_2%20Estilos%20y%20temas.pdf</t>
  </si>
  <si>
    <t>http://oa.upv.es/excel2010/UNIDADES%20EN%20PDF/4_3%20Vista%20preliminar%20e%20impresi%C3%B3n.pdf</t>
  </si>
  <si>
    <t>http://oa.upv.es/excel2010/UNIDADES%20EN%20PDF/4_4%20Configuraci%C3%B3n%20r%C3%A1pida.pdf</t>
  </si>
  <si>
    <t>http://oa.upv.es/excel2010/UNIDADES%20EN%20PDF/4_5%20M%C3%A1rgenes.pdf</t>
  </si>
  <si>
    <t>http://oa.upv.es/excel2010/UNIDADES%20EN%20PDF/4_6%20Escalado.pdf</t>
  </si>
  <si>
    <t>http://oa.upv.es/excel2010/UNIDADES%20EN%20PDF/4_7%20Dise%C3%B1o%20de%20p%C3%A1gina.pdf</t>
  </si>
  <si>
    <t>http://oa.upv.es/excel2010/UNIDADES%20EN%20PDF/4_8%20Establecer%20el%20%C3%A1rea%20de%20impresi%C3%B3n.pdf</t>
  </si>
  <si>
    <t>http://oa.upv.es/excel2010/UNIDADES%20EN%20PDF/4_9%20Opciones%20de%20la%20hoja.pdf</t>
  </si>
  <si>
    <t>http://oa.upv.es/excel2010/UNIDADES%20EN%20PDF/4_10.pdf</t>
  </si>
  <si>
    <t>http://oa.upv.es/excel2010/UNIDADES%20EN%20PDF/4_12%20Encabezado%20y%20pie%20de%20p%C3%A1gina.pdf</t>
  </si>
  <si>
    <t>http://oa.upv.es/excel2010/UNIDADES%20EN%20PDF/4_13%20Saltos%20de%20p%C3%A1gina.pdf</t>
  </si>
  <si>
    <t>http://oa.upv.es/excel2010/UNIDADES%20EN%20PDF/4_14%20T%C3%ADtulos.pdf</t>
  </si>
  <si>
    <t>http://oa.upv.es/excel2010/UNIDADES%20EN%20PDF/5_1%20El%20primer%20gr%C3%A1fico.pdf</t>
  </si>
  <si>
    <t>http://oa.upv.es/excel2010/UNIDADES%20EN%20PDF/5_2%20Crear%20un%20gr%C3%A1fico.pdf</t>
  </si>
  <si>
    <t>http://oa.upv.es/excel2010/UNIDADES%20EN%20PDF/5_3%20Dise%C3%B1o%20y%20elementos%20de%20un%20gr%C3%A1fico.pdf</t>
  </si>
  <si>
    <t>http://oa.upv.es/excel2010/UNIDADES%20EN%20PDF/5_4%20Incorporando%20categor%C3%ADas.pdf</t>
  </si>
  <si>
    <t>http://oa.upv.es/excel2010/UNIDADES%20EN%20PDF/5_5%20Incorporando%20nuevos%20datos.pdf</t>
  </si>
  <si>
    <t>http://oa.upv.es/excel2010/UNIDADES%20EN%20PDF/5_6%20Corrigiendo%20las%20series%20de%20datos.pdf</t>
  </si>
  <si>
    <t>http://oa.upv.es/excel2010/UNIDADES%20EN%20PDF/5_7%20Intercambiando%20filas%20y%20columnas.pdf</t>
  </si>
  <si>
    <t>http://oa.upv.es/excel2010/UNIDADES%20EN%20PDF/5_8%20Principales%20tipos%20de%20gr%C3%A1ficos.pdf</t>
  </si>
  <si>
    <t>http://oa.upv.es/excel2010/UNIDADES%20EN%20PDF/5_9%20Gr%C3%A1ficos%20incrustados%20y%20hojas%20de%20gr%C3%A1ficos.pdf</t>
  </si>
  <si>
    <t>http://oa.upv.es/excel2010/UNIDADES%20EN%20PDF/5_10%20Rangos%20discontinuos.pdf</t>
  </si>
  <si>
    <t>http://oa.upv.es/excel2010/UNIDADES%20EN%20PDF/6_1%20Presentaci%C3%B3n%20de%20elementos%20de%20un%20gr%C3%A1fico.pdf</t>
  </si>
  <si>
    <t>http://oa.upv.es/excel2010/UNIDADES%20EN%20PDF/6_2%20T%C3%ADtulos.pdf</t>
  </si>
  <si>
    <t>http://oa.upv.es/excel2010/UNIDADES%20EN%20PDF/6_3%20R%C3%B3tulos%20de%20los%20ejes.pdf</t>
  </si>
  <si>
    <t>http://oa.upv.es/excel2010/UNIDADES%20EN%20PDF/6_4%20Leyenda.pdf</t>
  </si>
  <si>
    <t>http://oa.upv.es/excel2010/UNIDADES%20EN%20PDF/6_5%20Etiquetas%20de%20datos.pdf</t>
  </si>
  <si>
    <t>http://oa.upv.es/excel2010/UNIDADES%20EN%20PDF/6_6%20Tabla%20de%20datos.pdf</t>
  </si>
  <si>
    <t>http://oa.upv.es/excel2010/UNIDADES%20EN%20PDF/6_8%20Ejes.pdf</t>
  </si>
  <si>
    <t>http://oa.upv.es/excel2010/UNIDADES%20EN%20PDF/6_9%20L%C3%ADneas%20de%20la%20cuadr%C3%ADcula.pdf</t>
  </si>
  <si>
    <t>http://oa.upv.es/excel2010/UNIDADES%20EN%20PDF/6_10%20%C3%81rea%20de%20trazado.pdf</t>
  </si>
  <si>
    <t>http://oa.upv.es/excel2010/UNIDADES%20EN%20PDF/6_11%20Cuadro%20gr%C3%A1fico.pdf</t>
  </si>
  <si>
    <t>http://oa.upv.es/excel2010/UNIDADES%20EN%20PDF/6_12%20Plano%20inferior%20del%20gr%C3%A1fico.pdf</t>
  </si>
  <si>
    <t>http://oa.upv.es/excel2010/UNIDADES%20EN%20PDF/6_13%20Giro%203D.pdf</t>
  </si>
  <si>
    <t>http://oa.upv.es/excel2010/UNIDADES%20EN%20PDF/6_15%20Selecci%C3%B3n%20de%20un%20elemento%20del%20gr%C3%A1fico.pdf</t>
  </si>
  <si>
    <t>http://oa.upv.es/excel2010/UNIDADES%20EN%20PDF/6_16%20Estilos.pdf</t>
  </si>
  <si>
    <t>http://oa.upv.es/excel2010/UNIDADES%20EN%20PDF/7_1%20Uso%20b%C3%A1sico%20de%20funciones.pdf</t>
  </si>
  <si>
    <t>http://oa.upv.es/excel2010/UNIDADES%20EN%20PDF/7_2%20La%20funci%C3%B3n%20autosuma.pdf</t>
  </si>
  <si>
    <t>http://oa.upv.es/excel2010/UNIDADES%20EN%20PDF/7_3%20Sintaxis%20de%20las%20funciones.pdf</t>
  </si>
  <si>
    <t>http://oa.upv.es/excel2010/UNIDADES%20EN%20PDF/7_4%20Insertar%20funci%C3%B3n.pdf</t>
  </si>
  <si>
    <t>http://oa.upv.es/excel2010/UNIDADES%20EN%20PDF/7_6%20Funciones%20estad%C3%ADsticas.pdf</t>
  </si>
  <si>
    <t>http://oa.upv.es/excel2010/UNIDADES%20EN%20PDF/7_7%20Funciones%20matem%C3%A1ticas%20y%20trigonom%C3%A9tricas.pdf</t>
  </si>
  <si>
    <t>http://oa.upv.es/excel2010/UNIDADES%20EN%20PDF/7_8%20Funciones%20financieras.pdf</t>
  </si>
  <si>
    <t>http://oa.upv.es/excel2010/UNIDADES%20EN%20PDF/7_9%20Funciones%20de%20b%C3%BAsqueda%20y%20referencia.pdf</t>
  </si>
  <si>
    <t>http://oa.upv.es/excel2010/UNIDADES%20EN%20PDF/7_10%20Funciones%20l%C3%B3gicas.pdf</t>
  </si>
  <si>
    <t>http://oa.upv.es/excel2010/UNIDADES%20EN%20PDF/7_12%20Mover%20y%20copiar%20funciones.pdf</t>
  </si>
  <si>
    <t>http://oa.upv.es/excel2010/UNIDADES%20EN%20PDF/7_13%20Funciones%20anidadas.pdf</t>
  </si>
  <si>
    <t>http://oa.upv.es/excel2010/UNIDADES%20EN%20PDF/8_1%20Formatos%20para%20tablas%20de%20datos.pdf</t>
  </si>
  <si>
    <t>http://oa.upv.es/excel2010/UNIDADES%20EN%20PDF/8_2%20Formatos%20condicionales%20seg%C3%BAn%20el%20valor.pdf</t>
  </si>
  <si>
    <t>http://oa.upv.es/excel2010/UNIDADES%20EN%20PDF/8_3%20Formato%20condicional%20seg%C3%BAn%20la%20posici%C3%B3n%20relativa.pdf</t>
  </si>
  <si>
    <t>http://oa.upv.es/excel2010/UNIDADES%20EN%20PDF/8_4%20Formato%20condicional%20para%20barras%20de%20datos.pdf</t>
  </si>
  <si>
    <t>http://oa.upv.es/excel2010/UNIDADES%20EN%20PDF/8_5%20Formato%20condicional%20por%20escalas%20de%20color.pdf</t>
  </si>
  <si>
    <t>http://oa.upv.es/excel2010/UNIDADES%20EN%20PDF/8_6%20Formato%20condicional%20por%20conjuntos%20de%20iconos.pdf</t>
  </si>
  <si>
    <t>http://oa.upv.es/excel2010/UNIDADES%20EN%20PDF/8_7%20Borrando%20los%20formatos%20condicionales.pdf</t>
  </si>
  <si>
    <t>http://oa.upv.es/excel2010/UNIDADES%20EN%20PDF/8_9%20Dar%20formato%20como%20tabla.pdf</t>
  </si>
  <si>
    <t>http://oa.upv.es/excel2010/UNIDADES%20EN%20PDF/8_10%20Ordenar%20los%20registros.pdf</t>
  </si>
  <si>
    <t>http://oa.upv.es/excel2010/UNIDADES%20EN%20PDF/8_11%20Filtrando%20registros%20de%20una%20tabla%20de%20datos.pdf</t>
  </si>
  <si>
    <t>http://oa.upv.es/excel2010/UNIDADES%20EN%20PDF/8_12%20Estilos%20de%20celdas%20predeterminados.pdf</t>
  </si>
  <si>
    <t>http://oa.upv.es/excel2010/UNIDADES%20EN%20PDF/8_13%20Ordenar%20por%20color.pdf</t>
  </si>
  <si>
    <t>http://oa.upv.es/excel2010/UNIDADES%20EN%20PDF/8_14%20Filtrar%20por%20color.pdf</t>
  </si>
  <si>
    <t>SubSección</t>
  </si>
  <si>
    <t>Nombre SubSección</t>
  </si>
  <si>
    <t>Indique qué se debe introducir en una celda para calcular:&lt;br/&gt; &lt;img src="http://oa.upv.es/excel2010/examenfinal0.png" /&gt;&lt;br/&gt;</t>
  </si>
  <si>
    <t>Queremos construir una tabla de potencias (unas cantidades base elevadas a unos exponentes), para lo que listamos en la columna C los primeros números naturales que vamos a utilizar como base, y en la fila 3 los distintos números que vamos a utilizar de exponente, tal como se muestra en la imagen: &lt;br/&gt;&lt;img src="http://oa.upv.es/excel2010/examenfinal1.png" /&gt;&lt;br/&gt; ¿Qué podemos introducir en D4 para poder luego copiar (o expandir como patrón de relleno) a todo el resto de celdas de la tabla?</t>
  </si>
  <si>
    <t>A la vista de la tabla y gráficos siguientes, podemos decir:&lt;br/&gt; &lt;img src="http://oa.upv.es/excel2010/examenfinal2.png" /&gt;&lt;br/&gt;</t>
  </si>
  <si>
    <t>A la vista del gráfico, podemos decir:&lt;br/&gt; &lt;img src="http://oa.upv.es/excel2010/examenfinal3.png" /&gt;&lt;br/&gt;</t>
  </si>
  <si>
    <t>Disponemos de una tabla con los valores de consumo anual de energía desde 1960; inmovilizamos la primera fila para ver el encabezado de la misma.&lt;br/&gt; &lt;img src="http://oa.upv.es/excel2010/examenfinal4.png" /&gt;&lt;br/&gt;Para calcular los valores mínimo, máximo y la media aritmética de todos ellos, tal como aparece en la imagen, habremos utilizado las funciones:</t>
  </si>
  <si>
    <t>Al representar gráficamente los valores en un gráfico de líneas obtenemos lo siguiente: &lt;br/&gt;&lt;img src="http://oa.upv.es/excel2010/examenfinal5.png" /&gt;&lt;br/&gt;En este caso pensamos:</t>
  </si>
  <si>
    <t>Estamos calculando la cuota que mensualmente tendremos que pagar dependiendo de las condiciones del préstamo, y partimos del supuesto de un capital de 155.000€ y un interés anual del 4,55%; si suponemos devolverlo en cuotas mensuales iguales a lo largo de 25 años, para calcular en una celda la cuota mensual introduciremos:&lt;br/&gt; &lt;img src="http://oa.upv.es/excel2010/examenfinal6.png" /&gt;&lt;br/&gt;</t>
  </si>
  <si>
    <t>Disponemos de una tabla para ayudarnos a calcular un tema de ayudas de comedor de distintos estudiantes, tal como se ve en la imagen:&lt;br/&gt; &lt;img src="http://oa.upv.es/excel2010/examenfinal7.png" /&gt;&lt;br/&gt;Queremos que la tabla aparezca ordenada, por lo que haremos:</t>
  </si>
  <si>
    <t>Acerca del programa Excel</t>
  </si>
  <si>
    <t>Introduciendo datos</t>
  </si>
  <si>
    <t>Ejercicios prácticos</t>
  </si>
  <si>
    <t>Los primeros cambios</t>
  </si>
  <si>
    <t>Gestionar tablas de datos</t>
  </si>
  <si>
    <t>El Calculoso</t>
  </si>
  <si>
    <t>Formato de subsección</t>
  </si>
  <si>
    <t>RESUMEN</t>
  </si>
  <si>
    <t>IdSeccion</t>
  </si>
  <si>
    <t>Título Sección</t>
  </si>
  <si>
    <t>Texto Previo Pregunta</t>
  </si>
  <si>
    <t>seccion2</t>
  </si>
  <si>
    <t>seccion3</t>
  </si>
  <si>
    <t>Introducción y Objetivos</t>
  </si>
  <si>
    <t>Introducción</t>
  </si>
  <si>
    <t>Objetivos</t>
  </si>
  <si>
    <t>Presentación</t>
  </si>
  <si>
    <t>Al etiquetarse las filas con números y las columnas con letras, las celdas se nombran por la letra de su columna seguida del número de fila.</t>
  </si>
  <si>
    <t>Hay que estar seguro de la sintaxis, a fin de poder escribirla correctamente cuando sea necesario.</t>
  </si>
  <si>
    <t>&lt;h2&gt;Introducción&lt;/h2&gt;
&lt;p&gt;Excel es uno de los componentes de la &lt;i&gt;suite&lt;/i&gt; ofimática de Microsoft, el MS-Office. En concreto, Excel es el programa informático que puede clasificarse dentro del conjunto de las hojas de cálculo.&lt;/p&gt;
&lt;p&gt;La característica principal de las hojas de cálculo se centra en la facilidad para realizar todo tipo de operaciones con datos. Igualmente posee grandes cualidades para representar los resultados de forma gráfica, e incluye funciones de manejo de tablas o bases de datos sencillas, análisis de la información, programación, etc.&lt;/p&gt;
&lt;p&gt;En esta unidad se introducirán los fundamentos básicos de la hoja de cálculo Excel, de modo que se pueda ya comenzar a trabajar con hojas muy sencillas.&lt;/p&gt;</t>
  </si>
  <si>
    <t>&lt;h2&gt;Objetivos&lt;/h2&gt;
&lt;p&gt;Los objetivos que se persiguen en el desarrollo de esta unidad son los siguientes:&lt;/p&gt;
&lt;ul&gt;
&lt;li&gt;&lt;span style="font-size: 1em; line-height: 1.6em;"&gt;Conocer qué es una hoja de cálculo y cómo comenzar y finalizar una sesión con Excel.&lt;/span&gt;&lt;/li&gt;
&lt;li&gt;&lt;span style="font-size: 1em; line-height: 1.6em;"&gt;Crear y guardar un libro de hojas de cálculo, y obtener ayuda.&lt;/span&gt;&lt;/li&gt;
&lt;li&gt;&lt;span style="font-size: 1em; line-height: 1.6em;"&gt;Identificar las partes en que se divide la pantalla y desplazarse por la hoja.&lt;/span&gt;&lt;/li&gt;
&lt;li&gt;&lt;span style="font-size: 1em; line-height: 1.6em;"&gt;Introducción de datos y tipos básicos de datos. Referencias a celdas y operaciones sencillas con datos numéricos.&lt;/span&gt;&lt;/li&gt;
&lt;/ul&gt;</t>
  </si>
  <si>
    <t>&lt;p&gt;Según la Wikipedia, “Microsoft Excel es una aplicación para
manejar hojas de cálculo. Este programa es desarrollado y distribuido por
Microsoft, y es utilizado normalmente en tareas financieras y contables.”&lt;/p&gt;</t>
  </si>
  <si>
    <t>&lt;p&gt;Una hoja de cálculo es una tabla bidimensional formada por filas y columnas. La intersección entre cada fila y cada columna de dicha matriz se denomina &lt;b&gt;celda&lt;/b&gt; y es el elemento principal de Excel. La hoja de cálculo será el conjunto de celdas formado por todas las filas y columnas de la hoja.&lt;/p&gt;
&lt;p&gt;Cada celda es como un pequeño contenedor de información elemental y, por lo tanto, podemos introducir un dato en cada una de ellas. También podemos introducir otro tipo de elementos (operaciones, referencias, funciones etc.).&lt;/p&gt;
&lt;p&gt;Las filas se etiquetan con números y las columnas con letras, de forma que para referenciar a una celda determinada lo haremos mediante su identificador de columna (letra) y el de su fila (número) de una forma similar al juego de los barcos.&lt;/p&gt;
&lt;p&gt;Aquella celda que tenga los bordes de un grueso superior al resto se denomina &lt;b&gt;celda activa&lt;/b&gt;, y es sobre la que se aplicará cualquier acción que realicemos, bien sea una orden o la introducción de un dato.&lt;/p&gt;</t>
  </si>
  <si>
    <t>FORO</t>
  </si>
  <si>
    <t>&lt;p&gt;Excel puede funcionar en diversos entornos.
Si estamos trabajando en Windows y tenemos instalado el programa (o la suite
ofimática Microsoft Office) en dicho entorno podremos acceder desde el botón &lt;i&gt;Inicio&lt;/i&gt;
o desde su icono en el escritorio haciendo &lt;i&gt;doble clic&lt;/i&gt; en el mismo.
Aparece entonces una ventana que nos permite trabajar con el programa. Es
interesante maximizar dicha ventana para disponer de toda el área de pantalla
para trabajar.&lt;/p&gt;
&lt;p&gt;Todos los datos que introducimos en las celdas de la hoja
están temporalmente en la memoria del ordenador, de forma que si abandonamos
Excel esta información se pierde. Es necesario, por lo tanto, guardar la hoja
en el caso de que deseemos recuperarla posteriormente. Antes de cerrar el programa
siempre nos avisará si no hemos guardado los últimos cambios.&lt;/p&gt;
&lt;p&gt;Si es la primera vez que guardamos la hoja, el programa nos
solicita que introduzcamos el nombre del archivo y su localización en el disco
duro, dispositivo externo o unidad de red; rellenando estos datos y aceptando
el cuadro de diálogo conseguiremos guardar la información contenidas en la
hoja. Si ya habíamos guardado los cambios anteriormente esta acción actualiza,
previo aviso, la copia en el archivo original.&lt;/p&gt;
&lt;p&gt;Realmente, en un archivo de Excel guardamos un libro de
trabajo. Un libro de trabajo es la unión de muchas hojas de cálculo, de tal
forma que en un solo archivo se almacenan todas las hojas que componen dicho
libro de trabajo.&lt;/p&gt;
&lt;p&gt;El libro de Excel se almacenará en un
fichero de extensión .&lt;i&gt;xlsx&lt;/i&gt; del sistema de archivos del ordenador, en el dispositivo
y carpeta que le hayamos indicado. Versiones anteriores utilizaban la extensión&lt;i&gt;
xls&lt;/i&gt; siendo posible abrirlos con la versión 2010.&lt;/p&gt;</t>
  </si>
  <si>
    <t>Acerca de las versiones</t>
  </si>
  <si>
    <t>&lt;h2&gt;Acerca de las versiones&lt;/h2&gt;
&lt;p&gt;La disposición de las herramientas en la pantalla, así como
las funcionalidades van cambiando de versión a versión, aunque siempre guardan
una considerable similitud y coherencia, de modo que aprendiendo a utilizar en
programa en alguna de sus versiones suele ser suficiente para defenderse con cualquier
otra versión del mismo programa, o incluso con otros programas de manejo de
hojas de cálculo.&lt;/p&gt;
&lt;p&gt;Se muestran a continuación algunas capturas de pantalla para
ilustrar dicha similitud:&lt;/p&gt;
&lt;p&gt;&lt;img id="Imagen 1" alt="" src="/static/s4_image001.jpg" height="291" width="567" /&gt;&lt;/p&gt;
&lt;p&gt;Excel 2010 para Windows&lt;/p&gt;
&lt;p&gt;&amp;nbsp;&lt;/p&gt;
&lt;p&gt;&lt;img id="Imagen 2" alt="" src="/static/s4_image002.jpg" height="425" width="567" /&gt;&lt;/p&gt;
&lt;p&gt;Excel 2003 para Windows&lt;/p&gt;
&lt;p&gt;&amp;nbsp;&lt;/p&gt;
&lt;p&gt;&lt;img id="Imagen 3" alt="" src="/static/s4_image003.jpg" height="398" width="567" /&gt;&lt;/p&gt;
&lt;p&gt;Excel 2011 para MacOS&lt;/p&gt;
&lt;p&gt;&amp;nbsp;&lt;/p&gt;
&lt;p&gt;&lt;img id="0 Imagen" alt="" src="/static/s4_image004.png" height="477" width="567" /&gt;&lt;/p&gt;
&lt;p&gt;Calc de OpenOffice&lt;/p&gt;</t>
  </si>
  <si>
    <t>&lt;p&gt;La ventana de Excel dispone de varias zonas. Cada una de ellas está diseñada para realizar determinadas operaciones. A continuación se indican dichas zonas:&lt;/p&gt;
&lt;p class=MsoNormal&gt;&lt;img border=0 width=567 height=691 id="Imagen 5" src="/static/s6_image001.png"&gt;&lt;/p&gt;
&lt;p&gt;La funconalidad de cada una de ellas es:&lt;/p&gt;
&lt;li&gt;&lt;b&gt;Barra de título&lt;/b&gt;: aparece el nombre del libro sobre el que estamos trabajando.&lt;/li&gt;
&lt;li&gt;Botones de &lt;b&gt;maximizar/minimizar/restaurar/cerrar&lt;/b&gt;: los habituales en las ventanas de Windows.&lt;/li&gt;
&lt;li&gt;&lt;b&gt;Cinta&lt;/b&gt; de herramientas, que contiene diversas pestañas, grupos de herramientas, botones de comandos y lanzadores de cuadros de diálogo.&lt;/li&gt;
&lt;li&gt;Pestaña &lt;b&gt;Archivo&lt;/b&gt; (también llamada “trastienda” o &lt;i&gt;backstage&lt;/i&gt;).&lt;/li&gt;
&lt;li&gt;Barra de acceso rápido.&lt;/li&gt;
&lt;li&gt;&lt;b&gt;Barra de fórmulas&lt;/b&gt;; dividida en tres zonas, nos muestra la dirección (o nombre) y contenido de la celda activa, y permite la edición de la misma.&lt;/li&gt;
&lt;li&gt;Área de trabajo: &lt;b&gt;celdas&lt;/b&gt; en las cuales se van a introducir los contenidos necesarios para resolver el problema planteado.&lt;/li&gt;
&lt;li&gt;Encabezado de las filas y columnas: permiten la selección y edición de las características de las mismas.&lt;/li&gt;
&lt;li&gt;Botón de selección de &lt;b&gt;hoja completa&lt;/b&gt;: permite la selección de todas las celdas de la hoja de cálculo.&lt;/li&gt;
&lt;li&gt;Etiquetas (solapas) con el nombre de las diferentes &lt;b&gt;hojas&lt;/b&gt; del libro abierto.&lt;/li&gt;
&lt;li&gt;&lt;b&gt;Barras de desplazamiento&lt;/b&gt; vertical/horizontal y &lt;b&gt;botones de división&lt;/b&gt; de la hoja, que permiten separar dos vistas de la hoja en cada sentido, de modo que se pueda tener a la vista zonas muy distantes de la hoja.&lt;/li&gt;
&lt;li&gt;&lt;b&gt;Barra de estado&lt;/b&gt;, que nos da información adicional, como el modo, la vista de la página y zoom.&lt;/li&gt;
&lt;li&gt;&lt;b&gt;Menús contextuales&lt;/b&gt;: dependiendo del elemento desde dónde se invoquen (haciendo clic con el botón derecho), nos ofrecen diferentes opciones a realizar sobre el elemento en cuestión.&lt;/li&gt;
&lt;/ul&gt;</t>
  </si>
  <si>
    <t>COMENTARIO ÚNICO</t>
  </si>
  <si>
    <t>Normalmente al crear una libro se nos presentan 3 hojas, pero esto es una opción que se puede cambiar y de hecho las hojas creadas se pueden borrar.</t>
  </si>
  <si>
    <t>&lt;p&gt;Excel dispone de un potente sistema de
ayudas donde podremos buscar cualquier información relacionada con los
elementos y la funcionalidad del programa. La ayuda se invoca pulsando la tecla
&lt;b&gt;F1&lt;/b&gt;, o bien mediante el botón &lt;b&gt;?&lt;/b&gt; del menú.&lt;/p&gt;
&lt;p&gt;Es posible localizar información relativa
a una orden concreta para conocer su funcionalidad, o averiguar la sintaxis de
una función. Existe igualmente un índice alfabético para localizar ayuda de
cualquier tópico si conocemos su nombre. Dispone igualmente de una base de
datos de sugerencias, a modo de autoaprendizaje, y de una ayuda de contexto que
nos permite acceder a la ayuda de aquello a lo que pinchamos.&lt;/p&gt;</t>
  </si>
  <si>
    <t>&lt;p&gt;Si deseamos recuperar un archivo cuyo contenido es una hoja
de cálculo Excel guardado con anterioridad para seguir trabajando con él, hemos
de acceder a la “trastienda”, pulsando la pestaña &lt;i&gt;Archivo&lt;/i&gt;; disponemos
allí del comando &lt;i&gt;Abrir&lt;/i&gt;, por medio del cual el programa nos solicita que
seleccionemos el archivo en cuestión a partir de una lista de archivos
contenidos en el disco duro o unidad de almacenamiento. Una vez localizado lo
seleccionamos y aceptamos el cuadro de diálogo. El contenido de dicho archivo
se visualiza en la pantalla para poder trabajar con él.&lt;/p&gt;
&lt;p&gt;Si por el contrario lo que queremos es crear un nuevo libro,
desde la misma pestaña &lt;i&gt;Archivo&lt;/i&gt; podemos hacerlo, mediante el comando &lt;i&gt;Nuevo&lt;/i&gt;
e indicándole qué tipo de libro queremos crear.&lt;/p&gt;
&lt;p&gt;Si disponemos en la pantalla de una hoja abierta y no
deseamos seguir trabajando en ella, podemos cerrar la ventana en la que se
encuentra. Podemos hacer esto accediendo y seleccionar la opción &lt;i&gt;Cerrar&lt;/i&gt; de
la pestaña &lt;i&gt;Archivo&lt;/i&gt;, o bien, pulsando en el botón de &lt;i&gt;Cerrar&lt;/i&gt; que
disponen todas las ventanas de Windows. Si no hemos guardado el libro desde la
última actualización, el programa nos lo advertirá.&lt;/p&gt;
&lt;p&gt;Si queremos abandonar el programa, basta con acceder a la
pestaña &lt;i&gt;Archivo&lt;/i&gt; y seleccionar su opción &lt;i&gt;Salir&lt;/i&gt;. Si no existen
modificaciones pendientes de validar, la ventana de Excel se cierra y
regresamos al entorno Windows. Si por el contrario existen cambios pendientes,
el programa nos pregunta si queremos guardarlos o desecharlos.&lt;/p&gt;</t>
  </si>
  <si>
    <t>En la versión 2010 tienen la extensión .xls</t>
  </si>
  <si>
    <t>En la versión 2010 tienen la extensión .doc</t>
  </si>
  <si>
    <t>En la versión 2010 tienen la extensión .xlsx</t>
  </si>
  <si>
    <t>En la versión 2010 tienen la extensión .docx</t>
  </si>
  <si>
    <t>No hay que confundir la extensión utilizada por el programa más popular de la suite, el Word, ni tampoco las utilizadas por versiones anteriores.</t>
  </si>
  <si>
    <t>&lt;p&gt;Si intentamos introducir información en la hoja, siempre se
realizará sobre la celda activa (aquella que tiene los bordes más gruesos que
el resto). Por lo tanto, si queremos introducir información en otras celdas de
la hoja será necesario desplazarse por ellas, de forma que la celda activa sea cada
vez una distinta.&lt;/p&gt;
&lt;p&gt;Si nuestra hoja es muy grande (la versión 2010 de Excel
acepta hojas de hasta 1.048.576 filas por 16.384 columnas) y no es posible
visualizar toda la información que contiene en la pantalla, será necesario
desplazarse por la misma para poder visualizar la información &lt;/p&gt;
&lt;p&gt;En el extremo superior de la barra de desplazamiento
vertical tenemos el botón de división horizontal de la hoja, que permite
separar dos vistas de la hoja; análogamente, en el extremo derecho de la barra
de desplazamiento horizontal está el botón de división horizontal de la hoja.
Haciendo &lt;i&gt;drag&lt;/i&gt; sobre ellos podemos dividir la vista del área de trabajo
en dos o 4 zonas distantes de la hoja.&lt;/p&gt;
&lt;p&gt;En el extremo derecho de la barra de desplazamiento
horizontal Botón de división vertical/horizontal de la hoja: permite separar
dos vistas de la hoja en cada sentido, de modo que se pueda tener a la vista
zonas muy distantes de la hoja.&lt;/p&gt;
&lt;p&gt;Existen muchos modos de desplazarse por la hoja. A
continuación se relacionan los más importantes:&lt;/p&gt;
&lt;p&gt;&lt;span class=MsoIntenseEmphasis&gt;Utilizando las Barras de
desplazamiento&lt;/span&gt;&lt;/p&gt;
&lt;p class=MsoListParagraph&gt;&lt;span style='font-family:Symbol'&gt;·&lt;span
style='font:7.0pt "Times New Roman"'&gt;&amp;nbsp;&amp;nbsp;&amp;nbsp;&amp;nbsp;&amp;nbsp;&amp;nbsp;&amp;nbsp;&amp;nbsp;
&lt;/span&gt;&lt;/span&gt;Botones de &lt;em&gt;Flecha Arriba / Flecha Abajo&lt;/em&gt;: Desplaza arriba
o abajo una fila.&lt;/p&gt;
&lt;p class=MsoListParagraph&gt;&lt;span style='font-family:Symbol'&gt;·&lt;span
style='font:7.0pt "Times New Roman"'&gt;&amp;nbsp;&amp;nbsp;&amp;nbsp;&amp;nbsp;&amp;nbsp;&amp;nbsp;&amp;nbsp;&amp;nbsp;
&lt;/span&gt;&lt;/span&gt;Botones de &lt;em&gt;Flecha Derecha / Flecha Izquierda&lt;/em&gt;: Desplaza a
la derecha o izquierda una columna.&lt;/p&gt;
&lt;p&gt;&lt;span class=MsoIntenseEmphasis&gt;Utilizando las Teclas&lt;/span&gt;&lt;/p&gt;
&lt;p class=MsoListParagraph&gt;&lt;span style='font-family:Symbol'&gt;·&lt;span
style='font:7.0pt "Times New Roman"'&gt;&amp;nbsp;&amp;nbsp;&amp;nbsp;&amp;nbsp;&amp;nbsp;&amp;nbsp;&amp;nbsp;&amp;nbsp;
&lt;/span&gt;&lt;/span&gt;&lt;em&gt;Flecha Arriba / Flecha Abajo&lt;/em&gt;: Desplaza arriba o abajo
una fila.&lt;/p&gt;
&lt;p class=MsoListParagraph&gt;&lt;span style='font-family:Symbol'&gt;·&lt;span
style='font:7.0pt "Times New Roman"'&gt;&amp;nbsp;&amp;nbsp;&amp;nbsp;&amp;nbsp;&amp;nbsp;&amp;nbsp;&amp;nbsp;&amp;nbsp;
&lt;/span&gt;&lt;/span&gt;&lt;em&gt;Flecha Derecha / Flecha Izquierda&lt;/em&gt;: Desplaza a la derecha
o izquierda una columna.&lt;/p&gt;
&lt;p class=MsoListParagraph&gt;&lt;span style='font-family:Symbol'&gt;·&lt;span
style='font:7.0pt "Times New Roman"'&gt;&amp;nbsp;&amp;nbsp;&amp;nbsp;&amp;nbsp;&amp;nbsp;&amp;nbsp;&amp;nbsp;&amp;nbsp;
&lt;/span&gt;&lt;/span&gt;&lt;em&gt;AvPág / RePág&lt;/em&gt;: Desplaza abajo o arriba una ventana.&lt;/p&gt;
&lt;p class=MsoListParagraph&gt;&lt;span style='font-family:Symbol'&gt;·&lt;span
style='font:7.0pt "Times New Roman"'&gt;&amp;nbsp;&amp;nbsp;&amp;nbsp;&amp;nbsp;&amp;nbsp;&amp;nbsp;&amp;nbsp;&amp;nbsp;
&lt;/span&gt;&lt;/span&gt;&lt;em&gt;Alt-AvPág / Alt-RePág&lt;/em&gt;: Desplaza a la derecha o izquierda
una ventana.&lt;/p&gt;
&lt;p class=MsoListParagraph&gt;&lt;span style='font-family:Symbol'&gt;·&lt;span
style='font:7.0pt "Times New Roman"'&gt;&amp;nbsp;&amp;nbsp;&amp;nbsp;&amp;nbsp;&amp;nbsp;&amp;nbsp;&amp;nbsp;&amp;nbsp;
&lt;/span&gt;&lt;/span&gt;&lt;em&gt;Ctrl-AvPág / Ctrl-RePág&lt;/em&gt;: Desplaza a la derecha o
izquierda una hoja.&lt;/p&gt;
&lt;p class=MsoListParagraph&gt;&lt;span style='font-family:Symbol'&gt;·&lt;span
style='font:7.0pt "Times New Roman"'&gt;&amp;nbsp;&amp;nbsp;&amp;nbsp;&amp;nbsp;&amp;nbsp;&amp;nbsp;&amp;nbsp;&amp;nbsp;
&lt;/span&gt;&lt;/span&gt;&lt;em&gt;Ctrl-Inicio&lt;/em&gt;: Se desplaza al inicio de la hoja (primera
fila, primera columna).&lt;/p&gt;
&lt;p class=MsoListParagraph&gt;&lt;span style='font-family:Symbol'&gt;·&lt;span
style='font:7.0pt "Times New Roman"'&gt;&amp;nbsp;&amp;nbsp;&amp;nbsp;&amp;nbsp;&amp;nbsp;&amp;nbsp;&amp;nbsp;&amp;nbsp;
&lt;/span&gt;&lt;/span&gt;&lt;em&gt;Ctrl-Fin o Fin-Flecha Abajo&lt;/em&gt;: Se desplaza a la última
fila de la columna actual.&lt;/p&gt;</t>
  </si>
  <si>
    <t>&lt;p&gt;Para colocar información en cualquier celda de la hoja,
basta con desplazarse hasta dicha celda (convertirla en celda actual) y
utilizar el teclado para introducir la información que deseamos. Mientras
escribimos su contenido, éste aparecerá en la barra de fórmulas, que podremos
editar mediante las teclas más comunes (&lt;i&gt;Retroceso, Supr, Bloq Mayús&lt;/i&gt;,
etc.).&lt;/p&gt;
&lt;p&gt;Para validar la introducción de la información en la celda,
una vez escrita presionamos la tecla &lt;i&gt;Intro&lt;/i&gt;. Si finalmente deseamos
abortar la introducción pulsamos la tecla &lt;i&gt;Esc&lt;/i&gt;.&lt;/p&gt;
&lt;p&gt;Una vez hemos introducido información en las celdas de la
hoja es posible que queramos modificar el contenido de las mismas. Lo primero
que tendremos que conseguir es desplazarnos a la celda que queremos modificar.
Una vez conseguido esto, el contenido de la celda aparece escrito en la barra
de fórmulas (bien sea texto, número, fecha/hora o fórmula). Presionando la
tecla &lt;i&gt;F2&lt;/i&gt; (o haciendo doble clic) accedemos a dicha barra donde es posible
modificar su contenido mediante las tecla usuales (&lt;i&gt;Retroceso, Supr, Bloq
Mayús&lt;/i&gt;, etc.). Una vez modificada a nuestro gusto, presionamos de nuevo la
tecla &lt;i&gt;Intro&lt;/i&gt; o si finalmente deseamos abortar la modificación pulsamos la
tecla &lt;i&gt;Esc&lt;/i&gt;.&lt;/p&gt;</t>
  </si>
  <si>
    <t>17.179.869.184 de celdas.</t>
  </si>
  <si>
    <t>Multiplicando el número máximo de filas por el de columnas, resulta un número de celdas verdaderamente grande.</t>
  </si>
  <si>
    <t>No es correcto. Si te fijas en el máximo número de filas y columnas...</t>
  </si>
  <si>
    <t>Para introducir contenido en una celda, tendremos que:</t>
  </si>
  <si>
    <t>Hacer click en la barra de fórmulas, y seleccionar en el menú desplegable de la misma la información que queremos que se introduzca.</t>
  </si>
  <si>
    <t>No es correcto. Es muy intuitivo, y acorde con todos los programas de este entorno.</t>
  </si>
  <si>
    <t>Hacer click en la barra de fórmulas, teclear el contenido deseado, y a continuación seleccionar en el cuadro de nombres (a la izquierda de la barra de fórmulas) la celda en que queremos que se introduzca.</t>
  </si>
  <si>
    <t>Desplazarnos hasta dicha celda mediante un click del ratón, y utilizar el teclado para introducir la información que deseamos. Podremos editar la introducción mediante las teclas comunes de Retroceso, Supr, Mayús, etc.</t>
  </si>
  <si>
    <t>Seleccionar una fila y, manteniendo pulsado la tecla Ctrl, seleccionar una columna. Lo que tecleemos a continuación se introducirá en la celda intersección de ambas selecciones.</t>
  </si>
  <si>
    <t>Es muy intuitivo, y acorde con todos los programas de este entorno.</t>
  </si>
  <si>
    <t>&lt;p&gt;Si se desea eliminar la información contenida en una celda
(o conjunto de celdas) tan solo hay que situarse sobre ella haciéndola la celda
activa, y pulsar la tecla &lt;i&gt;Suprimir&lt;/i&gt;.&lt;/p&gt;</t>
  </si>
  <si>
    <t>&lt;p&gt;La orden &lt;i&gt;Deshacer&lt;/i&gt; nos permite recuperar el estado del
programa justo antes de haber realizado la última orden. De esta forma, la el
efecto de la última orden no era el esperado, mediante la orden &lt;i&gt;Deshacer&lt;/i&gt;
volveremos a la situación anterior. Esta orden se encuentra en la barra de
herramientas de acceso rápido.&lt;/p&gt;
&lt;p&gt;Disponemos de un menú desplegable con las últimas acciones
realizadas, de modo que podemos volver a cualquier estado anterior.&lt;/p&gt;
&lt;p&gt;Hay también un botón &lt;i&gt;Rehacer&lt;/i&gt;, con su correspondiente
menú desplegable, para realizar lo contrario.&lt;/p&gt;</t>
  </si>
  <si>
    <t>No es correcto.</t>
  </si>
  <si>
    <t>Es conveniente probar el modo adecuado, aunque con la práctica saldrá muy fácilmente.</t>
  </si>
  <si>
    <t>Los caracteres: + - x ÷</t>
  </si>
  <si>
    <t>Los caracteres: + - x  /</t>
  </si>
  <si>
    <t>Los caracteres: + - * ÷</t>
  </si>
  <si>
    <t>Los caracteres: + - * /</t>
  </si>
  <si>
    <t>Las pequeñas diferencias con la notación habitual son el asterisco y la barra de división.</t>
  </si>
  <si>
    <t>&lt;p&gt;Para conseguir la ejecución de una fórmula aritmética en una
celda, se introducirá en la misma el signo = seguido de la expresión de cálculo
correspondiente; los operandos necesarios para construir la fórmula pueden ser
constantes numéricas directamente introducidas, aunque en la mayoría de las
ocasiones serán valores contenidos en otras celdas, para lo cual se introducirá
en la expresión aritmética la dirección de dichas celdas.&lt;/p&gt;
&lt;p&gt;Para finalizar la introducción de una expresión en la celda
usaremos la tecla &lt;i&gt;intro&lt;/i&gt;, y en ese momento se ejecutará la fórmula,
mostrándose en la celda el resultado de la misma.&lt;/p&gt;
&lt;p&gt;La representación de la expresión introducida se verá
siempre en la barra de fórmulas cuando volvamos a hacer la celda activa.&lt;/p&gt;</t>
  </si>
  <si>
    <t>&lt;p&gt;Para ejecutar las operaciones aritméticas básicas entre datos numéricos y generar resultados del mismo tipo, se utilizan los siguientes operadores aritméticos:&lt;/p&gt;
&lt;table class="MsoNormalTable" style="border: none;" border="1"&gt;
&lt;tbody&gt;
&lt;tr&gt;
&lt;td&gt;&lt;p&gt;&lt;b&gt;Operador aritmético&lt;/b&gt;&lt;/p&gt;&lt;/td&gt;
&lt;td&gt;&lt;p&gt;&lt;b&gt;Significado&lt;/b&gt;&lt;/p&gt;&lt;/td&gt;
&lt;td&gt;&lt;p&gt;&lt;b&gt;Ejemplo&lt;/b&gt;&lt;/p&gt;&lt;/td&gt;
&lt;/tr&gt;
&lt;tr&gt;
&lt;td&gt;&lt;p&gt;+ (signo más)&lt;/p&gt;&lt;/td&gt;
&lt;td&gt;&lt;p&gt;Suma&lt;/p&gt;&lt;/td&gt;
&lt;td&gt;&lt;p&gt;3+3&lt;/p&gt;&lt;/td&gt;
&lt;/tr&gt;
&lt;tr&gt;
&lt;td&gt;&lt;p&gt;- (signo menos)&lt;/p&gt;&lt;/td&gt;
&lt;td&gt;&lt;p&gt;Resta&lt;/p&gt;&lt;/td&gt;
&lt;td&gt;&lt;p&gt;3-1&lt;/p&gt;&lt;/td&gt;
&lt;/tr&gt;
&lt;tr&gt;
&lt;td&gt;&lt;p&gt;- (signo menos)&lt;/p&gt;&lt;/td&gt;
&lt;td&gt;&lt;p&gt;Negación&lt;/p&gt;&lt;/td&gt;
&lt;td&gt;&lt;p&gt;-1&lt;/p&gt;&lt;/td&gt;
&lt;/tr&gt;
&lt;tr&gt;
&lt;td&gt;&lt;p&gt;* (asterisco)&lt;/p&gt;&lt;/td&gt;
&lt;td&gt;&lt;p&gt;Multiplicaci&amp;oacute;n&lt;/p&gt;&lt;/td&gt;
&lt;td&gt;&lt;p&gt;6*3&lt;/p&gt;&lt;/td&gt;
&lt;/tr&gt;
&lt;tr&gt;
&lt;td&gt;&lt;p&gt;/ (barra oblicua)&lt;/p&gt;&lt;/td&gt;
&lt;td&gt;&lt;p&gt;División&lt;/p&gt;&lt;/td&gt;
&lt;td&gt;&lt;p&gt;6/3&lt;/p&gt;&lt;/td&gt;
&lt;/tr&gt;
&lt;tr&gt;
&lt;td&gt;&lt;p&gt;% (signo de porcentaje)&lt;/p&gt;&lt;/td&gt;
&lt;td&gt;&lt;p&gt;Porcentaje&lt;/p&gt;&lt;/td&gt;
&lt;td&gt;&lt;p&gt;20%&lt;/p&gt;&lt;/td&gt;
&lt;/tr&gt;
&lt;tr&gt;
&lt;td&gt;&lt;p&gt;^ (circunflejo)&lt;/p&gt;&lt;/td&gt;
&lt;td&gt;&lt;p&gt;Potencia&lt;/p&gt;&lt;/td&gt;
&lt;td&gt;&lt;p&gt;3^2&lt;/p&gt;&lt;/td&gt;
&lt;/tr&gt;
&lt;/tbody&gt;
&lt;/table&gt;
&lt;/div&gt;</t>
  </si>
  <si>
    <t>Para calcular en una celda el valor de la cuarta potencia de 3 (3 elevado a 4) hemos de introducir:</t>
  </si>
  <si>
    <t>La expresión: 3e4</t>
  </si>
  <si>
    <t xml:space="preserve">No es correcto. Hay que ser muy cuidadoso para que no dé un error.
</t>
  </si>
  <si>
    <t xml:space="preserve">Hay que ser muy cuidadoso para que no dé un error.
</t>
  </si>
  <si>
    <t>La expresión: =3e4</t>
  </si>
  <si>
    <t>La expresión: 3^4</t>
  </si>
  <si>
    <t>La expresión: =3^4</t>
  </si>
  <si>
    <t>&lt;p&gt;En las expresiones aritméticas no sólo
podemos introducir constantes numéricas, sino que la gran potencial de Excel
radica en la posibilidad de utilizar los valores que están contenidos en otras
celdas en cada momento. Para hacerlo, introduciremos en la expresión aritmética
el nombre de la celda (letra de la columna y número de fila) que contiene el
dato a utilizar.&lt;/p&gt;
&lt;p&gt;Las referencias a celdas de la hoja se pueden introducir
desde el teclado, o bien directamente haciendo &lt;i&gt;click&lt;/i&gt; sobre la celdas
correspondiente.&lt;/p&gt;
&lt;p&gt;En el momento validemos la expresión
pulsando &lt;i&gt;Intro&lt;/i&gt;, en la celda se mostrará el resultado de la expresión
considerando el valor actual de las celdas referenciadas.&lt;/p&gt;</t>
  </si>
  <si>
    <t>Recuerde el signo que se utiliza para el operador producto, así como que las expresiones calculadas deben comenzar por…</t>
  </si>
  <si>
    <t>La expresión: A2xB2</t>
  </si>
  <si>
    <t>La expresión: =A2xB2</t>
  </si>
  <si>
    <t>La expresión: A2*B2</t>
  </si>
  <si>
    <t>La expresión: =A2*B2</t>
  </si>
  <si>
    <t>&lt;p&gt;Si se combinan varios operadores en una única fórmula, Excel
ejecutará las operaciones en el orden que se indica en la tabla a continuación:&lt;/p&gt;
&lt;table class="MsoNormalTable" style="border: none;" border="1"&gt;
&lt;tbody&gt;
&lt;tr&gt;
&lt;td&gt;&lt;p&gt;&lt;b&gt;Orden&lt;/b&gt;&lt;/p&gt;&lt;/td&gt;
&lt;td&gt;&lt;p&gt;&lt;b&gt;Operador&lt;/b&gt;&lt;/p&gt;&lt;/td&gt;
&lt;td&gt;&lt;p&gt;&lt;b&gt;Descripción&lt;/b&gt;&lt;/p&gt;&lt;/td&gt;
 &lt;/tr&gt;
 &lt;tr&gt;
&lt;td&gt;&lt;p&gt;1&lt;/p&gt;&lt;/td&gt;
&lt;td&gt;&lt;p&gt;-&lt;/p&gt;&lt;/td&gt;
&lt;td&gt;&lt;p&gt;Negación (como en -1)&lt;/p&gt;&lt;/td&gt;
 &lt;/tr&gt;
 &lt;tr&gt;
&lt;td&gt;&lt;p&gt;2&lt;/p&gt;&lt;/td&gt;
&lt;td&gt;&lt;p&gt;%&lt;/p&gt;&lt;/td&gt;
&lt;td&gt;&lt;p&gt;Porcentaje&lt;/p&gt;&lt;/td&gt;
 &lt;/tr&gt;
 &lt;tr&gt;
&lt;td&gt;&lt;p&gt;3&lt;/p&gt;&lt;/td&gt;
&lt;td&gt;&lt;p&gt;^&lt;/p&gt;&lt;/td&gt;
&lt;td&gt;&lt;p&gt;Potencia&lt;/p&gt;&lt;/td&gt;
 &lt;/tr&gt;
 &lt;tr&gt;
&lt;td&gt;&lt;p&gt;4&lt;/p&gt;&lt;/td&gt;
&lt;td&gt;&lt;p&gt;* y /&lt;/p&gt;&lt;/td&gt;
&lt;td&gt;&lt;p&gt;Multiplicación y división&lt;/p&gt;&lt;/td&gt;
 &lt;/tr&gt;
 &lt;tr&gt;
&lt;td&gt;&lt;p&gt;5&lt;/p&gt;&lt;/td&gt;
&lt;td&gt;&lt;p&gt;+ y -&lt;/p&gt;&lt;/td&gt;
&lt;td&gt;&lt;p&gt;Suma y resta&lt;/p&gt;&lt;/td&gt;
 &lt;/tr&gt;
&lt;/tbody&gt;
&lt;/table&gt;
&lt;p&gt;Si una fórmula contiene operadores con la misma prioridad
(por ejemplo, si una fórmula contiene un operador de multiplicación y otro de
división), se evaluarán los operadores de izquierda a derecha.&lt;/p&gt;
&lt;p&gt;Para cambiar el orden de evaluación, escribiremos entre
paréntesis la parte de la expresión que deberá calcularse en primer lugar.&lt;/p&gt;</t>
  </si>
  <si>
    <t>La expresión: =A1+A2*A3/A4+A5</t>
  </si>
  <si>
    <t>Hay que fijarse bien en las operaciones pedidas, y en el orden en que por defecto se realizan.</t>
  </si>
  <si>
    <t>No es correcto: Hay que fijarse bien en las operaciones pedidas, y en el orden en que por defecto se realizan.</t>
  </si>
  <si>
    <t>La expresión: =(A1+A2*A4)/A3+A5</t>
  </si>
  <si>
    <t>La expresión: =A1+A2*A3/(A4+A5)</t>
  </si>
  <si>
    <t>La expresión: =(A1+A2*A4)/(A3+A5)</t>
  </si>
  <si>
    <t>&lt;p&gt;En cualquier momento, el resultado de una
expresión aritmética mostrado en una celda puede ser punto de partida para el
cálculo de una nueva expresión, cuyo resultado se mostrará en otra celda de la
hoja. Para ello introduciremos en esta última celda una nueva expresión que
haga referencia a la celda que contiene el resultado de la primera.&lt;/p&gt;</t>
  </si>
  <si>
    <t>&lt;p&gt;Tenemos en las celdas A1 hasta A5 respectivamente los valores 6, 3, 2, 5 y 1. Indicar qué expresión debemos introducir en A6 para calcular:&lt;/p&gt;
  &lt;p align="center"&gt;
    &lt;img src="/static/w1_exam_1.png"/&gt;
  &lt;/p&gt;</t>
  </si>
  <si>
    <t>&lt;p&gt;En lugar de la expresión anterior, con los mismos valores, indicar la expresión con la que podremos ahora calcular:&lt;/p&gt;
  &lt;p align="center"&gt;
    &lt;img src="/static/w1_exam_2.png"/&gt;
  &lt;/p&gt;</t>
  </si>
  <si>
    <t>La expresión: =A5+A2*A4/A3*A1</t>
  </si>
  <si>
    <t>La expresión: =A5+A2*A4/A3/A1</t>
  </si>
  <si>
    <t>La expresión: =(A5+A2*A4)/A3*A1</t>
  </si>
  <si>
    <t>La expresión: =(A5+A2*A4)/A3/A1</t>
  </si>
  <si>
    <t>No es correcto. Hay que fijarse bien en las operaciones pedidas, y en el orden en que por defecto se realizan.</t>
  </si>
  <si>
    <t>&lt;p&gt;Indicar qué expresión debemos introducir en una celda para calcular:&lt;/p&gt;
  &lt;p align="center"&gt;
    &lt;img src="/static/w1_exam_3.png"/&gt;
  &lt;/p&gt;</t>
  </si>
  <si>
    <t>La expresión: =27/(3+6)+(14-1)^3*(2+3-1)/2/(14-3)</t>
  </si>
  <si>
    <t>Es my importante darse cuenta de cómo poner correctamente los productos en los denominadores.</t>
  </si>
  <si>
    <t>No es correcto. Es my importante darse cuenta de cómo poner correctamente los productos en los denominadores.</t>
  </si>
  <si>
    <t>Resumen</t>
  </si>
  <si>
    <t>Glosario</t>
  </si>
  <si>
    <t>&lt;h2&gt;Glosario&lt;/h2&gt;
&lt;p&gt;&lt;b&gt;&lt;i&gt;Click&lt;/i&gt;&lt;/b&gt;: Situar por medio del ratón el puntero
sobre un elemento del área de visualización, y dar un golpe al botón izquierdo
del ratón. Normalmente sirve para señalar el elemento o marcar una posición.&lt;/p&gt;
&lt;p&gt;&lt;b&gt;&lt;i&gt;Doble Click&lt;/i&gt;&lt;/b&gt;: Situar por medio del ratón el
puntero sobre un elemento, y dar dos golpes consecutivos al botón izquierdo del
ratón. Normalmente sirve para seleccionar o abrir un elemento, o ejecutar una
orden.&lt;/p&gt;
&lt;p&gt;&lt;b&gt;&lt;i&gt;Drag&lt;/i&gt;&lt;/b&gt;: Situar por medio del ratón el puntero
sobre un elemento del programa, pulsar el botón izquierdo del ratón, desplazar
el ratón a lo largo de una serie de elementos, y finalmente soltar la pulsación
del botón. Normalmente se utiliza para seleccionar una serie de elementos o
mover una selección anterior.&lt;/p&gt;</t>
  </si>
  <si>
    <t xml:space="preserve">&lt;h2&gt;Resumen&lt;/h2&gt;
&lt;p&gt;Si quiere, puede conservar &lt;a title="Resumen Unidad 1" href="/static/Resumen_Unidad-1.Empezar_a_trabajar_con_Excel.pdf" target="_blank"&gt;esta ficha&lt;/a&gt; con la infomación más relevante de esta unidad, como resumen o para futuras consultas.&lt;/p&gt;
</t>
  </si>
  <si>
    <t>Solución ejercicio 1</t>
  </si>
  <si>
    <t>&lt;h2&gt;Ejercicio Práctico 1&lt;/h2&gt;
&lt;ul&gt;
 &lt;li&gt;Abrir la Aplicación Microsoft Excel y maximizar la ventana.&lt;/li&gt;
 &lt;li&gt;Examinar los elementos de pantalla. Localizar la barra de herramientas, la barra de fórmulas, el área de trabajo, la barra de estado y las etiquetas de la hoja.&lt;/li&gt;
 &lt;li&gt;Introducir los valores numéricos 6 y 2 en las celdas A1 y A2.
     Introducir en la celda A3 una expresión que calcule la suma de ambas
     cantidades.&lt;/li&gt;
 &lt;li&gt;En las celdas siguientes calcular la diferencia entre el primero y el segundo, su producto, el cociente entre el primero y el segundo y el resultado de elevar el primero de ellos a la potencia que indica el segundo.&lt;/li&gt;
 &lt;li&gt;Introducir en la celda A8 la suma de los cinco valores obtenidos
     anteriormente.&lt;/li&gt;
&lt;/ul&gt;</t>
  </si>
  <si>
    <t>Solución ejercicio 2</t>
  </si>
  <si>
    <t>Solución ejercicio 3</t>
  </si>
  <si>
    <t>Solución ejercicio 4</t>
  </si>
  <si>
    <t>&lt;h2&gt;Ejercicio Práctico 2&lt;/h2&gt;
&lt;ul&gt;
 &lt;li&gt;Cambiar el contenido de la celda A2 por el valor numérico 3;
     observar el efecto obtenido en todas las celdas con valores calculados.&lt;/li&gt;
 &lt;li&gt;Deshacer este último cambio.&lt;/li&gt;
&lt;/ul&gt;</t>
  </si>
  <si>
    <t>&lt;h2&gt;Ejercicio Práctico 3&lt;/h2&gt;
&lt;ul&gt;
&lt;li&gt;Calcular la expresión:&lt;/li&gt;
&lt;/ul&gt;
&lt;p&gt;[mathjax]\frac{3+6}{2}[/mathjax]&lt;/p&gt;</t>
  </si>
  <si>
    <t>&lt;h2&gt;Ejercicio Práctico 4&lt;/h2&gt;
&lt;ul&gt;
&lt;li&gt;Calcular la expresión:&lt;/li&gt;
&lt;/ul&gt;
&lt;p&gt;[mathjax](\frac{3+6}{2}+(4+2)^2)*\frac{2+3-1}{2}[/mathjax]&lt;/p&gt;</t>
  </si>
  <si>
    <t>La expresión: =27/(3+6)+(14-1)^3*2+3-1/2*(14-3)</t>
  </si>
  <si>
    <t>La expresión: =27/3+6+(14-1)^3*(2+3-1)/2/(14-3)</t>
  </si>
  <si>
    <t>La expresión: =27/(3+6)+(14-1)^3*2+3-1/(2*14-3)</t>
  </si>
  <si>
    <t>Explicación</t>
  </si>
  <si>
    <t>seccion1</t>
  </si>
  <si>
    <t>&lt;h2&gt;Parte 1: Toma de datos iniciales&lt;/h2&gt;
&lt;p&gt;Nos piden colaborar en la organización del viaje de un equipo deportivo juvenil, que pretende competir en el "Campeonato Nacional de Sófbol" en su categoría. 
La colaboración consiste en ayudar a confeccionar una estimación de los gastos que se van a producir y proponer un reparto de los mismos entre todos los participantes, de modo que cada uno de ellos pueda hacerse una idea precisa de lo que le va a costar participar en el torneo.&lt;/p&gt;</t>
  </si>
  <si>
    <t>La primera tarea que nos planteamos es ver el número de personas que están involucradas en el proyecto: contamos en principio con 15 jugadoras, 4 entrenadoras y una directiva delegada del equipo. Con estos datos de partida, pensamos que la decisión más acertada es:</t>
  </si>
  <si>
    <t>Como los valores son muy sencillos, los retenemos en la memoria para más adelante.</t>
  </si>
  <si>
    <t>Vemos fácilmente que la suma es 20, y retenemos este dato para cuando sea necesario.</t>
  </si>
  <si>
    <t>Pensamos en usar una hoja de cálculo como Excel para solucionar el problema global, y decidimos comenzar anotando en una casilla cada una de esas cantidades.</t>
  </si>
  <si>
    <t>Pensamos en usar una hoja de cálculo como Excel para solucionar el problema global, y decidimos comenzar anotando en una casilla la operación suma de esas cantidades.</t>
  </si>
  <si>
    <t>Pensando en el problema global, conviene comenzar cuanto antes a anotar todos los datos de partida en distintas celdas de la hoja, para poder seguir construyendo a partir de ellos todos los cálculos necesarios.</t>
  </si>
  <si>
    <t>A continuación preguntamos los precios de alquiler del autobús, y nos dan dos opciones: 1.100€ el de 25 plazas, y 1.400 el de 50. Pensando en minimizar al máximo el coste, consideramos inicialmente contratar el primero de ellos, y por consiguiente:</t>
  </si>
  <si>
    <t>Anotamos en una celda de la hoja la cantidad 20, por ser éste el número de plazas del autobús seleccionado en principio.</t>
  </si>
  <si>
    <t>Anotamos en sendas celdas de la hoja las cantidades 20 y 50, por ser éstas las posibilidades que tenemos respecto del número de plazas de autobús.</t>
  </si>
  <si>
    <t>Anotamos en una celda de la hoja la cantidad 1100, por ser éste el precio total del autobús seleccionado en principio.</t>
  </si>
  <si>
    <t>Anotamos en una celda de la hoja la cantidad 44, por ser éste el número resultante de dividir el precio total del autobús seleccionado en principio por el número de plazas de que dispone.</t>
  </si>
  <si>
    <t>Conviene siempre tener los datos originales de partida, y a partir de ahí ir construyendo los cálculos.</t>
  </si>
  <si>
    <t xml:space="preserve">&lt;h2&gt;Parte 2: Primeros cálculos&lt;/h2&gt;
&lt;p&gt;Si tenemos la precaución de introducir los datos anteriores de una manera algo desahogada, tendremos una hoja de aspecto similar a este:&lt;/p&gt;
&lt;p align="center"&gt;&lt;img src="/static/w1_exam_4.png"/&gt;&lt;/p&gt; </t>
  </si>
  <si>
    <t>Con esta hoja es ahora muy sencillo calcular la cantidad total de personas del equipo que está previsto se desplacen en autobús, y para ello introduciremos en la celda B6:</t>
  </si>
  <si>
    <t>=20</t>
  </si>
  <si>
    <t>=B3+B4+B5</t>
  </si>
  <si>
    <t>15+4+1</t>
  </si>
  <si>
    <t>=15+4+1</t>
  </si>
  <si>
    <t>Sin duda hay que introducir una expresión (comienza con el signo = ) que haga referencia a las celdas que tiene como contenido el número de personas de cada categoría.</t>
  </si>
  <si>
    <t>Ahora resulta fácil dividir el precio del autobús de 25 plazas entre los distintos participantes, para lo cual introduciremos en la celda B9 la expresión:</t>
  </si>
  <si>
    <t>1100/20</t>
  </si>
  <si>
    <t>B8/20</t>
  </si>
  <si>
    <t>=B8/B6</t>
  </si>
  <si>
    <t>Siempre hay que hacer referencia a las celdas que contienen los datos.</t>
  </si>
  <si>
    <t>Una alternativa a la expresión anterior, válida también pero un poco más complicada, podría haber sido:</t>
  </si>
  <si>
    <t>=B8/B3+B4+B5</t>
  </si>
  <si>
    <t>=B8/(B3+B4+B5)</t>
  </si>
  <si>
    <t>=(B8/B3+B4+B5)</t>
  </si>
  <si>
    <t>=B8(/B3+B4+B5)</t>
  </si>
  <si>
    <t>Hay que ser muy cuidadoso con las expresiones que presentan distintos tipos de operador aritmético, y tener en cuanta cuáles se evalúan antes.</t>
  </si>
  <si>
    <t>&lt;h2&gt;Parte 3: Algunos cambios&lt;/h2&gt;
&lt;p&gt;Se nos presenta la posibilidad de incrementar el tamaño de la expedición con la incorporación de 2 jugadoras del equipo cadete, y otra persona en el grupo de delegados del equipo.&lt;/p&gt;</t>
  </si>
  <si>
    <t>En estas condiciones, ¿qué nuevos valores pondría en las distintas celdas de la hoja para realizar un nuevo cálculo del coste de cada persona?</t>
  </si>
  <si>
    <t>El valor 2 en la celda B3 y el 1 en la B5</t>
  </si>
  <si>
    <t>El valor 2 en las celdas B3 y B5</t>
  </si>
  <si>
    <t>El valor 17 en la celda B3 y el 2 en la B5</t>
  </si>
  <si>
    <t>El valor 23 en la celda B6</t>
  </si>
  <si>
    <t>Cuando varía la situación de alguno de los datos de partida, hay que ir al origen del mismo y sustituirlo por su nuevo valor. Por eso es importante tener todos los valores de forma explícita en sus celdillas.</t>
  </si>
  <si>
    <t>¿Por cuánto le resulta ahora el viaje a cada persona?</t>
  </si>
  <si>
    <t>47,83 €</t>
  </si>
  <si>
    <t>43,87 €</t>
  </si>
  <si>
    <t>74,38 €</t>
  </si>
  <si>
    <t>38,47 €</t>
  </si>
  <si>
    <t>Sustituyendo por los valores adecuados a la nueva situación, obtendremos el nuevo resultado en la última celda.</t>
  </si>
  <si>
    <t>Introducimos el valor 50 en la celda B8</t>
  </si>
  <si>
    <t>Introducimos el valor 300 en la celda B8</t>
  </si>
  <si>
    <t>Introducimos el valor 1400 en la celda B8</t>
  </si>
  <si>
    <t>Introducimos la expresión =B3+B4+B5 en la celda B8</t>
  </si>
  <si>
    <t>Cambiamos el valor afectado por la nueva situación.</t>
  </si>
  <si>
    <t>En estas condiciones, el precio por el que se presupuesta a cada persona el viaje:</t>
  </si>
  <si>
    <t>Aumenta a 60,87 €</t>
  </si>
  <si>
    <t>Aumenta a 87,60 €</t>
  </si>
  <si>
    <t>Disminuye a 60,87 €</t>
  </si>
  <si>
    <t>Disminuye a 87,60 €</t>
  </si>
  <si>
    <t>Vemos la facilidad de cambiar los supuestos de partida para evaluar diferentes alternativas.</t>
  </si>
  <si>
    <t>Con todo ello, podemos decir que la potencia del Excel reside en que:</t>
  </si>
  <si>
    <t>Es como una calculadora.</t>
  </si>
  <si>
    <t>Permite apuntar y guardar los datos numéricos y realizar operaciones.</t>
  </si>
  <si>
    <t>Permite almacenar datos numéricos y de tipo texto para identificar su significado.</t>
  </si>
  <si>
    <t>Permite guadar datos numéricos y estructurar operaciones entre ellos de modo que es fácil analizar diferentes supuestos.</t>
  </si>
  <si>
    <t>Por ello son muy útiles los programas de manejo de hojas de cálculo.</t>
  </si>
  <si>
    <t>Al ver que llegamos al valor máximo de la capacidad del autobús seleccionado, nos planteamos viajar más cómodamente (y poder aceptar así más incorporaciones de última hora), por lo que decidimos contratar el de 50 plazas. ¿Cómo procedemos ahora?</t>
  </si>
  <si>
    <t>&lt;h2&gt;Introducción&lt;/h2&gt;
&lt;p&gt;Excel trabaja con diferentes tipos de datos, que se
introducen en esta unidad. Los tipos principales que se utilizan son los
numéricos y los alfanuméricos, aunque también se puede trabajar con fechas y
horas, e incluso con datos de tipo lógico.&lt;/p&gt;
&lt;p&gt;Por otra parte, en muchas ocasiones trabajaremos no
únicamente con un dato cada vez, sino con un conjunto de ellos. Se introduce
por tanto el concepto de rango, y se describen las principales operaciones que
se pueden hacer con ellos.&lt;/p&gt;
&lt;p&gt;Finalmente, la gran potencia de Excel reside en la facilidad
con que se puede hacer referencia al contenido de las celdas. Definiremos los
diferentes tipos de referencia, y aprenderemos a utilizarlas correctamente.&lt;/p&gt;</t>
  </si>
  <si>
    <t>&lt;h2&gt;Objetivos&lt;/h2&gt;
&lt;p&gt;Los objetivos que se persiguen en el desarrollo de esta unidad son los siguientes:&lt;/p&gt;
&lt;ul&gt;
&lt;li&gt;&lt;span style="font-size: 1em; line-height: 1.6em;"&gt;Conocer cuáles son los tipos
     de datos con los que puede trabajar Excel.&lt;/span&gt;&lt;/li&gt;
&lt;li&gt;&lt;span style="font-size: 1em; line-height: 1.6em;"&gt;Familiarizarse con el manejo
     de rangos de celdas.&lt;/span&gt;&lt;/li&gt;
&lt;li&gt;&lt;span style="font-size: 1em; line-height: 1.6em;"&gt;Utilizar correctamente las
     referencias a otras celdas.&lt;/span&gt;&lt;/li&gt;
&lt;li&gt;&lt;span style="font-size: 1em; line-height: 1.6em;"&gt;Conocer el funcionamiento del
     patrón de relleno.&lt;/span&gt;&lt;/li&gt;
&lt;/ul&gt;</t>
  </si>
  <si>
    <t>&lt;p&gt;Dentro de las celdas de la hoja es posible introducir
información de muy diversos tipos. En general, las hojas de Excel utilizarán
siempre datos de dos tipos concretos: números y texto (también llamados datos
numéricos y alfanuméricos); no obstante hay otros tipos de datos que pueden
utilizarse en hojas más complejas.&lt;/p&gt;</t>
  </si>
  <si>
    <t>&lt;p&gt;(Hay una pequeña errata en la transparencia que se utiliza al comienzo del vídeo, ya que el resultado final no es 27; seguramente ya habréis obtenido el valor correcto, ¿verdad? :-)&lt;/p&gt;</t>
  </si>
  <si>
    <t>Solución ejercicio 5</t>
  </si>
  <si>
    <t xml:space="preserve">&lt;h2&gt;Ejercicio Práctico 1&lt;/h2&gt;
&lt;ul&gt;
 &lt;li&gt;Abrir la Aplicación Microsoft Excel. Suponiendo que queremos repasar
     el presupuesto que tenemos para la adquisición de una serie de muebles,
     introducir en la hoja los datos que aparecen a continuación: &lt;/li&gt;
&lt;p&gt;&lt;img src="/static/s28_image001.jpg"&gt;&lt;/p&gt;
 &lt;li&gt;Introducir en la celda D1 el valor de tipo texto “Neto”. &lt;/li&gt;
 &lt;li&gt;En la columna D calcular, para cada fila, el valor neto de cada
     concepto, que se deduce del precio unitario y de la cantidad de unidades
     que queremos comprar.&lt;/li&gt;
&lt;/ul&gt;
</t>
  </si>
  <si>
    <t>&lt;h2&gt;Ejercicio Práctico 2&lt;/h2&gt;
&lt;ul&gt;
 &lt;li&gt;Introducir en la celda A9 el valor de tipo texto “Suma”. &lt;/li&gt;
 &lt;li&gt;Calcular en la celda más adecuada la suma prevista de dinero que
     prevemos gastar en la adquisición de todos los muebles indicados.&lt;/li&gt;
&lt;/ul&gt;</t>
  </si>
  <si>
    <t>&lt;h2&gt;Ejercicio Práctico 3&lt;/h2&gt;
&lt;ul&gt;
 &lt;li&gt;Si de la cantidad económica de que disponemos es de 570 €, deducir
     cuántas sillas de forja podremos finalmente adquirir, para no rebasar tal
     cantidad.&lt;/li&gt;
&lt;/ul&gt;</t>
  </si>
  <si>
    <t>&lt;h2&gt;Ejercicio Práctico 4&lt;/h2&gt;
&lt;ul&gt;
 &lt;li&gt;Al ir a pagar, nos advierten de que al ser el primer día de rebajas,
     cosa que no habíamos advertido, la cuenta se ve afectada de una reducción
     del 10%. Introducir en la celda A10 el valor de tipo texto “Descuento”, y
     en la C10 el valor numérico 10%. &lt;/li&gt;
 &lt;li&gt;Calcular la cantidad total a que asciende ahora lo que deseamos
     comprar. &lt;/li&gt;
 &lt;li&gt;Guardar la hoja.&lt;/li&gt;
&lt;/ul&gt;</t>
  </si>
  <si>
    <t>&lt;h2&gt;Ejercicio Práctico 5&lt;/h2&gt;
&lt;ul&gt;
 &lt;li&gt;Nos dicen finalmente que, por liquidación de existencias, para todas
     las sillas el descuento es del 25%. Insertar una nueva columna entre las
     de «Precio» y «Cantidad», etiquetada «Descuento» para el precio de
     liquidación descontado. &lt;/li&gt;
 &lt;li&gt;Introducir en una celda el valor de tipo texto “Descuento
     liquidación”, y en otra el valor numérico 25%. &lt;/li&gt;
 &lt;li&gt;Calcular el valor descontado para las sillas, utilizando una
     referencia a la celda correspondiente, y obtener la nueva cantidad total
     de lo que deseamos comprar. &lt;/li&gt;
 &lt;li&gt;Guardar la hoja.&lt;/li&gt;
&lt;/ul&gt;</t>
  </si>
  <si>
    <t>&lt;problem&gt;
&lt;p&gt;Si nos posicionamos una celda de Excel y tecleamos cada una de las siguientes opciones, indique todas aquellas que darán como resultado la introducción de un dato de tipo numérico en la celda:&lt;/p&gt;
&lt;choiceresponse&gt;
  &lt;checkboxgroup direction="vertical"&gt;
    &lt;choice correct="true"&gt;-327,576&lt;/choice&gt;
    &lt;choice correct="false"&gt;Cinco&lt;/choice&gt;
    &lt;choice correct="false"&gt;=cinco&lt;/choice&gt;
    &lt;choice correct="true"&gt;(321)&lt;/choice&gt;
    &lt;choice correct="true"&gt;25,50%&lt;/choice&gt;
    &lt;choice correct="true"&gt;153€&lt;/choice&gt;
    &lt;choice correct="false"&gt;21*52&lt;/choice&gt;
    &lt;choice correct="false"&gt;1/5&lt;/choice&gt;
    &lt;choice correct="true"&gt;9999999999999&lt;/choice&gt;
    &lt;choice correct="false"&gt;############&lt;/choice&gt;
  &lt;/checkboxgroup&gt;
&lt;/choiceresponse&gt;
&lt;/problem&gt;</t>
  </si>
  <si>
    <t>&lt;problem&gt;
&lt;p&gt;Si nos posicionamos una celda de Excel y tecleamos cada una de las siguientes opciones, indique todas aquellas que darán como resultado la introducción de un dato de tipo texto en la celda:&lt;/p&gt;
&lt;choiceresponse&gt;
  &lt;checkboxgroup direction="vertical"&gt;
    &lt;choice correct="true"&gt;Total&lt;/choice&gt;
    &lt;choice correct="false"&gt;=total&lt;/choice&gt;
    &lt;choice correct="false"&gt;=20*33&lt;/choice&gt;
    &lt;choice correct="true"&gt;Móvil: 777 666 555&lt;/choice&gt;
    &lt;choice correct="true"&gt;777 666 555&lt;/choice&gt;
    &lt;choice correct="true"&gt;1 Trim&lt;/choice&gt;
    &lt;choice correct="true"&gt;Trimestre 1&lt;/choice&gt;
    &lt;choice correct="false"&gt;2:2&lt;/choice&gt;
    &lt;choice correct="false"&gt;12/12/2012&lt;/choice&gt;
    &lt;choice correct="false"&gt;€ 500&lt;/choice&gt;
  &lt;/checkboxgroup&gt;
&lt;/choiceresponse&gt;
&lt;/problem&gt;</t>
  </si>
  <si>
    <t>&lt;problem&gt;
&lt;p&gt;Si nos posicionamos una celda de Excel y tecleamos cada una de las siguientes opciones, indique todas aquellas que darán como resultado la introducción de un dato de tipo fecha y hora en la celda:&lt;/p&gt;
&lt;choiceresponse&gt;
  &lt;checkboxgroup direction="vertical"&gt;
    &lt;choice correct="false"&gt;13/13/2013&lt;/choice&gt;
    &lt;choice correct="true"&gt;10-2010&lt;/choice&gt;
    &lt;choice correct="true"&gt;9/7/13 18:05&lt;/choice&gt;
    &lt;choice correct="true"&gt;25:12&lt;/choice&gt;
    &lt;choice correct="false"&gt;junio&lt;/choice&gt;
    &lt;choice correct="true"&gt;Junio 2013&lt;/choice&gt;
    &lt;choice correct="false"&gt;0 1/4&lt;/choice&gt;
    &lt;choice correct="false"&gt;12:24:01:05&lt;/choice&gt;
    &lt;choice correct="true"&gt;18/9/2013 9 am&lt;/choice&gt;
    &lt;choice correct="false"&gt;14/7/2012 1pm&lt;/choice&gt;
  &lt;/checkboxgroup&gt;
&lt;/choiceresponse&gt;
&lt;/problem&gt;</t>
  </si>
  <si>
    <t>&lt;problem&gt;
&lt;p&gt;Si nos posicionamos una celda de Excel y tecleamos cada una de las siguientes opciones, indique todas aquellas que darán como resultado la introducción de un dato de tipo lógico en la celda:&lt;/p&gt;
&lt;choiceresponse&gt;
  &lt;checkboxgroup direction="vertical"&gt;
    &lt;choice correct="true"&gt;Verdadero&lt;/choice&gt;
    &lt;choice correct="true"&gt;verdadero&lt;/choice&gt;
    &lt;choice correct="true"&gt;Falso&lt;/choice&gt;
    &lt;choice correct="true"&gt;falso&lt;/choice&gt;
    &lt;choice correct="false"&gt;Si/No&lt;/choice&gt;
    &lt;choice correct="false"&gt;1/0&lt;/choice&gt;
    &lt;choice correct="false"&gt;5=6&lt;/choice&gt;
    &lt;choice correct="true"&gt;=5=5&lt;/choice&gt;
    &lt;choice correct="true"&gt;=5/16=0,3&lt;/choice&gt;
    &lt;choice correct="false"&gt;=A=B&lt;/choice&gt;
  &lt;/checkboxgroup&gt;
&lt;/choiceresponse&gt;
&lt;/problem&gt;</t>
  </si>
  <si>
    <t>Este es el procedimiento por defecto y el más intuitivo, pues estamos acostumbrados a escribir de izquierda a derecha, pero cuando encolumnamos números preferimos que coincidan las unidades, decenas, etc. de todos ellos.</t>
  </si>
  <si>
    <t>&lt;p&gt;En general, construiremos hojas de cálculo introduciendo
operaciones sobre el contenido de una determinada celda, para lo que haremos
referencia a la misma. Sin embargo, determinadas operaciones o referencias se
pueden realizar para un conjunto grande de celdas, para lo que haremos
referencia al rango correspondiente.&lt;/p&gt;</t>
  </si>
  <si>
    <t>&lt;p&gt;Un &lt;b&gt;rango&lt;/b&gt; es un conjunto de celdas adyacentes, tanto
en vertical como en horizontal, sobre el que queremos trabajar o referenciar
como un todo. Siempre tendrá una forma “rectangular”, a modo de una matriz
algebraica. Según esto, un rango puede ser una sola celda, o toda la hoja de
cálculo, o una columna, o una fila, o un trozo de fila, o un trozo de columna,
etc. &lt;/p&gt;
&lt;p&gt;Para seleccionar un rango, haremos &lt;i&gt;drag&lt;/i&gt; con el ratón,
empezando en una de las celdas de las esquinas, y finalizando en la opuesta. &lt;/p&gt;
&lt;p&gt;También podemos referenciar los rangos mediante las
direcciones de las celdas de las esquinas superior izquierda e inferior derecha
separadas por el caracter “:” &lt;/p&gt;
&lt;p&gt;El rango que tengamos seleccionado en cada momento nos
aparecerá marcado en vídeo inverso, es decir con el fondo negro. Para cambiar
la selección a cualquier otra celda o rango, simplemente hay que volver a hacer
&lt;i&gt;click&lt;/i&gt; o &lt;i&gt;drag&lt;/i&gt; sobre la nueva selección. &lt;/p&gt;</t>
  </si>
  <si>
    <t>Las celdas que lo definen se separan por el caracter ":" y además se escribe primero la superior izquierda.</t>
  </si>
  <si>
    <t>&lt;p&gt;La ventaja de trabajar con rangos es que podemos aplicar una
orden de Excel al conjunto de celdas incluidas en el rango, en vez de tener que
ir celda por celda. Las operaciones básicas con rangos incluyen la selección de
los mismos para aplicarles una orden o la facilidad para asociar nombres
simbólicos a los rangos para hacer referencia a su nombre en vez de a las
celdas que incluye. &lt;/p&gt;
&lt;p&gt;Para seleccionar un rango debemos colocarnos una de las
celdas que se encuentran en la esquina de una de las diagonales del recuadro
que queremos marcar, y provocar un arrastre hacia la esquina opuesta. Mientras
realizamos el arrastre, la zona seleccionada se pone de color negro indicando
el área que se incluye dentro del rango. Al soltar el botón del ratón el rango
queda seleccionado. &lt;/p&gt;
&lt;p&gt;Para mover utilizaremos los métodos habituales en este tipo
de entornos: con los botones &lt;i&gt;Cortar/Copiar/Pegar&lt;/i&gt;
de la Cinta de herramientas, arrastrando con el ratón tras pinchar en el
margen superior del rango seleccionado, o bien con la combinación de teclas
&lt;i&gt;&amp;lt;Ctrl&amp;gt; X&lt;/i&gt; y &lt;i&gt;&amp;lt;Ctrl&amp;gt; V&lt;/i&gt; o con las opciones del menú contextual. &lt;/p&gt;
&lt;p&gt;Para copiar el contenido lo haremos de forma similar:
arrastrando mientras pulsamos &lt;i&gt;&amp;lt;Ctrl&amp;gt;&lt;/i&gt;, mediante la combinación de teclas
&lt;i&gt;&amp;lt;Ctrl&amp;gt; C&lt;/i&gt; y &lt;i&gt;&amp;lt;Ctrl&amp;gt; V&lt;/i&gt; o bien accediendo a la opción del menú
contextual. &lt;/p&gt;</t>
  </si>
  <si>
    <t>Indique lo que ocurre al mover o copiar un rango de celdas:</t>
  </si>
  <si>
    <t>Cuando movemos un rango de celdas las referencias que pueda haber en el mismo se ajustan de modo que la construcción sigue siendo válida.</t>
  </si>
  <si>
    <t>Cuando copiamos un rango de celdas las referencias que pueda haber en el mismo se ajustan de modo que la construcción sigue siendo válida.</t>
  </si>
  <si>
    <t xml:space="preserve">&lt;p&gt;Es posible seleccionar múltiples rangos manteniendo la tecla
&lt;i&gt;Ctrl&lt;/i&gt; pulsada mientras hacemos tantos arrastres como deseemos incluir en
la selección. &lt;/p&gt;
&lt;p&gt;Es importante que todas las selecciones sean homogéneas en
cuando a su tamaño. &lt;/p&gt;
</t>
  </si>
  <si>
    <t>&lt;p&gt;Es posible asociar un nombre
simbólico a un rango. De esta forma, en lugar de referenciar al conjunto de
celdas que lo forman, podemos referenciar a dicho nombre.&lt;/p&gt;
&lt;p&gt;Para utilizar el nombre de un rango, lo primero que hay que
hacer es seleccionarlo, y a continuación accedemos a la opción correspondiente
del menú contextual. A partir de ese momento, el nombre que acabamos de definir
será un sinónimo de las celdas que componen el rango al que referencia. &lt;/p&gt;</t>
  </si>
  <si>
    <t>&lt;p&gt;Anteriormente hemos visto que la manera de referenciar a una
celda concreta de la hoja es indicando primero su identificador de columna
(letra) seguido de su indicador de fila (número).&lt;/p&gt;
&lt;p&gt;Cuando el contenido de una
celda es una fórmula, muchas veces es necesario referenciar a otra celda para
establecer la expresión que evalúa dicha fórmula. Pero existen diversos modos
de incluir esta referencia: de manera relativa a la celda actual, de modo
absoluto, o con ambas características.&lt;/p&gt;</t>
  </si>
  <si>
    <t>Es muy común confundir el caracter "$" con el "AND". Por ello, es recomendable utilizar la tecla F4 para seleccionar la referencia adecuada.</t>
  </si>
  <si>
    <t>En Excel, las referencias a otras celdas son por defecto mixtas, a no ser que se haga uso del carácter "AND"</t>
  </si>
  <si>
    <t>En Excel, las referencias a otras celdas son por defecto imperfectas, a no ser que se haga uso del carácter "AND"</t>
  </si>
  <si>
    <t>&lt;p&gt;Cuando movemos celdas con referencias, la estructura de los
cálculos se conserva. Por otra parte, en el copiado de fórmulas con referencias
a otras celdas, es muy importante que dichas referencias sean del tipo correcto
(absolutas relativas o mixtas), para obtener el resultado que pretendemos. &lt;/p&gt;
&lt;p&gt;Siempre que realizamos una operación de este tipo debemos
siempre comprobar que las referencias que pueda haber a otras celdas se
actualizan convenientemente para conservar la estructura de los cálculos de
manera correcta. &lt;/p&gt;</t>
  </si>
  <si>
    <t xml:space="preserve"> Al copiar hacia la derecha (cambiamos de columna) son los indicadores de éstas (letras) las que cambian sucesivamente en las referencias relativas.</t>
  </si>
  <si>
    <t>&lt;p&gt;Para expandir el contenido de una celda se puede utilizar la
utilidad del patrón de relleno; para ello se pone el cursor sobre el extremo
inferior derecho de la celda activa (o rango seleccionado) y arrastrando
hacia las celdas contiguas. &lt;/p&gt;
&lt;p&gt;La extensión del patrón de relleno es también una manera muy
cómoda de completar series de meses o días de la semana, listas, números con
incrementos constantes, etc. &lt;/p&gt;</t>
  </si>
  <si>
    <t>La acción de copiar una expresión a un rango puede hacerse
de varias maneras (señalar todas ellas):
[x] Mediante las opciones “Copiar” y “Pegar” de la cinta de herramientas.
[x] Mediante las opciones “Copiar” y “Pegar” del menú contextual (botón derecho).
[x] Mediante la opción de expandir el patrón de relleno.
[ ] Reescribiendo la fórmula en cada celda del rango.</t>
  </si>
  <si>
    <t>&lt;h2&gt;Parte 1: Etiquetas&lt;/h2&gt;
&lt;p&gt;Durante la semana hemos ido avanzando las gestiones relacionadas
con la participación en el “Campeonato Nacional de Sófbol Junior” y tenemos
claros algunos pagos como licencias federativas, alojamiento, etc. Abrimos
nuevamente la hoja que habíamos generado para el cálculo del coste del
campeonato, y vemos con estupor que no recordamos exactamente a qué hacía
referencia cada una de las cantidades que teníamos apuntadas:&lt;/p&gt;
&lt;p align="center"&gt;&lt;img src="/static/w2_exam_image001.png"/&gt;&lt;/p&gt;</t>
  </si>
  <si>
    <t>Por ello y debido además que pretendemos aumentar la
complejidad de la hoja con nuevos datos, decidimos etiquetar de alguna manera
cada uno de los conceptos. Y así:</t>
  </si>
  <si>
    <t>Pensamos en utilizar las celdas de una columna, como por
ejemplo la A, a modo de contenedores de información de tipo texto, que nos
indique cada una a qué se refiere la celda contigua.</t>
  </si>
  <si>
    <t>Nos situamos en cada una de las celdas con datos numéricos,
y damos la orden “Insertar” “Comentario”.</t>
  </si>
  <si>
    <t>Ya que la Hoja 1 del libro contiene los datos numéricos,
utilizamos por ejemplo la Hoja 2 para introducir, en las mismas celdas (B3, B4,
etc.) información de tipo texto que nos indique a qué se refiere la celda
equivalente de la Hoja 1.</t>
  </si>
  <si>
    <t>Las hojas de cálculo deben explicarse por sí mismas, tanto para nosotros mismos como para cualquier persona que vaya a leerla con posterioridad.</t>
  </si>
  <si>
    <t>Decidimos llevar una hoja de tipo texto a modo de “bitácora”
donde vamos anotando todo lo que hacemos con la Hoja para recordarlo más
adelante.</t>
  </si>
  <si>
    <t>En cualquiera de los casos en que introduzcamos valores de tipo texto en las distintas celdas vemos que éstos se nos ajustan por defecto:</t>
  </si>
  <si>
    <t>A la izquierda.</t>
  </si>
  <si>
    <t>A la derecha.</t>
  </si>
  <si>
    <t>Al centro.</t>
  </si>
  <si>
    <t>A la posicion del cursor</t>
  </si>
  <si>
    <t>Hay que tener en cuenta que se trata de valores de tipo texto.</t>
  </si>
  <si>
    <t>&lt;p&gt;En la celda A4 creímos introducir la palabra “Entrenadoras” pero en la figura
siguiente sólo vemos “Entrenadora”:&lt;/p&gt;
&lt;p align="center"&gt;&lt;img src="/static/w2_exam_image002.png"/&gt;&lt;/p&gt;
&lt;p&gt;¿Qué es lo que ha ocurrido?:&lt;/p&gt;</t>
  </si>
  <si>
    <t>Sin duda me equivoqué, y el contenido actual de la celda es “Entrenadora”.</t>
  </si>
  <si>
    <t>Seguramente me equivocaría, pues el contenido de la celda es
“Entrenadora”, y si fuese más larga, al no caber en la celda, se habría
rellenado ésta con caracteres “#########”.</t>
  </si>
  <si>
    <t>No se puede saber, pero podría ser “Entrenadoras”; pero como
la palabra no cabe en la celda, al ser un dato de tipo texto se muestra sólo lo
que cabe en ella.</t>
  </si>
  <si>
    <t>Recuerde que son los datos de tipo numérico los que se muestran como “#########” cuando no caben en la celda, y el valor introducido es siempre el que se muestra en la barra de fórmulas.</t>
  </si>
  <si>
    <t>Sin duda el contenido de la celda es “Entrenadoras” por
aparecer esto en la barra de fórmulas, pero como la palabra no cabe en la
celda, y al ser un dato de tipo texto, se muestra sólo lo que cabe en ella.</t>
  </si>
  <si>
    <t>Como vemos que vamos a ir generando con el tiempo distintas versiones de la misma hoja, decidimos anotar la fecha en una celda, en el formato propio del Excel, 
de modo que quede visible para todos; introducimos por tanto la palabra “Fecha” en la celda F2, y en G2 puedo teclear:</t>
  </si>
  <si>
    <t>15 del 5 de 2013</t>
  </si>
  <si>
    <t>15 del 5</t>
  </si>
  <si>
    <t>15 de mayo de 2013</t>
  </si>
  <si>
    <t>15 mayo 2013</t>
  </si>
  <si>
    <t>Hemos de ver que la fecha queda alineada a la derecha de la celda. Si queda a la izquierda, es que habrá considerado el valor como de tipo texto, y no el propio de tipo fecha (numérico) del Excel.</t>
  </si>
  <si>
    <t>&lt;h2&gt;Parte 2: Reubicando la información&lt;/h2&gt;
&lt;p&gt;Consideramos ahora la
inclusión de una serie de gastos individuales de todos los participantes, como
el alojamiento y la dieta de comida: para ambos hemos negociado un precio muy
ventajoso, de 29 y 10 euros diarios, respectivamente.&lt;/p&gt;
&lt;p&gt;Al ver que van a ser varios los conceptos que acarrean gastos
que hay que contemplar, decidimos ponerlos todos en una tabla lo más homogénea
y compacta posible, y para ello incluimos estos datos en la hoja:&lt;/p&gt;
&lt;p align="center"&gt;&lt;img src="/static/w2_exam_image003.png"/&gt;&lt;/p&gt;</t>
  </si>
  <si>
    <t>A la vista del resultado, no estamos excesivamente
satisfechos, pues para el concepto del autobús tenemos tanto el precio total
como el unitario, en distintas filas, cuando parece más razonable tenerlo todo
en la misma; para ello, lo mejor es:</t>
  </si>
  <si>
    <t>Borrar la celda B9 y volver a escribir la expresión que
corresponda en la C8.</t>
  </si>
  <si>
    <t>Copiar el contenido de la celda B9 en la C8, pues las
referencias de la expresión se conservarán, y borrar a continuación la B9.</t>
  </si>
  <si>
    <t>Mover el contenido de la celda B9 en la C8, pues las
referencias de la expresión se conservarán.</t>
  </si>
  <si>
    <t>Dejarlo como está.</t>
  </si>
  <si>
    <t>Es muy importante recordar que las referencias se conservan cuando se mueve la expresión, no cuando se copia.</t>
  </si>
  <si>
    <t>Tampoco ahora nos resulta muy satisfactoria la tabla, pues
en la misma columna tenemos costes totales e individuales; por ello decidimos:</t>
  </si>
  <si>
    <t>Copiar la expresión que ahora tenemos en C8 al rango de
celdas C10:C11</t>
  </si>
  <si>
    <t>Sobreescribir el valor 1400 de B8 con la cantidad que ya
conocemos de 60,87</t>
  </si>
  <si>
    <t>Mover el rango B10:B11 a C10:C11</t>
  </si>
  <si>
    <t>Borrar todo y comenzar de nuevo con toda la información ya
disponible.</t>
  </si>
  <si>
    <t>Es muy recomendable que la información de las tablas sea homogénea, para evitar errores de interpretación y aprovechar la potencia de las expresiones.</t>
  </si>
  <si>
    <t>Finalmente, para consolidar la tabla, vemos como mejor solución:</t>
  </si>
  <si>
    <t>Borrar la fila 9.</t>
  </si>
  <si>
    <t>Mover la fila 9 al comienzo de la hoja, concretamente a la fila 1.</t>
  </si>
  <si>
    <t>Utilizar la fila 9 para poner encabezados de las columnas de
la tabla, como podrían ser: “Concepto” en A8, “Coste Total” en B8 y “Unitario”
en C8.</t>
  </si>
  <si>
    <t>Mover el rango A8:C8 a A9:C9 y utilizar la fila 8 para poner
encabezados de las columnas de la tabla, como podrían ser: “Concepto” en A8,
“Coste Total” en B8 y “Unitario” en C8.</t>
  </si>
  <si>
    <t>Los encabezados, haciendo honor a su nombre, estarán normalmente en la encima de la primera fila de la tabla que contenga datos homogéneos.</t>
  </si>
  <si>
    <t>&lt;h2&gt;Parte 3: Completando la información&lt;/h2&gt;
&lt;p&gt;
Una vez conocido el calendario definitivo de partidos, vemos que será suficiente con dos noches de
alojamiento, aunque habrá que comer tres días.
&lt;/p&gt;</t>
  </si>
  <si>
    <t>¿Cuál de las siguientes tablas contempla mejor esta información?</t>
  </si>
  <si>
    <t>&lt;p&gt;&lt;img src="/static/w2_exam_image004.png"/&gt;&lt;/p&gt;</t>
  </si>
  <si>
    <t>&lt;p&gt;&lt;img src="/static/w2_exam_image005.png"/&gt;&lt;/p&gt;</t>
  </si>
  <si>
    <t>&lt;p&gt;&lt;img src="/static/w2_exam_image006.png"/&gt;&lt;/p&gt;</t>
  </si>
  <si>
    <t>&lt;p&gt;&lt;img src="/static/w2_exam_image007.png"/&gt;&lt;/p&gt;</t>
  </si>
  <si>
    <t>Hay que tener cuidado en introducir los valores que corresponden en las celdas correctas, y usar la información disponible en la hoja para, por medio de expresiones, ir avanzando en la construcción.</t>
  </si>
  <si>
    <t>En el paso anterior, lo más cómodo habrá sido:</t>
  </si>
  <si>
    <t>Introducir en E9 la expresión =C9*D9 y moverla después al rango E10:E11</t>
  </si>
  <si>
    <t>Introducir en E9 la expresión =C9*D9 y copiarla después al rango E10:E11</t>
  </si>
  <si>
    <t>Introducir en E9 la expresión =C9*D9 y moverla después al rango C9:D9</t>
  </si>
  <si>
    <t>Introducir en E9 la expresión =C9*D9 y copiarla después al rango C9:D9</t>
  </si>
  <si>
    <t>El mayor interés para tabular la información de forma homogénea es para hacer uso de las propiedades de copiado de las expresiones, lo cual facilita enormemente el trabajo, y disminuye la posibilidad de errores.</t>
  </si>
  <si>
    <t>Solución ejercicio 6</t>
  </si>
  <si>
    <t>Solución ejercicio 7</t>
  </si>
  <si>
    <t>&lt;h2&gt;Introducción&lt;/h2&gt;
&lt;p&gt;Las operaciones que afectan al formato de las hojas nos
permiten presentar la información contenida en las celdas de una manera mucho
más vistosa y profesional. Disponemos para ello de muchas herramientas, en la
pestaña &lt;i&gt;Inicio&lt;/i&gt;.&lt;/p&gt;</t>
  </si>
  <si>
    <t>&lt;h2&gt;Objetivos&lt;/h2&gt;
&lt;p&gt;Los objetivos que se persiguen en el desarrollo de esta unidad son los siguientes:&lt;/p&gt;
&lt;ul&gt;
&lt;li&gt;&lt;span style="font-size: 1em; line-height: 1.6em;"&gt;Conocer cuáles son las
     posibilidades de dar formato de las diferentes instancias de la hoja para
     su adecuada visualización.&lt;/li&gt;
&lt;li&gt;&lt;span style="font-size: 1em; line-height: 1.6em;"&gt;Conocer en cada momento el
     valor real que contiene cada celda, e interpretar correctamente los
     valores mostrados en las mismas.&lt;/li&gt;
&lt;li&gt;&lt;span style="font-size: 1em; line-height: 1.6em;"&gt;Familiarizarse con las
     mejores prácticas a la hora de construir una hoja, como poner todos los
     datos de partida en celdas y no en las expresiones.&lt;/li&gt;
&lt;li&gt;&lt;span style="font-size: 1em; line-height: 1.6em;"&gt;Familiarizarse con el
     comportamiento de las referencias a celdas cuando cambiamos la estructura
     de la hoja.&lt;/li&gt;
&lt;/ul&gt;</t>
  </si>
  <si>
    <t>Color de relleno y de fuente</t>
  </si>
  <si>
    <t>&lt;p&gt;Cuando copiamos el contenido de una celda (o rango) a otra,
se copia tanto el contenido como el formato de la misma. Puede ocurrir que
después de borrar el contenido de una celda, al introducir un
nuevo dato nos sorprenda su visualización, que puede ser debida a que la celda
conserva el formato anterior.&lt;/p&gt;</t>
  </si>
  <si>
    <t>&lt;p&gt;El programa define por defecto una anchura determinada para
las columnas. Para modificarlas, situaremos el puntero en la línea de
separación de los encabezados de la columna en cuestión y la siguiente (letras
mayúsculas) y arrastraremos la línea de separación entre ambas a la posición
deseada mediante una operación de arrastre del ratón.&lt;/p&gt;
&lt;p&gt;También podemos hacerlo mediante el menú contextual que
aparece pulsando el botón derecho del ratón en una columna seleccionada.&lt;/p&gt;
&lt;p&gt;Si en lugar de seleccionar una columna lo hacemos con
varias, la anchura indicada se aplicará a todas ellas.&lt;/p&gt;
&lt;p&gt;Si en lugar del movimiento de arrastre hacemos un &lt;i&gt;doble
click&lt;/i&gt; la columna se ajusta automáticamente al contenido de mayor longitud
de cada una de las columnas que estuviesen seleccionadas.&lt;/p&gt;</t>
  </si>
  <si>
    <t xml:space="preserve">&lt;p &gt;Es posible ocultar filas y/o columnas temporalmente, a fin
de que su contenido no se visualice explícitamente. Para ello, seleccionamos la
fila o columna en cuestión, accedemos al menú contextual y seleccionamos la
opción &lt;i&gt;Ocultar&lt;/i&gt; y veremos que desaparecerá de la vista la fila o la
columna seleccionada. Lógicamente, los datos siguen en la hoja, y las
referencias a ellos continúan dando los resultados que corresponden.&lt;/p&gt;
&lt;p&gt;Para volver a visualizar una fila o columna previamente
oculta, seleccionamos las filas o columnas anterior y posterior, accedemos al menú
contextual y seleccionamos la opción &lt;i&gt;Mostrar&lt;/i&gt;. En este caso aparecerá la
fila o la columna hubiese oculta en el interior de la selección.&lt;/p&gt;
&lt;p&gt;También se puede acceder a esta función pulsando previamente
el botón de selección de toda la hoja.&lt;/p&gt;
</t>
  </si>
  <si>
    <t>&lt;p&gt;Cuando utilizamos de manera combinada fórmulas y formatos,
es muy importante saber distinguir entre el contenido real de una celda (el
valor exacto o la expresión) y el valor actual mostrado en la hoja.&lt;/p&gt;
&lt;p&gt;El valor que se muestra en cada celda en un momento
determinado es el que resulta de aplicar al valor real de la misma (dato exacto
o resultado de la evaluación de la expresión que contiene), el correspondiente
formato de visualización.&lt;/p&gt;
&lt;p&gt;En muchas ocasiones, dependiendo del formato de la celda,
esto puede llevarnos a alguna confusión, como en el caso en que tengamos un
número con muchos decimales.&lt;/p&gt;
&lt;p&gt;Otro ejemplo: si en una celda tenemos el valor 0,2 y le
damos a la misma el formato porcentual, se nos mostrará 20%. Ambas cantidades
representan el mismo valor (0,2 unidades), y no hay que confundir el último de
ellos con la valor de 20 unidades.&lt;/p&gt;</t>
  </si>
  <si>
    <t>&lt;p&gt;Cuando disponemos de una hoja de cálculo con una serie de operaciones
encadenadas, nos será de gran utilidad evaluar los resultados en función de
diferentes supuestos de partida; tal cosa la conseguiremos simplemente
sustituyendo cualquier valor inicial por otro que queramos evaluar.&lt;/p&gt;
&lt;p&gt;Para poder explotar al máximo esta funcionalidad, es muy
conveniente construir la hoja con los valores de partida expresados
directamente en las celdas, de modo que estén todos ellos a la vista, y no
utilizándolos dentro de expresiones y fórmulas.&lt;/p&gt;</t>
  </si>
  <si>
    <t>&lt;p&gt;Para insertar filas o columnas en nuestra hoja, hemos de
seleccionar la fila o columna que queremos quede detrás de la insertada, y
posteriormente accedemos al menú contextual y seleccionamos la opción &lt;i&gt;Insertar&lt;/i&gt;.
Se creará una fila (o columna) en blanco en la posición deseada.&lt;/p&gt;
&lt;p&gt;Para eliminar una fila o columna completa seleccionamos
primero la fila o columna a eliminar haciendo &lt;i&gt;clic&lt;/i&gt; en la cabecera
correspondiente, y seguidamente accedemos al menú contextual y seleccionamos la
opción &lt;i&gt;Eliminar&lt;/i&gt;. La hoja compacta el espacio que ocupaba dicha fila o
columna y renumera los encabezados del resto de filas y columnas de la hoja. Si
deseamos eliminar varias filas o columnas adyacentes, basta con seleccionarlas
previamente mediante un &lt;i&gt;drag&lt;/i&gt;, y proceder del mismo modo.&lt;/p&gt;
&lt;p&gt;Cuando insertemos o eliminemos filas o columnas, las
referencias entre celdas se modifican convenientemente para mantener el sentido
de las expresiones, a menos que la referencia sea a una celda que hayamos
eliminado, lo cual producirá un error de referencia. &lt;/p&gt;</t>
  </si>
  <si>
    <t>&lt;h2&gt;Ejercicio Práctico 1&lt;/h2&gt;
&lt;ul&gt;
 &lt;li&gt;Abrir (o realizarla en caso de que no dispongamos de ella) la hoja
     de cálculo que aparece a continuación, y realizarle las transformaciones
     que se indican:&lt;/li&gt;
&lt;p&gt;&lt;img src="/static/w3_cont_image020.png"&gt;&lt;/p&gt;
 &lt;li&gt;Aplicar el formato monetario y mostrar con dos decimales a todas las
     celdas que corresponden a ese tipo de dato numérico.&lt;/li&gt;
&lt;/ul&gt;</t>
  </si>
  <si>
    <t>&lt;h2&gt;Ejercicio Práctico 2&lt;/h2&gt;
&lt;ul&gt;
 &lt;li&gt;Aplicar el formato negrita a las filas de encabezados de columnas
     (fila 1), y a la del total final (fila 11). Aplicar el formato cursiva a
     la fila del descuento (fila 10).&lt;/li&gt;
 &lt;li&gt;Aplicar el formato negrita y tamaño de letra 12 a la columna de
     encabezados de filas.&lt;/li&gt;
&lt;/ul&gt;</t>
  </si>
  <si>
    <t>&lt;h2&gt;Ejercicio Práctico 3&lt;/h2&gt;
&lt;ul&gt;
 &lt;li&gt;Centrar en su celda el contenido de todos los encabezados de
     columna. Centrar también todas las celdas de la columna de cantidades
     (columna C).&lt;/li&gt;
 &lt;li&gt;Ajustar el ancho de la columna A de modo que quepa adecuadamente el contenido
     de todas las celdas de la misma. Ajustar las columnas B, C y D a un ancho
     de 9 unidades.&lt;/li&gt;
&lt;/ul&gt;</t>
  </si>
  <si>
    <t>&lt;h2&gt;Ejercicio Práctico 4&lt;/h2&gt;
&lt;ul&gt;
 &lt;li&gt;Subrayar con línea doble la cantidad total final a pagar.&lt;/li&gt;
 &lt;li&gt;Escribir correctamente el nombre de la mesa que compramos, que no es
     “Stone” sino “S&lt;sup&gt;t&lt;/sup&gt;one” (la “t” tiene el efecto visual de
     superíndice).&lt;/li&gt;
&lt;/ul&gt;</t>
  </si>
  <si>
    <t>&lt;h2&gt;Ejercicio Práctico 5&lt;/h2&gt;
&lt;ul&gt;
 &lt;li&gt;Insertar &lt;/span&gt;una nueva fila, a continuación de
     la del “Estor”, pues añadimos a la compra dos lamparitas de precio marcado
     19,95€ (es decir, que también se les deberá aplicar el descuento).
     Comprobar el nuevo total a pagar.&lt;/li&gt;
&lt;/ul&gt;</t>
  </si>
  <si>
    <t>&lt;h2&gt;Ejercicio Práctico 6&lt;/h2&gt;
&lt;ul&gt;
 &lt;li&gt;Rodear toda la parte de la tabla que contiene la información
     individual de los diferentes elementos de la lista (filas 2 a 9 y columnas
     A a D) con un borde exterior grueso.&lt;/li&gt;
 &lt;li&gt;Rodear los encabezados de columna también otro borde exterior
     grueso, y aplicarles un fondo de relleno amarillo.&lt;/li&gt;
&lt;/ul&gt;</t>
  </si>
  <si>
    <t>&lt;h2&gt;Ejercicio Práctico 7&lt;/h2&gt;
&lt;ul&gt;
 &lt;li&gt;Aplicar a los números que indican la cantidad de cada elemento un
     color de la fuente azul.&lt;/li&gt;
 &lt;li&gt;Aplicar a los datos de las tres últimas filas una trama de fondo degradado,
     diagonal hacia arriba.&lt;/li&gt;
&lt;/ul&gt;</t>
  </si>
  <si>
    <t>Si introducimos en una celda el valor numérico 5 ¿qué mostrará por defecto la misma si posteriormente la seleccionamos y pulsamos el botón de formato %?</t>
  </si>
  <si>
    <t>Es muy importante diferenciar entre el valor absoluto que hay en una celda (en este caso 5 unidades) y el que se muestra debido al formato que utilizamos para mostrarlo.</t>
  </si>
  <si>
    <t>500%</t>
  </si>
  <si>
    <t>0,05%</t>
  </si>
  <si>
    <t>5%</t>
  </si>
  <si>
    <t>0,05</t>
  </si>
  <si>
    <t>&lt;h2&gt;Resumen&lt;/h2&gt;
&lt;p&gt;Si quiere, puede conservar &lt;a title="Resumen Unidad 2" href="/static/Resumen Unidad-2.Operaciones basicas en Excel.pdf" target="_blank"&gt;esta ficha&lt;/a&gt; con la infomación más relevante de esta unidad, como resumen o para futuras consultas.&lt;/p&gt;</t>
  </si>
  <si>
    <t>&lt;h2&gt;Resumen&lt;/h2&gt;
&lt;p&gt;Si quiere, puede conservar &lt;a title="Resumen Unidad 3" href="/static/Resumen Unidad-3.Formatos.pdf" target="_blank"&gt;esta ficha&lt;/a&gt; con la infomación más relevante de esta unidad, como resumen o para futuras consultas.&lt;/p&gt;</t>
  </si>
  <si>
    <t>Nos disponemos a cambiar la fuente con la que se muestra el contenido de una celda; vemos sin embargo algunas limitaciones:</t>
  </si>
  <si>
    <t>Si el contenido es de tipo numérico, no podremos asignarle a la vez el estilo cursiva y el efecto tachado.</t>
  </si>
  <si>
    <t>Si el contenido es de tipo texto, no podremos asignarle a la vez la fuente Arial y el efecto superíndice.</t>
  </si>
  <si>
    <t>Sea el contenido numérico o texto, no podremos asignarle a la vez el tamaño 14 y los efectos tachado y subíndice.</t>
  </si>
  <si>
    <t>Se pueden combinar prácticamente todas las posibilidades, salvo muy poquitas incompatibilidades, como el subíndice y el superíndice simultáneamente.</t>
  </si>
  <si>
    <t>Si vemos en una celda el contenido 03/03/2014 alineado a la izquierda de la celda podemos asegurar:</t>
  </si>
  <si>
    <t>Podría tanto ser un dato de tipo texto como un dato numérico con formato de fecha y hora, que representa al día 3 de marzo de 2014 a las 0 horas, al que se le ha aplicado una alineación a la izquierda.</t>
  </si>
  <si>
    <t>Sin duda es un dato de tipo texto, puesto que si fuese un dato numérico con formato de fecha y hora necesariamente debería estar alineado a la derecha de la celda.</t>
  </si>
  <si>
    <t>Sin duda es un dato numérico con formato de fecha y hora, que representa al día 3 de marzo de 2014 a las 0 horas, pero se le ha aplicado una alineación a la izquierda.</t>
  </si>
  <si>
    <t>Seguramente el programa no funciona bien, puesto que las fechas son datos numéricos y éstos van siempre alineados a la derecha.</t>
  </si>
  <si>
    <t>Ambas posibilidades podrían darse, y para salir de dudas habría que analizar detenidamente el contenido real de la celda, en la barra de fórmulas.</t>
  </si>
  <si>
    <t>Excel considera muy importante el contenido, pero también pretende ahorrarnos tiempo cuando hemos introducido formatos en la celda, por lo que tiene a mantenerlos en este tipo de operaciones.</t>
  </si>
  <si>
    <t>Excel elige una de las cuatro, y su decisión parece razonable.</t>
  </si>
  <si>
    <t>La inserción debe conservar lo importante de la hoja, que es la relación entre las distintas celdas para realizar los cálculos exactos.</t>
  </si>
  <si>
    <t>En relación a los formatos numéricos que podemos aplicar a las celdas, tenemos las siguientes características:</t>
  </si>
  <si>
    <t>El tipo General nos permite expresar la cantidad de posiciones decimales que queremos que muestre.</t>
  </si>
  <si>
    <t>El tipo Número nos permite indicar o no el carácter separador de millares.</t>
  </si>
  <si>
    <t>El tipo Contabilidad siempre nos mostrará las dos posiciones decimales, correspondientes a los céntimos de la moneda correspondiente.</t>
  </si>
  <si>
    <t>Cuando tenemos activado el separador de miles, el carácter utilizado para los millares es el punto, para los millones el subíndice 1, para los billones el 2, y así sucesivamente.</t>
  </si>
  <si>
    <t>Tenemos diferentes posibilidades, cuyas características hemos de explorar para conocer cuál es la convención de uso del programa.</t>
  </si>
  <si>
    <t>&lt;h2&gt;Parte 1: Formatos de los datos&lt;/h2&gt;
&lt;p&gt;Disponemos (o realizamos, en caso de que no
dispongamos de ella) de una hoja de cálculo como la que aparece a continuación:&lt;/p&gt;
&lt;p align="center"&gt;&lt;img src="/static/w3_exam_image001.png"/&gt;&lt;/p&gt;
&lt;p&gt;Pensamos que puede quedar mucho más vistosa
aplicándole una serie de cambios de formatos, de modo que quede de la siguiente
manera:&lt;/p&gt;
&lt;p align="center"&gt;&lt;img src="/static/w3_exam_image002.png"/&gt;&lt;/p&gt;
&lt;p&gt;Para ello decidimos hacer, por medio del
programa Excel, en su versión 2010 para Windows, las operaciones que se indican
a continuación.&lt;/p&gt;</t>
  </si>
  <si>
    <t>&lt;h2&gt;Parte 3: Formatos de las celdas&lt;/h2&gt;
&lt;p&gt;Pensamos finalmente mejorar todavía un
poco el formato de la hoja, de modo que nos quede como esta imagen:&lt;/p&gt;
&lt;p align="center"&gt;&lt;img src="/static/w3_exam_image004.png"/&gt;&lt;/p&gt;
&lt;p&gt;Realizamos pues las operaciones siguientes.&lt;/p&gt;</t>
  </si>
  <si>
    <t>&lt;h2&gt;Parte 2: Formatos de las columnas&lt;/h2&gt;
&lt;p&gt;Pensamos a continuación mejorar
sensiblemente la visión de la hoja ajustando ciertos elementos, de modo que
imaginamos que nos puede quedar así:&lt;/p&gt;
&lt;p align="center"&gt;&lt;img src="/static/w3_exam_image003.png"/&gt;&lt;/p&gt;
&lt;p&gt;Para ello continuamos realizando ajustes de formato.&lt;/p&gt;</t>
  </si>
  <si>
    <t>Aplicar el formato Moneda y mostrar con dos decimales todas las celdas que corresponden a ese tipo de dato numérico, y para conseguirlo:</t>
  </si>
  <si>
    <t>Seleccionamos la celda B9 y pulsamos el botón de formato Moneda (también llamado formato de número de contabilidad). Posteriormente seleccionamos la celda C9 y lo volvemos a pulsar. Luego seleccionamos la C10 y lo volvemos a hacer, y así sucesivamente con todas las celdas: C11, E9, E10, E11, F9…</t>
  </si>
  <si>
    <t>Seleccionamos el rango B9:F11 y pulsamos el botón de formato Moneda (también llamado formato de número de contabilidad) con lo que obtenemos lo solicitado.</t>
  </si>
  <si>
    <t>Seleccionamos la celda B9 y pulsamos el botón de formato Moneda (también llamado formato de número de contabilidad). Posteriormente seleccionamos el rango C9:C11 y lo volvemos a pulsar. A continuación seleccionamos el E9:F11 y lo volvemos a hacer.</t>
  </si>
  <si>
    <t>Seleccionamos la celda B9 y luego, manteniendo pulsada la tecla [mayúsculas], seleccionamos el rango C9:F11 por lo que se añade a la selección anterior. Ahora sólo tenemos que pulsamos el botón de formato monetario (también llamado formato de número de contabilidad) y obtenemos lo solicitado.</t>
  </si>
  <si>
    <t>El formato monetario es muy utilizado en las hojas de cálculo, y lo más conveniente es ir aplicándolo sucesivamente a todas las celdas y rangos que contengan este tipo de dato.</t>
  </si>
  <si>
    <t>Queremos ahora aplicar el formato Negrita a la fila de la cantidad total de personas que estamos considerando en la expedición (fila 6) y a la de encabezados de la tabla de cálculo de los gastos (fila 8); para ello:</t>
  </si>
  <si>
    <t>Haremos doble click sobre el botón Negrita, y con ese estado activado seleccionaremos el rango A6:B6 y luego el rango A8:F8</t>
  </si>
  <si>
    <t>Seleccionaremos la fila 8 haciendo click en el encabezado de la misma, y le aplicaremos el formato pulsando el botón Negrita. Repetimos la operación con la fila 6. Lo que introduzcamos posteriormente en las celdas G8, H8, etc. lo harán con el formato por defecto, por lo que tendríamos que volver a repetir esta operación.</t>
  </si>
  <si>
    <t>Seleccionamos ambas partes: primero el rango A6:B6 y, manteniendo pulsada la tecla [Control], el A8:F8; con ambas así seleccionadas, podemos ahora aplicarles el formato Negrita mediante la combinación de teclas [Alt] N</t>
  </si>
  <si>
    <t>Aplicar un formato a toda la fila nos evitará tenerlo que hacer cuando ampliemos la tabla de datos, pero hay que tener cuidado cuando vayamos a variar la estructura en el futuro.</t>
  </si>
  <si>
    <t>De modo similar, queremos ahora aplicar el formato Cursiva a la fila de la fecha (fila 2).</t>
  </si>
  <si>
    <t>Podemos seleccionar toda la fila haciendo click en el encabezado de la misma, y luego indistintamente pulsar el botón Cursiva del grupo Fuente de la Cinta, o la combinación de teclas [Control] K</t>
  </si>
  <si>
    <t>Podemos seleccionar toda la fila haciendo click en el encabezado de la misma, y luego indistintamente pulsar el botón Cursiva del grupo Fuente de la Cinta, o la combinación de teclas [Control] C</t>
  </si>
  <si>
    <t>Podemos seleccionar toda la fila haciendo click en el encabezado de la misma, y luego indistintamente pulsar el botón Cursiva del grupo Fuente de la Cinta, o la combinación de teclas [Alt] K</t>
  </si>
  <si>
    <t>Podemos seleccionar toda la fila haciendo click en el encabezado de la misma, y luego indistintamente pulsar el botón Cursiva del grupo Fuente de la Cinta, o la combinación de teclas [Alt] C</t>
  </si>
  <si>
    <t>Algunos formatos muy utilizados tienen atajos mediante pulsación de teclas, que podemos conocer para ahorrar tiempo en el futuro.</t>
  </si>
  <si>
    <t xml:space="preserve"> El orden es indistinto, y además podemos utilizar tanto el menú desplegable “Tamaño de fuente” como los botones “Aumentar tamaño de fuente” o “Disminuir tamaño de fuente”, según proceda.</t>
  </si>
  <si>
    <t>El orden de aplicación de formatos no suele ser de importancia. De hecho, lo más recomendable suele ser construir totalmente la hoja y al final de todo asignar los formatos que nos agraden.</t>
  </si>
  <si>
    <t>Quisiéramos ahora centrar en su celda el contenido de todos los encabezados de la tabla (fila 8) y centrar también todas las celdas de la columna de cantidades consideradas (columna D).</t>
  </si>
  <si>
    <t>Podremos hacerlo primeramente en la fila de encabezados, y posteriormente en la columna D.</t>
  </si>
  <si>
    <t>Podremos hacerlo en la fila de encabezados, pero no en la columna de cantidades, puesto que este es un formato que sólo se puede aplicar a contenidos de tipo texto, y no a los numéricos.</t>
  </si>
  <si>
    <t>Podríamos hacerlo primeramente en la fila de encabezados, pero cuando lo hagamos posteriormente en la columna D, como la celda de intersección D8 ya tenía esa condición, la perderá.</t>
  </si>
  <si>
    <t>Podremos hacerlo en la fila de encabezados, pero no a una sola de las columnas de datos numéricos de la tabla, debiendo elegir entre hacerlo con todos los datos numéricos de la tabla o con ninguno de ellos.</t>
  </si>
  <si>
    <t>Cuando comenzamos a aplicar formatos de alineación alteramos los de defecto por lo que podemos empezar a perder la noción de los tipos de datos que tenemos. No obstante el programa suele actuar de manera bastante intuitiva.</t>
  </si>
  <si>
    <t>Queremos ahora combinar las celdas de la fila 1 y centrar el contenido de la celda A1 en todo lo ancho de la tabla. Para ello seguiremos el procedimiento:</t>
  </si>
  <si>
    <t>Haremos click en el botón “Centrar”, y después seleccionaremos el rango A1:G1</t>
  </si>
  <si>
    <t>Haremos click en el botón “Combinar y centrar”, y después seleccionaremos el rango A1:G1</t>
  </si>
  <si>
    <t>Seleccionaremos el rango A1:G1 y haremos click en el botón “Centrar”.</t>
  </si>
  <si>
    <t>Seleccionaremos el rango A1:G1 y haremos click en el botón “Combinar y centrar”.</t>
  </si>
  <si>
    <t>Esta utilidad es muy interesante porque da vistosidad a los títulos, pero su utilización requiere hacer las operaciones en el orden preciso.</t>
  </si>
  <si>
    <t>Deseamos ahora ajustar las columnas A a G a un ancho de 12 unidades. Para ello, lo mejor es:</t>
  </si>
  <si>
    <t>No se puede aplicar ese ancho puesto que hay en esas columnas celdas con contenidos de distinto tipo.</t>
  </si>
  <si>
    <t>Seleccionar todas esas columnas, y hacer doble click sobre la separación entre la última de ellas y la siguiente (G y H). Con ello se ajustarán toda al ancho deseado.</t>
  </si>
  <si>
    <t>Para dar elegancia a las tablas es muy conveniente ajustar los anchos de columna a medidas adecuadas.</t>
  </si>
  <si>
    <t>Pensamos ahora subrayar con línea doble la cifra numérica que indica la cantidad total de personas involucradas, situada en la celda B6. Para ello:</t>
  </si>
  <si>
    <t>Seleccionaremos la celda B6 y pulsaremos el botón Subrayado.</t>
  </si>
  <si>
    <t>Seleccionaremos la celda B6 y pulsaremos el botón Subrayado dos veces.</t>
  </si>
  <si>
    <t>Seleccionaremos la celda B6 y, en el menú desplegable junto al botón Subrayado, seleccionaremos Subrayado doble.</t>
  </si>
  <si>
    <t>Seleccionaremos la celda B6 y le aplicaremos un borde inferior doble.</t>
  </si>
  <si>
    <t>Hay que diferenciar convenientemente el tipo de texto subrayado con el borde de la celda en el que está contenido.</t>
  </si>
  <si>
    <t>Deseamos ahora activar todos los bordes de las celdas que contienen los datos de los costes, y enmarcar con un borde grueso los datos relacionados con la cantidad de personas.</t>
  </si>
  <si>
    <t>Seleccionaremos el rango A8:F11 y, por medio del menú desplegable “Bordes”, seleccionaremos la opción “Bordes interiores”. Luego seleccionaremos el rango A3:B6 y en el mismo desplegable seleccionaremos la opción “Borde de cuadro grueso”.</t>
  </si>
  <si>
    <t>Seleccionaremos el rango A8:F11 y, por medio del menú desplegable “Bordes”, seleccionaremos la opción “Todos los bordes”. Luego seleccionaremos el rango A3:B6 y en el mismo desplegable seleccionaremos la opción “Bordes externos”.</t>
  </si>
  <si>
    <t>Seleccionaremos el rango A8:F11 y, por medio del menú desplegable “Bordes”, seleccionaremos la opción “Todos los bordes”. Luego seleccionaremos el rango A3:B6 y en el mismo desplegable seleccionaremos la opción “Borde de cuadro grueso”.</t>
  </si>
  <si>
    <t>Seleccionaremos el rango A8:F11 y, manteniendo pulsada la tecla [Control], el rango A3:B6; una vez tenemos la selección múltiple, por medio del menú desplegable “Bordes”, seleccionaremos la opción “Más bordes…” y allí encontramos las herramientas necesarias para ello.</t>
  </si>
  <si>
    <t>Trabajar con los bordes de las celdas favorece el hacer tablas atractivas, pero es recomendable dejar esta operación para el final de todo, cuando la tabla está concluida.</t>
  </si>
  <si>
    <t>Ahora queremos rodear los encabezados de columna también otro borde exterior grueso, y aplicarles un fondo de relleno anaranjado. Finalmente, aplicar al texto y valor del margen de imprevistos una fuente roja.</t>
  </si>
  <si>
    <t>Seleccionaremos el rango A8:F8 y, por medio del menú desplegable “Bordes”, seleccionaremos la opción “Borde de cuadro grueso”. A continuación, con el menú desplegable “Color de relleno” seleccionamos el color Anaranjado. Luego seleccionamos el rango F4:G4 y con el menú desplegable “Color de fuente” seleccionamos un color Rojo.</t>
  </si>
  <si>
    <t>Seleccionaremos el rango A8:F8 y, por medio del menú desplegable “Bordes”, seleccionaremos la opción “Borde de cuadro grueso”. A continuación, con el menú desplegable “Color de fuente” seleccionamos el color Anaranjado. Luego seleccionamos el rango F4:G4 y con el menú desplegable “Color de fuente” seleccionamos un color Rojo.</t>
  </si>
  <si>
    <t>Seleccionaremos el rango A8:F8 y, por medio del menú desplegable “Bordes”, seleccionaremos la opción “Borde de cuadro grueso”. A continuación, con el menú desplegable “Color de relleno” seleccionamos el color Anaranjado. Luego seleccionamos el rango F4:G4 y con el menú desplegable “Color de relleno” seleccionamos un color Rojo.</t>
  </si>
  <si>
    <t>Seleccionaremos el rango A8:F8 y, por medio del menú desplegable “Bordes”, seleccionaremos la opción “Borde de cuadro grueso”. A continuación, con el menú desplegable “Color de fuente” seleccionamos el color Anaranjado. Luego seleccionamos el rango F4:G4 y con el menú desplegable “Color de relleno” seleccionamos un color Rojo.</t>
  </si>
  <si>
    <t>Podemos colorear tanto los fuentes como los fondos de las celdas para resaltar su contenido.</t>
  </si>
  <si>
    <t xml:space="preserve">Por experiencias de años anteriores, sabemos que es bueno contar con un margen de seguridad para imprevistos, que estimamos en un 4% de cada cantidad considerada; para ello, introducimos en la celda F4 el texto “Marg.Imprv.” y a su derecha (celda G4) la cantidad numérica 0,04 (que corresponde al 4%). A continuación introducimos en la celda F8 la cabecera “Imprevistos” y rellenamos los valores de esa columna de la siguiente manera:
</t>
  </si>
  <si>
    <t>En la celda F9 introducimos la expresión =E9*G4 , en la celda F10 por su parte =E10*G4 , en la celda la correspondiente =E11*G4 y así sucesivamente iremos haciendo con todas las filas en que vayamos teniendo datos en el futuro.</t>
  </si>
  <si>
    <t>En la celda F9 introducimos la expresión =E9*G4 y después simplemente copiaremos esa expresión a las dos celdas inferiores, ya que como el direccionamiento es relativo se nos generarán las expresiones adecuadas en cada una.</t>
  </si>
  <si>
    <t>En la celda F9 introducimos la expresión =E9*$G4 y después simplemente copiaremos esa expresión a las dos celdas inferiores, ya que como la referencia al valor 0,04 no puede ser relativo necesitamos una referencia absoluta o mixta en el sentido correspondiente.</t>
  </si>
  <si>
    <t>En la celda F9 introducimos la expresión =E9*G$4 y después simplemente copiaremos esa expresión a las dos celdas inferiores, ya que como la referencia al valor 0,04 no puede ser relativo necesitamos una referencia absoluta o mixta en el sentido correspondiente.</t>
  </si>
  <si>
    <t>Hay que tener muy presente el tipo de referencia que necesitamos en cada ocasión, tanto cuando hay que cambiar las relativas de defecto por absolutas o mixtas o, en este último caso, si lo que hay que fijar es la columna o la fila.</t>
  </si>
  <si>
    <t>Una pequeña explicación</t>
  </si>
  <si>
    <t>Sea el contenido numérico o texto, no podremos asignarle a la vez el subrayado simple y los efectos subíndice y superíndice.</t>
  </si>
  <si>
    <t>En nuestra anterior tabla de números elevados al cubo, insertamos una columna entre la A y la B, tras lo cual ocurre:</t>
  </si>
  <si>
    <t>La columna A continúa mostrando los valores 11, 11,5, 12 y 12,5; la columna B es la insertada y por tanto está vacía, y en la columna C aparece con valores 0 puesto que el cubo hacía referencia a la columna de la izquierda, ahora la B, y ésta ahora sólo tiene valores nulos.</t>
  </si>
  <si>
    <t>La columna A continúa mostrando los valores 11, 11,5, 12 y 12,5; la columna B es la insertada y por tanto está vacía, y en la columna C aparecen los mismos valores que anteriormente, pero ahora con formato por defecto (en negro y con tantos decimales como quepan en la celda) puesto que el formato quedó aplicado a la nueva columna B.</t>
  </si>
  <si>
    <t>La columna A continúa mostrando los valores 11, 11,5, 12 y 12,5; la columna B es la insertada y por tanto está vacía, y en la columna C aparecen los mismos valores que anteriormente, con el mismo formato que tenían.</t>
  </si>
  <si>
    <t>&lt;p&gt;Estamos construyendo una pequeña tabla de números elevados al cubo, tal como se indica en la imagen:&lt;/p&gt;
  &lt;p align="center"&gt;
    &lt;img src="/static/w3_test_image001.png"/&gt;
  &lt;/p&gt;
&lt;p&gt;Si realizamos la operación de copiar-pegar de la celda B2 a la B3, obtendremos:&lt;/p&gt;</t>
  </si>
  <si>
    <t>Se nos mostrará en B3 lo mismo que en B2, es decir, el valor 1520,8750 en rojo, puesto que la operación es de copia absoluta.</t>
  </si>
  <si>
    <t>Se nos copiará el contenido de la celda, es decir la expresión que eleva al cubo el valor de su izquierda, pero no el formato, por lo que nos mostrará el valor 1728 en color negro y sin decimales (formato General por defecto).</t>
  </si>
  <si>
    <t>Se nos copiará el contenido de la celda, es decir la expresión que eleva al cubo el valor de su izquierda, pero no el formato, por lo que nos mostrará el valor 1728,0000000 (todos los decimales que quepan en la casilla, formato Número por defecto).</t>
  </si>
  <si>
    <t>Se nos copiará el contenido de la celda, es decir es decir la expresión que eleva al cubo el valor de su izquierda, y el del formato, por lo que nos mostrará el valor 1728,0000 en rojo y con cuatro cifras decimales.</t>
  </si>
  <si>
    <t>Seleccionaremos el rango A6:B6 y le aplicaremos el formato pulsando el botón Negrita. Seleccionamos a continuación la fila 8 haciendo click en el encabezado de la misma, y volvemos a pulsar el botón Negrita. La ventaja de este método es que si continuamos la tabla poniendo nuevos valores, lo que introduzcamos en las celdas G8, H8, etc. lo harán directamente con ese formato.</t>
  </si>
  <si>
    <t>Queremos a continuación aplicar el formato Negrita y tamaño de letra 14 al título de la hoja (fila 1). Para ello seleccionaremos la celda A1, y después:</t>
  </si>
  <si>
    <t>&lt;h2&gt;Introducción&lt;/h2&gt;
&lt;p&gt;En muchas ocasiones deberemos presentar una copia,
electrónica o impresa, de los cálculos realizados por medio del Excel. El
programa incluye algunas herramientas para favorecer la visualización adecuada
de las hojas, de modo que permitan al autor mejorar su presentación y al lector
facilitar su comprensión.&lt;/p&gt;</t>
  </si>
  <si>
    <t>&lt;h2&gt;Objetivos&lt;/h2&gt;
&lt;p&gt;Los objetivos que se persiguen en el desarrollo de esta unidad son los siguientes:&lt;/p&gt;
&lt;ul&gt;
&lt;li&gt;&lt;span style="font-size: 1em; line-height: 1.6em;"&gt;Conocer los comandos de
     presentación preliminar e impresión de las hojas.&lt;/li&gt;
&lt;li&gt;&lt;span style="font-size: 1em; line-height: 1.6em;"&gt;Conocer las opciones que
     permite Excel en la configuración de la impresión de hojas.&lt;/li&gt;
&lt;li&gt;&lt;span style="font-size: 1em; line-height: 1.6em;"&gt;Utilizar correctamente los
     saltos de página.&lt;/li&gt;
&lt;/ul&gt;</t>
  </si>
  <si>
    <t xml:space="preserve">&lt;h2&gt;Resumen&lt;/h2&gt;
&lt;p&gt;Si quiere, puede conservar &lt;a title="Resumen Unidad 4" href="/static/Resumen_Unidad-4.Presentacion.pdf" target="_blank"&gt;esta ficha&lt;/a&gt; con la infomación más relevante de esta unidad, como resumen o para futuras consultas.&lt;/p&gt;
</t>
  </si>
  <si>
    <t>En pantalla necesitamos estas líneas para definir las celdas, pero el programa considera por defecto no imprimirlas.</t>
  </si>
  <si>
    <t>Encabezado y pie de página</t>
  </si>
  <si>
    <t xml:space="preserve">Como en otras ocasiones, el Excel considera una de las posibilidades por defecto, pero permite alterarlo a nuestra conveniencia.
</t>
  </si>
  <si>
    <t>&lt;h2&gt;Ejercicio Práctico 2&lt;/h2&gt;
&lt;ul&gt;
 &lt;li&gt;Configurar los márgenes de modo que sean de 8 cm el izquierdo, y de 4 cm por los otros tres costados. 
Los de encabezado y pie de página serán de 2 cm.&lt;/li&gt;
&lt;/ul&gt;</t>
  </si>
  <si>
    <t>&lt;h2&gt;Ejercicio Práctico 4&lt;/h2&gt;
&lt;p&gt;Configurar un pie de página que muestre:&lt;/p&gt;
&lt;ul&gt;
 &lt;li&gt;Ajustado a la izquierda, el texto “Calculado el dd/mm/aa a las hh:mm” (donde “dd/mm/aa” y “hh:mm” corresponden respectivamente a la fecha y hora de impresión).&lt;/li&gt;
 &lt;li&gt;En la sección central el nombre de la carpeta y del libro Excel (es decir, de la ruta de acceso y del archivo).&lt;/li&gt;
 &lt;li&gt;Ajustado a la derecha, el nombre de la hoja actual (es decir, de la etiqueta).&lt;/li&gt;
&lt;/ul&gt;</t>
  </si>
  <si>
    <t>&lt;h2&gt;Ejercicio Práctico 5&lt;/h2&gt;
&lt;p&gt;Configurar un pie de página que muestre:&lt;/p&gt;
&lt;ul&gt;
 &lt;li&gt;Seleccionar que, al imprimir, se muestren las líneas de división entre las celdas de la hoja.&lt;/li&gt;
 &lt;li&gt;Guardar el libro con un nuevo nombre.&lt;/li&gt;
&lt;/ul&gt;</t>
  </si>
  <si>
    <t>&lt;h2&gt;Parte 1: Algunas adiciones&lt;/h2&gt;
&lt;p&gt;Disponemos de la hoja de cálculo con la que venimos trabajando anteriormente. 
Pensamos ahora en añadir la información respecto del pago de cuotas mensuales de las jugadoras (20€), 
parte de las cuales se utilizan para sufragar los gastos del campeonato (12€).&lt;/p&gt;
&lt;p&gt;Introducimos por lo tanto la información disponible en la hoja, de modo que nos queda de la siguiente manera:&lt;/p&gt;
&lt;p align="center"&gt;&lt;img src="/static/w4_exam_image001.jpg"/&gt;&lt;/p&gt;</t>
  </si>
  <si>
    <t>Al ir añadiendo la información anterior vemos que:</t>
  </si>
  <si>
    <t>Todos los datos que hemos introducido en las celdas se formatean según los formatos de defecto, independientemente de que hayamos cambiado formatos en otras celdas de algunas columnas de las que estamos utilizando ahora.</t>
  </si>
  <si>
    <t>Los datos numéricos y de tipo texto que hemos ido introduciendo en las celdas libres se han ido formateando automáticamente como la tabla anterior, es decir, con los bordes de las celdas, la fila de encabezados con fondo color anaranjado, etc.</t>
  </si>
  <si>
    <t>Los nombres de los meses hemos tenido que escribirlos uno a uno, puesto que como la serie no comienza por Enero no se puede utilizar la utilidad de la expansión del patrón de relleno.</t>
  </si>
  <si>
    <t>Como habíamos cambiado el ancho de algunas columnas (hasta la G) al introducir nuevo contenido en las columnas de la H a la J éstas adoptan el mismo ancho.</t>
  </si>
  <si>
    <t>Llegados a este punto, un total de 5 socios y padres de jugadoras preguntan por la posibilidad de acompañarnos en la expedición, compartiendo los gastos comunes de transporte. Decidimos por ello incluir un nuevo tipo de participante, etiquetado como "Acompañantes". Para tener esto en cuenta, lo mejor es:</t>
  </si>
  <si>
    <t>Borrar todo lo que tenemos a partir de la fila 6; introducir en la celda A6, que ahora está vacía, el texto "Acompañantes" y volver a construir de nuevo la tabla.</t>
  </si>
  <si>
    <t>Seleccionar la fila 6, e insertar ahí una nueva fila; en la celda A6, que ahora está vacía, insertar el texto "Acompañantes" y modificar la expresión del total (que ahora está en la celda B7) para incluir un nuevo sumando, la cantidad que pongamos en B6 (con ello, la expresión será ahora =B3+B4+B5+B6). A continuación volvemos a construir todas las expresiones puesto que al haber insertado la nueva fila, todas las referencias de las expresiones están mal.</t>
  </si>
  <si>
    <t>Seleccionar la fila 6, e insertar ahí una nueva fila; en la celda A6, que ahora está vacía, insertar el texto "Acompañantes" y modificar la expresión del total (que ahora está en la celda B7) para incluir un nuevo sumando, la cantidad que pongamos en B6 (la expresión será ahora =B3+B4+B5+B6). Con esto habremos terminado, puesto que todo el resto de referencias de las expresiones se habrán ajustado convenientemente para conservar el sentido de las operaciones, y si ponemos en B6 la cantidad de 5 acompañantes veremos que el coste por persona del autobús desciende a 50 euros.</t>
  </si>
  <si>
    <t>Seleccionar la fila 6, e insertar ahí una nueva fila; en la celda A6, que ahora está vacía, insertar el texto "Acompañantes". Con esto habremos terminado, puesto que todas las referencias de las expresiones se habrán ajustado convenientemente, y si ponemos en B6 la cantidad de 5 acompañantes veremos que el coste por persona del autobús desciende a 50 euros.</t>
  </si>
  <si>
    <t>Recuerde que al insertar o eliminar filas o columnas las referencias se ajustan para conservar el sentido de los cálculos, pero si introducimos un nuevo valor habrá que referenciarlo convenientemente.</t>
  </si>
  <si>
    <t>Como no todas las filas son iguales, no hemos podido usar la utilidad de la expansión del patrón de relleno, y por consiguiente necesariamente hemos tenido que introducir cada uno de los valores individualmente.</t>
  </si>
  <si>
    <t>Queremos lanzar por la impresora que tenemos definida el trabajo realizado. Iremos a Archivo, Imprimir, y apretando el botón de Imprimir:</t>
  </si>
  <si>
    <t>Las acciones por defecto son convención de cada programa, y conviene conocerlas.</t>
  </si>
  <si>
    <t>Es por defecto vertical, pero se pueden seleccionar tres posibilidades más: horizontal, transversal y oblicua.</t>
  </si>
  <si>
    <t>Como Excel acepta hasta tres posibilidades diferentes, tenemos la opción de cambiar la opción de defecto (Márgenes normales) por las otras dos posibilidades: Ancho y Estrecho</t>
  </si>
  <si>
    <t>Como Excel acepta hasta cinco posibilidades diferentes, tenemos la opción de cambiar la opción de defecto (Márgenes normales) por las otras cuatro posibilidades: Súper Ancho, Ancho, Estrecho y Súper Estrecho.</t>
  </si>
  <si>
    <t>&lt;h2&gt;Parte 3: Insertar elementos&lt;/h2&gt;</t>
  </si>
  <si>
    <t>Podemos definir un encabezado y un pie de página que se muestre en todas las páginas impresas; entre otras posibilidades, pueden contener:</t>
  </si>
  <si>
    <t>Queremos establecer un salto de página, de modo que la primera parte de la tabla (hasta la fila “TOTAL”) se imprima en la primera página y a partir de la fila de “Promoción” lo haga en la segunda. ¿Qué es lo adecuado?</t>
  </si>
  <si>
    <t>Posicionarse en la celda A5 e insertar un salto de página.</t>
  </si>
  <si>
    <t>Posicionarse en la celda A6 e insertar un salto de página.</t>
  </si>
  <si>
    <t>Posicionarse en la celda A8 e insertar un salto de página.</t>
  </si>
  <si>
    <t>Posicionarse en la celda A9 e insertar un salto de página.</t>
  </si>
  <si>
    <t>Al visualizar la presentación preliminar, vemos que se nos van a imprimir cuatro páginas; el orden de impresión por defecto será:</t>
  </si>
  <si>
    <t>Primero la superior izquierda, luego la inferior izquierda, a continuación la superior derecha y finalmente la inferior derecha.</t>
  </si>
  <si>
    <t>Primero la superior izquierda, luego la superior derecha, a continuación la inferior izquierda y finalmente la inferior derecha.</t>
  </si>
  <si>
    <t>Primero la superior izquierda, luego la inferior izquierda, a continuación la inferior derecha y finalmente la superior derecha.</t>
  </si>
  <si>
    <t>Primero la superior izquierda, luego la superior derecha, a continuación la inferior derecha y finalmente la inferior izquierda.</t>
  </si>
  <si>
    <t>Ajustar el área de impresión de modo que el alto sea 1 página, y mantener la orientación vertical.</t>
  </si>
  <si>
    <t>Ajustar el área de impresión de modo que el alto sea 1 página, y personalizar los márgenes de modo que sean todo 0.</t>
  </si>
  <si>
    <t>Ajustar el área de impresión de modo que el ancho sea 1 página, y cambiar la orientación a horizontal.</t>
  </si>
  <si>
    <t>Definir dos áreas de impresión: el rango A1:G7 y el A9:J29</t>
  </si>
  <si>
    <t>Para construirla:</t>
  </si>
  <si>
    <t>Practica</t>
  </si>
  <si>
    <t>&lt;h2&gt;Ejercicio Práctico 1&lt;/h2&gt;
&lt;p&gt;Abrir la hoja de cálculo que hemos obtenido en las prácticas anteriores(relativa a la adquisición de diferentes mesas y sillas), 
y realizarle las transformaciones que se indican a continuación:&lt;/p&gt;
&lt;ul&gt;
 &lt;li&gt;Mostrar la vista preliminar de la hoja de cálculo.&lt;/li&gt;
 &lt;li&gt;Configurar la página de modo que se muestre en orientación horizontal.&lt;/li&gt;
&lt;/ul&gt;</t>
  </si>
  <si>
    <t>&lt;h2&gt;Ejercicio Práctico 3&lt;/h2&gt;
&lt;p&gt;Configurar un encabezado de página que muestre:&lt;/p&gt;
&lt;ul&gt;
 &lt;li&gt;En la sección central, el texto “Presupuesto de adquisición de mobiliario” con una letra de tamaño 14, y con subrayado doble.&lt;/li&gt;
 &lt;li&gt;Ajustado a la izquierda, insertar la imagen (botón derecho, Guardar imagen como...):&lt;/li&gt;
&lt;p&gt;&lt;img src="/static/w4_cont_image017.jpg"&gt;&lt;/p&gt;
 &lt;li&gt;Ajustado a la derecha, Página X de Y” (donde “X” es la página actual, e “Y” el número total de páginas impresas).&lt;/li&gt;
&lt;/ul&gt;</t>
  </si>
  <si>
    <t>La utilidad reside en que en cada momento veamos lo que obtendremos como resultado final.</t>
  </si>
  <si>
    <t>&lt;h2&gt;Parte 2: Impresión básica&lt;/h2&gt;
&lt;p&gt;En general, todas las jugadoras aportan esa cantidad a partir de su fecha de inscripción, por lo que una vez computadas todas las aportaciones, nos resulta la tabla siguiente:&lt;/p&gt;
&lt;p align="center"&gt;&lt;img src="/static/w4_exam_image002.jpg"/&gt;&lt;/p&gt;</t>
  </si>
  <si>
    <t>Entendemos que lo ideal es que la hoja se imprima en sólo dos páginas, hasta la fila 8 una de ellas y a partir de la 9 la siguiente, por lo que optamos por:</t>
  </si>
  <si>
    <t>Sí que podríamos haber utilizado la expansión del patrón de relleno, pero sólo en cada una de las filas, introduciendo en B18 la referencia mixta =C$16</t>
  </si>
  <si>
    <t>Sí que podríamos haber utilizado la expansión del patrón de relleno, pero sólo en cada una de las columnas, introduciendo en B18 la referencia mixta =$C16</t>
  </si>
  <si>
    <t>Sí que podríamos haber utilizado la expansión del patrón de relleno a filas y columnas, introduciendo en B18 la referencia mixta =$C$16 y copiándolas sólo a las celdas que corresponda.</t>
  </si>
  <si>
    <t>Para obtenerla:</t>
  </si>
  <si>
    <t>&lt;p&gt;Habrá bastado con seleccionar el rango A3:B6 y posteriormente en la pestaña &lt;i&gt;Insertar&lt;/i&gt;, grupo &lt;i&gt;Gráficos&lt;/i&gt;, botón &lt;i&gt;Columna&lt;/i&gt;, haber seleccionado del grupo &lt;i&gt;Columnas 2-D&lt;/i&gt; el tipo &lt;i&gt;Columna agrupada&lt;/i&gt;. A continuación habremos quitado la leyenda, si la introduce por defecto, yendo a la pestaña &lt;i&gt;Presentación&lt;/i&gt; de las herramientas de gráficos, botón &lt;i&gt;Leyenda&lt;/i&gt;, opción &lt;i&gt;Ninguno&lt;/i&gt;.&lt;/p&gt;</t>
  </si>
  <si>
    <t>&lt;p&gt;Habrá bastado con seleccionar el rango B3:B6 y posteriormente en la pestaña &lt;i&gt;Insertar&lt;/i&gt;, grupo &lt;i&gt;Gráficos&lt;/i&gt;, botón &lt;i&gt;Columna&lt;/i&gt;, haber seleccionado del grupo &lt;i&gt;Columnas 2-D&lt;/i&gt; el tipo &lt;i&gt;Columna agrupada&lt;/i&gt;. A continuación habremos añadido los rótulos yendo a la pestaña &lt;i&gt;Presentación&lt;/i&gt; de las herramientas de gráficos, botón &lt;i&gt;Ejes&lt;/i&gt;, menú &lt;i&gt;Eje horizontal primario&lt;/i&gt;, opción &lt;i&gt;Mostrar eje con etiquetas&lt;/i&gt;.&lt;/p&gt;</t>
  </si>
  <si>
    <t>&lt;p&gt;Habrá bastado con seleccionar el rango A3:A6 y posteriormente en la pestaña &lt;i&gt;Insertar&lt;/i&gt;, grupo &lt;i&gt;Gráficos&lt;/i&gt;, botón &lt;i&gt;Columna&lt;/i&gt;, haber seleccionado del grupo &lt;i&gt;Columnas 2-D&lt;/i&gt; el tipo &lt;i&gt;Columna agrupada&lt;/i&gt;. A continuación habremos añadido los rótulos yendo a la pestaña &lt;i&gt;Presentación&lt;/i&gt; de las herramientas de gráficos, botón &lt;i&gt;Tabla de datos&lt;/i&gt;, opción &lt;i&gt;Mostrar tabla de datos&lt;/i&gt;.&lt;/p&gt;</t>
  </si>
  <si>
    <t>&lt;p&gt;Habrá bastado con seleccionar el rango A3:B7 y posteriormente en la pestaña &lt;i&gt;Insertar&lt;/i&gt;, grupo &lt;i&gt;Gráficos&lt;/i&gt;, botón &lt;i&gt;Columna&lt;/i&gt;, haber seleccionado del grupo &lt;i&gt;Columnas 2-D&lt;/i&gt; el tipo &lt;i&gt;Columna agrupada&lt;/i&gt;. A continuación habremos quitado la leyenda, si la introduce por defecto, yendo a la pestaña &lt;i&gt;Presentación&lt;/i&gt; de las herramientas de gráficos, botón &lt;i&gt;Leyenda&lt;/i&gt;, opción &lt;i&gt;Ninguno&lt;/i&gt;.&lt;/p&gt;</t>
  </si>
  <si>
    <t>Deseamos a continuación añadirle un título al gráfico con la palabra “Participantes”. Para ello podremos hacer:</t>
  </si>
  <si>
    <t>&lt;p&gt;En la pestaña &lt;i&gt;Presentación&lt;/i&gt; de las herramientas de gráficos, botón &lt;i&gt;Rótulos del eje&lt;/i&gt;, menú &lt;i&gt;Título del eje horizontal primario&lt;/i&gt; opción &lt;i&gt;Título bajo el eje&lt;/i&gt;, nos mostrará una ventana en la que introducir el texto deseado.&lt;/p&gt;</t>
  </si>
  <si>
    <t>&lt;p&gt;En la pestaña &lt;i&gt;Presentación&lt;/i&gt; de las herramientas de gráficos, botón &lt;i&gt;Leyenda&lt;/i&gt;, opción &lt;i&gt;Mostrar leyenda en la parte superior&lt;/i&gt;, nos mostrará una ventana en la que introducir el texto deseado.&lt;/p&gt;</t>
  </si>
  <si>
    <t>&lt;p&gt;En la pestaña &lt;i&gt;Presentación&lt;/i&gt; de las herramientas de gráficos, botón &lt;i&gt;Título del gráfico&lt;/i&gt;, tendremos tanto la opción de mostrarlo superpuesto centrado como encima del gráfico. En cualquiera de ambos casos, podemos introducir el texto deseado en la barra de fórmulas.&lt;/p&gt;</t>
  </si>
  <si>
    <t>&lt;p&gt;En la pestaña &lt;i&gt;Presentación&lt;/i&gt; de las herramientas de gráficos, botón &lt;i&gt;Título del gráfico&lt;/i&gt;, tendremos tanto la opción de mostrarlo superpuesto encima como centrado en el gráfico. En cualquiera de amos casos, podemos introducir el texto deseado en una ventana emergente.&lt;/p&gt;</t>
  </si>
  <si>
    <t>Queremos ahora que se muestre el número exacto de participantes de cada categoría, mediante un número encima de cada columna. Lo haremos mediante:</t>
  </si>
  <si>
    <t>&lt;p&gt;La pestaña &lt;i&gt;Presentación&lt;/i&gt; de las herramientas de gráficos, botón &lt;i&gt;Etiquetas de datos&lt;/i&gt;, opción &lt;i&gt;Centro&lt;/i&gt;.&lt;/p&gt;</t>
  </si>
  <si>
    <t>&lt;p&gt;La pestaña &lt;i&gt;Presentación&lt;/i&gt; de las herramientas de gráficos, botón &lt;i&gt;Etiquetas de datos&lt;/i&gt;, opción &lt;i&gt;Extremo interno&lt;/i&gt;.&lt;/p&gt;</t>
  </si>
  <si>
    <t>&lt;p&gt;La pestaña &lt;i&gt;Presentación&lt;/i&gt; de las herramientas de gráficos, botón &lt;i&gt;Etiquetas de datos&lt;/i&gt;, opción &lt;i&gt;Base interior&lt;/i&gt;.&lt;/p&gt;</t>
  </si>
  <si>
    <t>&lt;p&gt;La pestaña &lt;i&gt;Presentación&lt;/i&gt; de las herramientas de gráficos, botón &lt;i&gt;Etiquetas de datos&lt;/i&gt;, opción &lt;i&gt;Extremo externo&lt;/i&gt;.&lt;/p&gt;</t>
  </si>
  <si>
    <t>Para que el área de trazado quede limpia de líneas de cuadrícula, haremos:</t>
  </si>
  <si>
    <t>&lt;p&gt;En la pestaña &lt;i&gt;Presentación&lt;/i&gt; de las herramientas de gráficos, botón &lt;i&gt;Líneas de cuadrícula&lt;/i&gt;, menú &lt;i&gt;Líneas verticales de la cuadrícula primarias&lt;/i&gt; seleccionaremos la opción &lt;i&gt;Líneas de división principales&lt;/i&gt;.&lt;/p&gt;</t>
  </si>
  <si>
    <t>&lt;p&gt;En la pestaña &lt;i&gt;Presentación&lt;/i&gt; de las herramientas de gráficos, botón &lt;i&gt;Líneas de cuadrícula&lt;/i&gt;, menú &lt;i&gt;Líneas horizontales de la cuadrícula primarias&lt;/i&gt; seleccionaremos la opción &lt;i&gt;Ninguna&lt;/i&gt;.&lt;/p&gt;</t>
  </si>
  <si>
    <t>&lt;p&gt;En la pestaña &lt;i&gt;Presentación&lt;/i&gt; de las herramientas de gráficos, botón &lt;i&gt;Líneas de cuadrícula&lt;/i&gt;, menú &lt;i&gt;Líneas horizontales de la cuadrícula primarias&lt;/i&gt; seleccionaremos la opción &lt;i&gt;Líneas de división secundarias&lt;/i&gt;.&lt;/p&gt;</t>
  </si>
  <si>
    <t>&lt;p&gt;En la pestaña &lt;i&gt;Presentación&lt;/i&gt; de las herramientas de gráficos, botón &lt;i&gt;Líneas de cuadrícula&lt;/i&gt;, menú &lt;i&gt;Líneas horizontales de la cuadrícula primarias&lt;/i&gt; seleccionaremos la opción &lt;i&gt;Líneas de división principales y secundarias&lt;/i&gt;.&lt;/p&gt;</t>
  </si>
  <si>
    <t>Para eliminar el eje que no añade información ya que tenemos las cantidades indicadas en los rótulos de los datos, haremos:</t>
  </si>
  <si>
    <t>&lt;p&gt;En la pestaña &lt;i&gt;Presentación&lt;/i&gt; de las herramientas de gráficos, botón &lt;i&gt;Ejes&lt;/i&gt;, menú &lt;i&gt;Eje horizontal primario&lt;/i&gt; seleccionaremos la opción &lt;i&gt;Mostrar eje sin etiquetas&lt;/i&gt;.&lt;/p&gt;</t>
  </si>
  <si>
    <t>&lt;p&gt;En la pestaña &lt;i&gt;Presentación&lt;/i&gt; de las herramientas de gráficos, botón &lt;i&gt;Ejes&lt;/i&gt;, menú &lt;i&gt;Eje horizontal primario&lt;/i&gt; seleccionaremos la opción &lt;i&gt;Mostrar eje de derecha a izquierda&lt;/i&gt;.&lt;/p&gt;</t>
  </si>
  <si>
    <t>&lt;p&gt;En la pestaña &lt;i&gt;Presentación&lt;/i&gt; de las herramientas de gráficos, botón &lt;i&gt;Ejes&lt;/i&gt;, menú &lt;i&gt;Eje vertical primario&lt;/i&gt; seleccionaremos la opción &lt;i&gt;Ninguno&lt;/i&gt;.&lt;/p&gt;</t>
  </si>
  <si>
    <t>&lt;p&gt;En la pestaña &lt;i&gt;Presentación&lt;/i&gt; de las herramientas de gráficos, botón &lt;i&gt;Ejes&lt;/i&gt;, menú &lt;i&gt;Eje vertical primario&lt;/i&gt; seleccionaremos la opción &lt;i&gt;Mostrar eje predeterminado&lt;/i&gt;.&lt;/p&gt;</t>
  </si>
  <si>
    <t>Podemos ahora rellenar de un color uniforme el área de trazado; lo haremos del siguiente modo:</t>
  </si>
  <si>
    <t>&lt;p&gt;En la pestaña &lt;i&gt;Presentación&lt;/i&gt; de las herramientas de gráficos, botón &lt;i&gt;Área de trazado&lt;/i&gt;, seleccionaremos la opción &lt;i&gt;Ninguno&lt;/i&gt;.&lt;/p&gt;</t>
  </si>
  <si>
    <t>&lt;p&gt;En la pestaña &lt;i&gt;Presentación&lt;/i&gt; de las herramientas de gráficos, botón &lt;i&gt;Área de trazado&lt;/i&gt;, seleccionaremos la opción &lt;i&gt;Mostrar área de trazado&lt;/i&gt;.&lt;/p&gt;</t>
  </si>
  <si>
    <t>&lt;p&gt;En la pestaña &lt;i&gt;Presentación&lt;/i&gt; de las herramientas de gráficos, botón &lt;i&gt;Área de trazado&lt;/i&gt;, seleccionaremos &lt;i&gt;Más opciones de área de trazado&lt;/i&gt;, y allí en el menú &lt;i&gt;Relleno&lt;/i&gt; seleccionamos la opción &lt;i&gt;Automático&lt;/i&gt;.&lt;/p&gt;</t>
  </si>
  <si>
    <t>Para mostrar la proporción relativa de las distintas contribuciones en el total, el tipo de gráfico más indicado es el de:</t>
  </si>
  <si>
    <t>Columna</t>
  </si>
  <si>
    <t>Línea</t>
  </si>
  <si>
    <t>Circular</t>
  </si>
  <si>
    <t>Barra</t>
  </si>
  <si>
    <t>&lt;p&gt;Eliminar las columnas B, C y D para que los dos rangos queden contiguos y los podamos así seleccionar como un único rango.&lt;/p&gt;</t>
  </si>
  <si>
    <t>&lt;p&gt;Copiar cada uno de esos dos rangos y pegarlos en zonas contiguas de otra hoja del libro.&lt;/p&gt;</t>
  </si>
  <si>
    <t>&lt;p&gt;Seleccionar el rango A9:E12.&lt;/p&gt;</t>
  </si>
  <si>
    <t>&lt;p&gt;Seleccionar el rango A9:A12 y después, manteniendo pulsada la tecla &lt;i&gt;Ctrl,&lt;/i&gt; seleccionamos también el rango E9:E12, con lo que habremos hecho una selección múltiple.&lt;/p&gt;</t>
  </si>
  <si>
    <t>Primeramente realizaremos las siguientes acciones:</t>
  </si>
  <si>
    <t>&lt;p&gt;En la pestaña &lt;i&gt;Presentación&lt;/i&gt; de las herramientas de gráficos, botón &lt;i&gt;Leyenda&lt;/i&gt;, opción &lt;i&gt;Mostrar leyenda en la parte inferior&lt;/i&gt;, y en el botón &lt;i&gt;Etiquetas de datos&lt;/i&gt; la opción &lt;i&gt;Más opciones de etiquetas de datos&lt;/i&gt; nos lleva a una ventana de diálogo en donde podemos seleccionar que el contenido de la etiqueta no sea el valor sino el porcentaje y que la posición de la etiqueta sea el de &lt;i&gt;Centro&lt;/i&gt;.&lt;/p&gt;</t>
  </si>
  <si>
    <t>&lt;p&gt;En la pestaña &lt;i&gt;Presentación&lt;/i&gt; de las herramientas de gráficos, botón &lt;i&gt;Leyenda&lt;/i&gt;, opción &lt;i&gt;Mostrar leyenda en la parte inferior&lt;/i&gt;, y en el botón &lt;i&gt;Etiquetas de datos&lt;/i&gt; la opción &lt;i&gt;Más opciones de etiquetas de datos&lt;/i&gt; nos lleva a una ventana de diálogo en donde podemos seleccionar que el contenido de la etiqueta no sea el valor sino el porcentaje y que la posición de la etiqueta sea el de &lt;i&gt;Extremo interno&lt;/i&gt;.&lt;/p&gt;</t>
  </si>
  <si>
    <t>&lt;p&gt;En la pestaña &lt;i&gt;Presentación&lt;/i&gt; de las herramientas de gráficos, botón &lt;i&gt;Leyenda&lt;/i&gt;, opción &lt;i&gt;Mostrar leyenda en la parte inferior&lt;/i&gt;, y en el botón &lt;i&gt;Etiquetas de datos&lt;/i&gt; la opción &lt;i&gt;Más opciones de etiquetas de datos&lt;/i&gt; nos lleva a una ventana de diálogo en donde podemos seleccionar que el contenido de la etiqueta no sea el valor sino el porcentaje y que la posición de la etiqueta sea el de &lt;i&gt;Extremo externo&lt;/i&gt;.&lt;/p&gt;</t>
  </si>
  <si>
    <t>&lt;p&gt;En la pestaña &lt;i&gt;Presentación&lt;/i&gt; de las herramientas de gráficos, botón &lt;i&gt;Leyenda&lt;/i&gt;, opción &lt;i&gt;Mostrar leyenda en la parte inferior&lt;/i&gt;, y en el botón &lt;i&gt;Etiquetas de datos&lt;/i&gt; la opción &lt;i&gt;Más opciones de etiquetas de datos&lt;/i&gt; nos lleva a una ventana de diálogo en donde podemos seleccionar que el contenido de la etiqueta no sea el valor sino el porcentaje y que la posición de la etiqueta sea el de &lt;i&gt;Ajuste perfecto&lt;/i&gt;.&lt;/p&gt;</t>
  </si>
  <si>
    <t>Finalmente si no queremos que el gráfico esté incrustado en una hoja de cálculo sino en una hoja nueva, haremos lo siguiente.</t>
  </si>
  <si>
    <t>&lt;p&gt;Seleccionaremos el gráfico, y mediante la acción de copiar y pegar lo mandaremos a una de las otras hojas que tenemos disponibles en el libro.&lt;/p&gt;</t>
  </si>
  <si>
    <t>&lt;p&gt;Seleccionaremos el gráfico, y mediante la acción de cortar y pegar lo mandaremos a una de las otras hojas que tenemos disponibles en el libro.&lt;/p&gt;</t>
  </si>
  <si>
    <t>&lt;p&gt;Seleccionaremos el gráfico, y en la pestaña &lt;i&gt;Diseño&lt;/i&gt; de las herramientas de gráficos, lo haremos mediante el botón &lt;i&gt;Mover gráfico&lt;/i&gt;, en hoja nueva.&lt;/p&gt;</t>
  </si>
  <si>
    <t>&lt;p&gt;Seleccionaremos el gráfico, y en la pestaña &lt;i&gt;Diseño&lt;/i&gt; de las herramientas de gráficos, lo haremos mediante el botón &lt;i&gt;Mover gráfico&lt;/i&gt;, como objeto en alguna de las hojas del libro.&lt;/p&gt;</t>
  </si>
  <si>
    <t>seccion4</t>
  </si>
  <si>
    <t>&lt;h2&gt;Parte 1: Un primer gráfico&lt;/h2&gt;
&lt;p&gt;Disponemos de la hoja de cálculo
con la que venimos trabajando en ejercicios anteriores. Queremos realizar una
representación gráfica en la que se muestre la comparación entre la diferente
cantidad de personas que participan en la expedición según su rol, tal como la
siguiente:&lt;/p&gt;
&lt;p align="center"&gt;&lt;img src="/static/w5_exam_image001.png"/&gt;&lt;/p&gt;</t>
  </si>
  <si>
    <t>&lt;h2&gt;Parte 3: Representando proporciones&lt;/h2&gt;
&lt;p&gt;Animados por la sencillez y
potencia de la herramienta de gráficos, se nos ocurre ahora mostrar gráficamente
la proporción que representa cada uno de los conceptos en el coste personal de
cada uno de los participantes.&lt;/p&gt;</t>
  </si>
  <si>
    <t>&lt;h2&gt;Parte 4: Los últimos detalles&lt;/h2&gt;
&lt;p&gt;Queremos finalmente obtener una visualización
del gráfico (suponiéndolo circular 3-D) tal como el que se muestra en la
siguiente figura:&lt;/p&gt;
&lt;p align="center"&gt;&lt;img src="/static/w5_exam_image003.png"/&gt;&lt;/p&gt;</t>
  </si>
  <si>
    <t>&lt;h2&gt;Introducción&lt;/h2&gt;
&lt;p&gt;Gran parte de la información contenida en una hoja de
cálculo puede ser representada de forma gráfica para una mayor comprensión del
verdadero significado de las cifras: así se verán más claras las tendencias,
relaciones, evolución de indicadores, etc. Excel tiene grandes capacidades para
este tipo de representación.&lt;/p&gt;</t>
  </si>
  <si>
    <t>&lt;h2&gt;Objetivos&lt;/h2&gt;
&lt;p&gt;Los objetivos de esta unidad son los siguientes:&lt;/p&gt;
&lt;ul&gt;
&lt;li&gt;&lt;span style="font-size: 1em; line-height: 1.6em;"&gt;Realizar de manera sencilla
     una representación gráfica los datos numéricos que podamos tener en una
     hoja Excel.&lt;/li&gt;
&lt;li&gt;&lt;span style="font-size: 1em; line-height: 1.6em;"&gt;Conocer los diferentes
     elementos que se pueden mostrar en un gráfico.&lt;/li&gt;
&lt;li&gt;&lt;span style="font-size: 1em; line-height: 1.6em;"&gt;Conocer los diferentes tipos
     de gráficos que soporta Excel, y elegir el más adecuado a la
     representación a realizar.&lt;/li&gt;
&lt;/ul&gt;</t>
  </si>
  <si>
    <t>&lt;p&gt;Excel nos permite hacer gráficos de manera tremendamente sencilla, y el diseño que le da por defecto podrá servirnos 
en muchas ocasiones&lt;/p&gt;</t>
  </si>
  <si>
    <t xml:space="preserve">&lt;h2&gt;Los primeros cambios&lt;/h2&gt;
&lt;p&gt;El gráfico por defecto que nos dé el programa normalmente
nos servirá, pero puede necesitar pequeños ajustes.&lt;/p&gt;
</t>
  </si>
  <si>
    <t>Trabajando con los gráficos</t>
  </si>
  <si>
    <t xml:space="preserve">&lt;h2&gt;Trabajando con los gráficos&lt;/h2&gt;
&lt;p&gt;La generación de gráficos en Excel es muy
rápida de realizar, pero tendremos siempre que pensar cuidadosamente qué tipo
de gráfico seleccionar, y qué características utilizar.&lt;/p&gt;
</t>
  </si>
  <si>
    <t xml:space="preserve">&lt;p&gt;En muchas ocasiones, disponemos de una hoja de cálculo con
muchos datos intermedios de diferentes categorías, fruto de los sucesivos
tratamientos que hemos ido realizando, y queremos representar gráficamente sólo
algunas de esas categorías.&lt;/p&gt;
&lt;p&gt;Si las celdas que deseamos seleccionar para el gráfico no
están en un rango continuo, seguiremos este procedimiento: seleccionamos el
primer grupo de celdas que contienen los datos que deseamos incluir, y mientras
mantenemos presionada la tecla &lt;i&gt;Ctrl&lt;/i&gt;, seleccionamos otros grupos de
celdas. Hay que tener la precaución de que las diferentes selecciones no
adyacentes deben ser capaces de formar un rectángulo.&lt;/p&gt;
&lt;p&gt;También se puede hacer mediante la ventana &lt;i&gt;Seleccionar
origen de datos&lt;/i&gt;.&lt;/p&gt;
</t>
  </si>
  <si>
    <t xml:space="preserve">&lt;h2&gt;Resumen&lt;/h2&gt;
&lt;p&gt;Si quiere, puede conservar &lt;a title="Resumen Unidad 5" href="/static/Resumen_Unidad-5.Graficos.pdf" target="_blank"&gt;esta ficha&lt;/a&gt; con la infomación más relevante de esta unidad, como resumen o para futuras consultas.&lt;/p&gt;
</t>
  </si>
  <si>
    <t>&lt;h2&gt;Ejercicio Práctico 4&lt;/h2&gt;
&lt;ul&gt;
 &lt;li&gt;Realizar, también incrustado en la misma hoja, un gráfico circular que muestre la distribución de lo que me voy a gastar en cada tipo de mueble:
     &lt;li&gt;En los diferentes sectores circulares se representará el porcentaje del total que gastaremos en cada tipo de elemento.&lt;/li&gt;
     &lt;li&gt;El título del gráfico debe ser “Neto”.&lt;/li&gt;
     &lt;li&gt;La leyenda mostrará, debajo del título, el nombre de cada elemento de la lista, con su color asignado en el gráfico.&lt;/li&gt;
&lt;/li&gt;
&lt;/ul&gt;</t>
  </si>
  <si>
    <t>¿Cuál de estos no es un tipo de gráfico habitual del Excel?</t>
  </si>
  <si>
    <t>Cuando queremos representar gráficamente una tabla de datos, lo mejor es:</t>
  </si>
  <si>
    <t>Tener los datos en un rango, sin filas ni columnas vacías por el medio, y etiquetadas convenientemente; seleccionaremos el rango que contiene todo ello e insertaremos el gráfico.</t>
  </si>
  <si>
    <t>Seleccionar el rango que tiene los datos. Una vez creado el gráfico, iremos etiquetando cada una de las etiquetas de los ejes.</t>
  </si>
  <si>
    <t>Llamaremos al asistente de gráficos, y una vez abierto el cuadro de diálogo correspondiente, iremos dándole todos los datos que necesita.</t>
  </si>
  <si>
    <t>Utilizar un programa externo, que represente gráficos adecuadamente.</t>
  </si>
  <si>
    <t>¿Cuál de los siguientes no es uno de los componentes esenciales de un gráfico?</t>
  </si>
  <si>
    <t>El gráfico que creemos podemos ubicarlo (o moverlo posteriormente) en:</t>
  </si>
  <si>
    <t>Obligatoriamente como objeto en la hoja actual.</t>
  </si>
  <si>
    <t>Obligatoriamente en cualquier otra hoja.</t>
  </si>
  <si>
    <t>Como objeto en cualquier hoja del libro o como hoja nueva.</t>
  </si>
  <si>
    <t>Como objeto en cualquier hoja del libro o como hoja nueva del libro actual o cualquier otro.</t>
  </si>
  <si>
    <t>Es habitual que cuando tabulamos datos para diferentes años, al introducir éstos como números piense el programa que son datos y los represente gráficamente; en ese caso:</t>
  </si>
  <si>
    <t>Podemos eliminar de la lista de series de datos la correspondiente a los años, e introducirla si acaso en el eje de categorías.</t>
  </si>
  <si>
    <t>Debemos eliminar cada uno de los datos correspondiente a los años, e introducirlos uno a uno en el eje de categorías.</t>
  </si>
  <si>
    <t>Hemos de hacer un nuevo gráfico, teniendo esto en consideración para que no vuelva a suceder.</t>
  </si>
  <si>
    <t>No podemos representar gráficos con datos relativos a años.</t>
  </si>
  <si>
    <t>Para representar gráficamente datos que tenemos en la hoja de manera discontinua, seleccionamos el primer grupo de celdas que contienen los datos que deseamos incluir, y:</t>
  </si>
  <si>
    <t>Mientras mantenemos presionada la tecla Alt, seleccionamos otros grupos de celdas. Hay que tener la precaución de que las diferentes selecciones no adyacentes deben ser capaces de formar un cuadrado.</t>
  </si>
  <si>
    <t>Mientras mantenemos presionada la tecla Alt, seleccionamos otros grupos de celdas. Hay que tener la precaución de que las diferentes selecciones no adyacentes deben ser capaces de formar un rectángulo.</t>
  </si>
  <si>
    <t>Mientras mantenemos presionada la tecla Ctrl, seleccionamos otros grupos de celdas. Hay que tener la precaución de que las diferentes selecciones no adyacentes deben ser capaces de formar un cuadrado.</t>
  </si>
  <si>
    <t>Mientras mantenemos presionada la tecla Ctrl, seleccionamos otros grupos de celdas. Hay que tener la precaución de que las diferentes selecciones no adyacentes deben ser capaces de formar un rectángulo.</t>
  </si>
  <si>
    <t>Cuando en un gráfico cambiamos entre filas y columnas:</t>
  </si>
  <si>
    <t>Las series que figuran como entradas en la leyenda pasan a etiquetas del eje de categorías y viceversa.</t>
  </si>
  <si>
    <t>Las series que figuran en el eje de etiquetas pasan al eje vertical y viceversa.</t>
  </si>
  <si>
    <t>Los rótulos del eje de categorías pasa al de las series, y viceversa.</t>
  </si>
  <si>
    <t>El tipo de gráfico pasa de agrupado a apilado, y viceversa.</t>
  </si>
  <si>
    <t>Tras crear un minigráfico tenemos disponibles herramientas de diseño del mismo, entre las cuales no figura mostrar:</t>
  </si>
  <si>
    <t>Punto promedio.</t>
  </si>
  <si>
    <t>Punto alto.</t>
  </si>
  <si>
    <t>Puntos negativos.</t>
  </si>
  <si>
    <t>Marcadores.</t>
  </si>
  <si>
    <t>&lt;h2&gt;Ejercicio Práctico 1&lt;/h2&gt;
&lt;ul&gt;
 &lt;li&gt;Generar una hoja Excel con los datos de Ingresos
     y Gastos que hemos tenido en los doce meses de un año, tal como se muestra
     en la tabla siguiente:&lt;/li&gt;
&lt;p&gt;&lt;img src="/static/w5_cont_image024.jpg"&gt;&lt;/p&gt;
 &lt;li&gt;Crear un gráfico de columnas en otra hoja del
     mismo libro, tal como el que aparece a continuación:&lt;/li&gt;
&lt;p&gt;&lt;img src="/static/w5_cont_image025.jpg"&gt;&lt;/p&gt;
&lt;/ul&gt;</t>
  </si>
  <si>
    <t>&lt;h2&gt;Ejercicio Práctico 2&lt;/h2&gt;
&lt;ul&gt;
 &lt;li&gt;Generar una hoja con los datos siguientes:&lt;/li&gt;
&lt;p&gt;&lt;img src="/static/w5_cont_image026.png"&gt;&lt;/p&gt;
 &lt;li&gt;Crear un gráfico circular como objeto de la
     misma hoja (incrustado), indicando la proporción de las retribuciones
     totales por grupos&lt;/li&gt;
&lt;/ul&gt;</t>
  </si>
  <si>
    <t>&lt;h2&gt;Ejercicio Práctico 3&lt;/h2&gt;
&lt;ul&gt;
 &lt;li&gt;Realizar un gráfico incrustado en la misma hoja que muestre lo siguiente:
     &lt;li&gt;En diferentes barras se mostrará una representación del precio unitario de cada uno de los diferentes elementos de la lista.&lt;/li&gt;
     &lt;li&gt;El título del gráfico debe ser “Precio”.&lt;/li&gt;
     &lt;li&gt;El eje de categorías (vertical) mostrará el nombre de los muebles de la lista. El eje horizontal mostrará una escala numérica.&lt;/li&gt;
&lt;/li&gt;
 &lt;li&gt;No debe mostrarse leyenda alguna.
&lt;/li&gt;
&lt;/ul&gt;</t>
  </si>
  <si>
    <t>&lt;h2&gt;Parte 2: Elementos esenciales&lt;/h2&gt;
&lt;p&gt;Queremos adecuar un poco más el
gráfico a nuestros intereses, por lo que pensamos en las acciones a desarrollar
para llegar a una visualización como esta:&lt;/p&gt;
&lt;p align="center"&gt;&lt;img src="/static/w5_exam_image002.png"/&gt;&lt;/p&gt;</t>
  </si>
  <si>
    <t>Con la experiencia de que ya disponemos, pensamos primeramente en seleccionar el rango adecuado de datos con sus correspondientes encabezados, pero vemos que lo que queremos que aparezca en la leyenda son los diferentes conceptos, que tenemos en el rango A9:A12, y los datos a representar los tenemos en el E9:E12; como ambos rangos están separados, procedemos a:</t>
  </si>
  <si>
    <t>&lt;p&gt;En la pestaña &lt;i&gt;Presentación&lt;/i&gt; de las herramientas de gráficos, botón &lt;i&gt;Área de trazado&lt;/i&gt;, seleccionaremos &lt;i&gt;Más opciones de área de trazado&lt;/i&gt;, y allí en el menú &lt;i&gt;Relleno&lt;/i&gt; seleccionamos la opción &lt;i&gt;Relleno sólido&lt;/i&gt;, y con el cursor fijaremos un grado de transparencia adecuado.&lt;/p&gt;</t>
  </si>
  <si>
    <t>&lt;h2&gt;Introducción&lt;/h2&gt;
&lt;p&gt;Un gráfico es un elemento visual, que representa los datos
numéricos de la hoja de cálculo de una manera conjunta, y con el que el autor
quiere destacar un determinado hecho, un comportamiento de los datos. En muchas
ocasiones el gráfico que Excel hace por defecto, que si bien es correcto no
resultará completamente adecuado a los fines que perseguimos.&lt;/p&gt;
&lt;p&gt;Disponemos por ello en Excel de un gran conjunto de
posibilidades y herramientas cuya utilización nos servirá para ir mejorando
continuamente la presentación del gráfico, de modo que se adecue cada vez más a
su función.&lt;/p&gt;</t>
  </si>
  <si>
    <t xml:space="preserve">&lt;h2&gt;Resumen&lt;/h2&gt;
&lt;p&gt;Si quiere, puede conservar &lt;a title="Resumen Unidad 6" href="/static/Resumen_Unidad-6.Edicion de graficos.pdf" target="_blank"&gt;esta ficha&lt;/a&gt; con la infomación más relevante de esta unidad, como resumen o para futuras consultas.&lt;/p&gt;
</t>
  </si>
  <si>
    <t>&lt;h2&gt;Ejercicio Práctico 1&lt;/h2&gt;
&lt;ul&gt;
 &lt;li&gt;En el gráfico de la práctica anterior, añadir
     los siguientes títulos: al gráfico “Evolución de Ingresos y Gastos” y
     “Meses” al eje horizontal.&lt;/li&gt;
 &lt;li&gt;Situar la leyenda en la parte superior del
     gráfico.&lt;/li&gt;
&lt;/ul&gt;</t>
  </si>
  <si>
    <t>&lt;h2&gt;Ejercicio Práctico 2&lt;/h2&gt;
&lt;ul&gt;
 &lt;li&gt;Añadir en la hoja una nueva serie de datos,
     correspondiente al Beneficio, como diferencia entre los dos valores de
     cada mes.&lt;/li&gt;
 &lt;li&gt;Modificar el gráfico, de modo que las series de
     datos sean los Gastos y el Beneficio.&lt;/li&gt;
 &lt;li&gt;Transformar el gráfico en uno de columnas
     apiladas, modificando el título del gráfico como corresponda.&lt;/li&gt;
&lt;/ul&gt;</t>
  </si>
  <si>
    <t>&lt;h2&gt;Ejercicio Práctico 3&lt;/h2&gt;
&lt;ul&gt;
 &lt;li&gt;Modificar el relleno de las columnas de modo que
     se muestren de color verde y amarillo.&lt;/li&gt;
 &lt;li&gt;Modificar el eje numérico del gráfico a un modo
     moneda, con punto separador de miles, y sin decimales.&lt;/li&gt;
 &lt;li&gt;Modificar la alineación con que se escriben los
     meses, de modo que sea con un ángulo de -75 grados.&lt;/li&gt;
&lt;/ul&gt;</t>
  </si>
  <si>
    <t>&lt;h2&gt;Ejercicio Práctico 5&lt;/h2&gt;
&lt;ul&gt;
 &lt;li&gt;En el gráfico circular obtenido en una práctica
     anterior, asignar un degradado al relleno de la forma.&lt;/li&gt;
 &lt;li&gt;Dar un efecto de sombra y bisel a los marcadores
     de los datos.&lt;/li&gt;
 &lt;li&gt;Dar un efecto WordArt al título del gráfico.&lt;/li&gt;
 &lt;li&gt;Guardar el libro Excel.&lt;/li&gt;
&lt;/ul&gt;</t>
  </si>
  <si>
    <t>Los gráficos podemos dotarlos de líneas de cuadrícula; las distintas posibilidades que tenemos son:</t>
  </si>
  <si>
    <t>Horizontales y verticales, y en cada una de ellas principales y secundarias.</t>
  </si>
  <si>
    <t>Horizontales y verticales, y en éstas últimas principales y secundarias.</t>
  </si>
  <si>
    <t>Verticales y horizontales, y en éstas últimas principales y secundarias.</t>
  </si>
  <si>
    <t>Verticales y horizontales, y en cada una de ellas principales, secundarias y terciarias.</t>
  </si>
  <si>
    <t>&lt;h2&gt;Ejercicio Práctico 4&lt;/h2&gt;
&lt;ul&gt;
 &lt;li&gt;Modificar la posición de las etiquetas de datos del beneficio, de modo que se coloquen en el extremo superior interno de su columna, y los de los gastos en el inferior. &lt;/li&gt;
 &lt;li&gt;Modificar el tamaño y alineación de los rótulos
     de los datos, de modo que sean de tamaño 8.&lt;/li&gt;
 &lt;li&gt;Guardar el libro Excel.&lt;/li&gt;
&lt;/ul&gt;</t>
  </si>
  <si>
    <t>En vertical, horizontal, girado u oblicuo.</t>
  </si>
  <si>
    <t>Sólo en vertical, horizontal o girado.</t>
  </si>
  <si>
    <t>Sólo en vertical u horizontal.</t>
  </si>
  <si>
    <t>Sólo en vertical.</t>
  </si>
  <si>
    <t>Las opciones que tenemos por defecto para los rótulos del eje vertical primario son:</t>
  </si>
  <si>
    <t>Superior, inferior, hacia la izquierda, hacia la derecha, inferior izquierda.</t>
  </si>
  <si>
    <t>Superior, inferior, hacia la izquierda, hacia la derecha, inferior derecha.</t>
  </si>
  <si>
    <t>Superior, inferior, hacia la izquierda, hacia la derecha, superior izquierda.</t>
  </si>
  <si>
    <t>Superior, inferior, hacia la izquierda, hacia la derecha, superior derecha.</t>
  </si>
  <si>
    <t>Entre las opciones para posicionar la leyenda de un gráfico tenemos:</t>
  </si>
  <si>
    <t>Nombre del gráfico.</t>
  </si>
  <si>
    <t>Nombre de la categoría.</t>
  </si>
  <si>
    <t>Nombre de la serie.</t>
  </si>
  <si>
    <t>Valor.</t>
  </si>
  <si>
    <t>No podremos poner normalmente como etiquetas de datos:</t>
  </si>
  <si>
    <t>Se mostrará debajo del gráfico y puede ir con o sin los nombres de la categoría.</t>
  </si>
  <si>
    <t>Se mostrará encima del gráfico y puede ir con o sin los nombres de la categoría.</t>
  </si>
  <si>
    <t>Se mostrará debajo del gráfico y puede ir con o sin las caves de la leyenda.</t>
  </si>
  <si>
    <t>Se mostrará encima del gráfico y puede ir con o sin las caves de la leyenda.</t>
  </si>
  <si>
    <t>Podemos incluir en el gráfico la tabla de datos que lo genera, y en concreto:</t>
  </si>
  <si>
    <t>En muchas ocasiones deberemos modificar las opciones del eje vertical, entre las cuales no se encuentra:</t>
  </si>
  <si>
    <t>Fijar los valores mínimo y máximo del eje, de modo que el tamaño de los marcadores de datos se ajustará convenientemente.</t>
  </si>
  <si>
    <t>Fijar las unidades mayor y menor, de modo que se mostrarán más o menos líneas de cuadrícula.</t>
  </si>
  <si>
    <t>Indicar que los valores van en orden inverso, de modo que los valores más grandes tendrán un marcador más pequeño.</t>
  </si>
  <si>
    <t>Representar los valores en millares o millones para facilitar la legibilidad en caso de que los valores representados sean muy grandes.</t>
  </si>
  <si>
    <t>Un relleno de trama.</t>
  </si>
  <si>
    <t>Un relleno con imagen o vídeo.</t>
  </si>
  <si>
    <t>Un relleno degradado.</t>
  </si>
  <si>
    <t>Un relleno sólido.</t>
  </si>
  <si>
    <t>Podemos rellenar el área de trazado de un gráfico con diversos elementos, entre los que no se encuentra:</t>
  </si>
  <si>
    <t>Tanto el área de trazado como el cuadro gráfico aplican a los gráficos 3D.</t>
  </si>
  <si>
    <t>Tanto el área de trazado como el cuadro gráfico aplican a los gráficos 2D.</t>
  </si>
  <si>
    <t>El cuadro gráfico aplica a los gráficos 2D, mientras que el área de trazado a los 3D.</t>
  </si>
  <si>
    <t>El área de trazado aplica a los gráficos 2D, mientras que el cuadro gráfico a los 3D.</t>
  </si>
  <si>
    <t>Respecto de los fondos de un gráfico, podemos afirmar:</t>
  </si>
  <si>
    <t>Podemos cambiar la perspectiva o bien configurar la escala del gráfico para tener los ejes en ángulo recto, pero no simultáneamente.</t>
  </si>
  <si>
    <t>No podemos configurar la escala del gráfico para tener los ejes en ángulo recto ni cambiar la perspectiva.</t>
  </si>
  <si>
    <t>Podemos configurar la escala del gráfico para tener los ejes en ángulo recto, pero no podemos cambiar la perspectiva.</t>
  </si>
  <si>
    <t>Podemos cambiar la perspectiva pero la escala del gráfico no permitirá tener los ejes en ángulo recto.</t>
  </si>
  <si>
    <t>A un gráfico al que le podamos aplicar un giro 3D:</t>
  </si>
  <si>
    <t>Sombra, ángulo, bordes suaves, etc.</t>
  </si>
  <si>
    <t>Sombra, bisel, iluminado, reflexión, etc.</t>
  </si>
  <si>
    <t>Oscurecido, bisel, bordes suaves, etc.</t>
  </si>
  <si>
    <t>Sombra, bisel, bordes suaves, refracción, etc.</t>
  </si>
  <si>
    <t>Podemos modificar el formato de las diferentes formas, aplicándoles efectos tales como:</t>
  </si>
  <si>
    <t>Sólido, con imagen o textura, de trama, etc.</t>
  </si>
  <si>
    <t xml:space="preserve">Sólido, degradado, de trama, apuntado, etc.
</t>
  </si>
  <si>
    <t>Degradado, con imagen o textura, espiral, etc.</t>
  </si>
  <si>
    <t>Sólido, degradado, con imagen o relieve, etc.</t>
  </si>
  <si>
    <t>En elementos del gráfico tales como el título, tenemos opciones de relleno como las siguientes:</t>
  </si>
  <si>
    <t>&lt;h2&gt;Objetivos&lt;/h2&gt;
&lt;p&gt;Los objetivos de esta unidad son los siguientes:&lt;/p&gt;
&lt;ul&gt;
&lt;li&gt;&lt;span style="font-size: 1em; line-height: 1.6em;"&gt;Conocer cómo cambiar la
     estructura o el tipo de gráfico o sus diferentes parámetros de
     visualización.&lt;/span&gt;&lt;/li&gt;
&lt;li&gt;&lt;span style="font-size: 1em; line-height: 1.6em;"&gt;Conocer cómo cambiar el modo
     de visualización de los diferentes elementos constitutivos de un gráfico.&lt;/span&gt;&lt;/li&gt;
&lt;/ul&gt;</t>
  </si>
  <si>
    <t xml:space="preserve">
&lt;p&gt;Dado que el Excel es un programa de la
familia de las hojas de cálculo, el principal tipo de datos que utilizará es el
&lt;b&gt;numérico&lt;/b&gt;, que es el que normalmente usamos para calcular.&lt;/p&gt;
&lt;p&gt;Es importante notar que cuando
introducimos un dato numérico en una celda, éste se ajusta por defecto a la
derecha de la misma.&lt;/p&gt;
&lt;p&gt;Es posible introducir datos numéricos con
algunos símbolos especiales, siempre que lo hagamos de determinada manera. A
continuación se muestran algunos ejemplos de datos que introducidos se
considerarían de este tipo:&lt;/p&gt;
&lt;div align="center"&gt;
&lt;table&gt;
 &lt;tr&gt;
  &lt;td&gt;
  &lt;p class=MsoNormal&gt;123 &lt;/p&gt;
  &lt;p class=MsoNormal&gt;2008 &lt;/p&gt;
  &lt;p class=MsoNormal&gt;1234,56 &lt;/p&gt;
  &lt;p class=MsoNormal&gt;-1234 &lt;/p&gt;
  &lt;p class=MsoNormal&gt;(5678) &lt;/p&gt;
  &lt;p class=MsoNormal&gt;15% &lt;/p&gt;
  &lt;p class=MsoNormal&gt;5,5% &lt;/p&gt;
  &lt;p class=MsoNormal&gt;600€ &lt;/p&gt;
  &lt;p class=MsoNormal&gt;=2*3 &lt;/p&gt;
  &lt;p class=MsoNormal&gt;=1/4 &lt;/p&gt;
  &lt;p class=MsoNormal&gt;0 1/4 &lt;/p&gt;
  &lt;p class=MsoNormal&gt;0 2/4 &lt;/p&gt;
  &lt;p class=MsoNormal&gt;123456789012345 &lt;/p&gt;
  &lt;p class=MsoNormal&gt;1234567890123456789 &lt;/p&gt;
  &lt;/td&gt;
 &lt;/tr&gt;
&lt;/table&gt;
&lt;/div&gt;</t>
  </si>
  <si>
    <t>&lt;p&gt;Las celdas de las hojas de cálculo pueden contener datos de
tipo &lt;b&gt;texto&lt;/b&gt; (también llamado &lt;b&gt;alfanumérico&lt;/b&gt; puesto que las
combinaciones de letras y números son de esta naturaleza).&lt;/p&gt;
&lt;p&gt;Usamos habitualmente este tipo de datos para clarificar la
estructura de la hoja, o bien porque es la naturaleza misma de la información.&lt;/p&gt;
&lt;p&gt;Con la información de este tipo no se pueden realizar
operaciones aritméticas, aunque el programa nos proveerá de herramientas
específicas para trabajar con los datos de esta naturaleza. A continuación se
muestran algunos ejemplos:&lt;/p&gt;
&lt;div align="center"&gt;
&lt;table&gt;
 &lt;tr&gt;
  &lt;td&gt;
  &lt;p class=MsoNormal&gt;Tuercas &lt;/p&gt;
  &lt;p class=MsoNormal&gt;Camino de Vera s/n &lt;/p&gt;
  &lt;p class=MsoNormal&gt;Fax 963877007 &lt;/p&gt;
  &lt;p class=MsoNormal&gt;Hola &lt;/p&gt;
  &lt;p class=MsoNormal&gt;Enero &lt;/p&gt;
  &lt;p class=MsoNormal&gt;Trimestre 1 &lt;/p&gt;
  &lt;p class=MsoNormal&gt;1:1:1:1 &lt;/p&gt;
  &lt;p class=MsoNormal&gt;12/13/2008 &lt;/p&gt;
  &lt;p class=MsoNormal&gt;600 euros &lt;/p&gt;
  &lt;p class=MsoNormal&gt;7/7/2007 1pm &lt;/p&gt;
  &lt;/td&gt;
 &lt;/tr&gt;
&lt;/table&gt;
&lt;/div&gt;</t>
  </si>
  <si>
    <t>&lt;p&gt;Este tipo de datos se refiere a la información que hace
referencia a una fecha o a una hora concreta en el tiempo, o incluso a una
combinación de ambas (una fecha determinada, a una hora concreta).&lt;/p&gt;
&lt;p&gt;Este tipo de dato lo trata el programa como un dato numérico
(lo ajusta a la derecha de la celda) con algunas características concretas,
para los que tiene algunas herramientas adicionales. Normalmente se deducirá el
tipo de la introducción que realicemos en la celda; a continuación se muestran
algunos ejemplos:&lt;/p&gt;
&lt;div align="center"&gt;
&lt;table&gt;
 &lt;tr&gt;
  &lt;td&gt;
  &lt;p class=MsoNormal&gt;12/12/2012 &lt;/p&gt;
  &lt;p class=MsoNormal&gt;7-7-2007 &lt;/p&gt;
  &lt;p class=MsoNormal&gt;9/7/08 &lt;/p&gt;
  &lt;p class=MsoNormal&gt;12:25 &lt;/p&gt;
  &lt;p class=MsoNormal&gt;12/13 &lt;/p&gt;
  &lt;p class=MsoNormal&gt;7-julio &lt;/p&gt;
  &lt;p class=MsoNormal&gt;7-julio-2007 &lt;/p&gt;
  &lt;p class=MsoNormal&gt;Julio/2012 &lt;/p&gt;
  &lt;p class=MsoNormal&gt;1/4 &lt;/p&gt;
  &lt;p class=MsoNormal&gt;1:1 &lt;/p&gt;
  &lt;p class=MsoNormal&gt;1:1:1 &lt;/p&gt;
  &lt;p class=MsoNormal&gt;1 pm &lt;/p&gt;
  &lt;p class=MsoNormal&gt;9/9/2009 9 pm &lt;/p&gt;
  &lt;/td&gt;
 &lt;/tr&gt;
&lt;/table&gt;
&lt;/div&gt;</t>
  </si>
  <si>
    <t>&lt;p&gt;Este tipo de datos se refiere a la información de tipo
booleano, que únicamente puede tener el valor VERDADERO o FALSO.&lt;/p&gt;
&lt;p&gt;Cuando introducimos un dato de este tipo en una celda, se
centran en la misma. No es muy habitual que verlos de forma explícita, aunque
se utilizan mucho en expresiones y fórmulas. A continuación vemos algunos
ejemplos: &lt;/p&gt;
&lt;div align="center"&gt;
&lt;table&gt;
 &lt;tr&gt;
  &lt;td&gt;
  &lt;p class=MsoNormal&gt;Verdadero &lt;/p&gt;
  &lt;p class=MsoNormal&gt;Falso &lt;/p&gt;
  &lt;p class=MsoNormal&gt;=10&amp;gt;12 &lt;/p&gt;
  &lt;/td&gt;
 &lt;/tr&gt;
&lt;/table&gt;
&lt;/div&gt;</t>
  </si>
  <si>
    <t>&lt;p&gt;Una referencia es relativa cuando indicamos la columna
(letra) y fila (número) de la celda al incluirla como parte de una fórmula. Si
copiamos dicha fórmula en otras celdas de la hoja, Excel convertirá la letra y
número de las referencias que aparezcan en función del desplazamiento de la
copia. Es decir, si por ejemplo copiamos dicha fórmula tres filas más abajo, la
nueva fórmula tendrá la misma referencia anterior sumando 3 al identificador de
la fila, o bien, si la copiamos 5 columnas a su derecha, la modificación
consistirá en sustituir el identificador de columna por la 5ª letra siguiente
en el abecedario. &lt;/p&gt;
&lt;p&gt;Ejemplos utilización de referencias relativas: &lt;/p&gt;
&lt;div align="center"&gt;
&lt;table&gt;
 &lt;tr&gt;
  &lt;td&gt;
  &lt;p class=MsoNormal&gt;B6 &lt;/p&gt;
  &lt;p class=MsoNormal&gt;=B2+C2 &lt;/p&gt;
  &lt;p class=MsoNormal&gt;=D3*B8 &lt;/p&gt;
  &lt;/td&gt;
 &lt;/tr&gt;
&lt;/table&gt;
&lt;/div&gt;</t>
  </si>
  <si>
    <t>&lt;p&gt;A veces, es necesario hacer referencia a una celda fija de
la hoja para realizar muchos cálculos. En estos casos, el modo relativo puede
ser incómodo. El modo absoluto siempre copiará el contenido de la fórmula
exacto, independientemente del desplazamiento que realicemos al copiar dicha
fórmula. Se indica anteponiendo el símbolo &lt;i&gt;$&lt;/i&gt; al identificativo de
columna y fila. &lt;/p&gt;
&lt;p&gt;Existe un modo abreviado de transformar las referencias de
un tipo a otro, seleccionándola y pulsando posteriormente la tecla F4. &lt;/p&gt;
&lt;p&gt;Ejemplos utilización de referencias absolutas: &lt;/p&gt;
&lt;div align="center"&gt;
&lt;table&gt;
 &lt;tr&gt;
  &lt;td&gt;
  &lt;p class=MsoNormal&gt;$B$6 &lt;/p&gt;
  &lt;p class=MsoNormal&gt;=D3+$B$7 &lt;/p&gt;
  &lt;/td&gt;
 &lt;/tr&gt;
&lt;/table&gt;
&lt;/div&gt;</t>
  </si>
  <si>
    <t>&lt;p&gt;Es posible que nos interese mantener una referencia relativa
para las filas y absoluta para las columnas o viceversa. En estos casos
utilizamos el modo mixto. Se indica anteponiendo el símbolo &lt;i&gt;$&lt;/i&gt; al
identificativo de columna o fila. &lt;/p&gt;
&lt;p&gt;A ambos modos de referencias mixtas podemos acceder pulsando
la tecla F4, y aparecen a continuación de las referencias relativa y absoluta.
Es decir, cuando nos posicionamos en una referencia, pulsando la tecla F4
convertiremos sucesivamente en absoluta, mixta relativa de columna (y absoluta
de fila),o mixta relativa de fila (y absoluta de columna) &lt;/p&gt;
&lt;p&gt;Ejemplos utilización de referencias mixtas: &lt;/p&gt;
&lt;div align="center"&gt;
&lt;table&gt;
 &lt;tr&gt;
  &lt;td&gt;
  &lt;p class=MsoNormal&gt;B$6 (columna relativo, fila absoluto) &lt;/p&gt;
  &lt;p class=MsoNormal&gt;$B6 (columna absoluto, fila relativo). &lt;/p&gt;
  &lt;p class=MsoNormal&gt;=D3+B$7 &lt;/p&gt;
  &lt;p class=MsoNormal&gt;=D3+$B7 &lt;/p&gt;
  &lt;/td&gt;
 &lt;/tr&gt;
&lt;/table&gt;
&lt;/div&gt;</t>
  </si>
  <si>
    <t xml:space="preserve">&lt;p&gt;En las pestaña &lt;i&gt;Inicio&lt;/i&gt; de la Cinta de herramientas tenemos
algunos accesos rápidos a los formatos más usuales: contabilidad (monetarios),
porcentual, millares y para aumentar o disminuir el número de decimales a
mostrar.&lt;/p&gt;
&lt;p align="center" style='text-align:center'&gt;&lt;img src="/static/w3_cont_image001.png"&gt;&lt;/p&gt;
&lt;p&gt;Hay un menú desplegable que por defecto está en el modo
General, pero podemos seleccionar otros: el formato denominado &lt;i&gt;Número&lt;/i&gt;
permite controlar la cantidad de decimales que se muestran en la celda, y también
permite mostrar el punto separador de miles o el tratamiento de los negativos.&lt;/p&gt;
&lt;p align="center" style='text-align:center'&gt;&lt;img src="/static/w3_cont_image002.png"&gt;&lt;/p&gt;
&lt;p&gt;Existen otros formatos para el tratamiento de valores
numéricos concretos, como puede ser el formato &lt;i&gt;Moneda&lt;/i&gt;, que indica la cantidad
numérica seguida de la moneda del país; que en nuestro caso es el Euro, y con
dos decimales.&lt;/p&gt;
&lt;p&gt;También podemos utilizar el formato &lt;i&gt;Porcentaje&lt;/i&gt;, que
expresa la cantidad real que contiene la celda multiplicada por 100 y seguida
del símbolo &lt;i&gt;%&lt;/i&gt;&lt;/p&gt;
&lt;p&gt;En el extremo inferior tenemos el lanzador del cuadro de
diálogo con las opciones completas.&lt;/p&gt;
&lt;p align="center" style='text-align:center'&gt;&lt;img src="/static/w3_cont_image003.png"&gt;&lt;/p&gt;
</t>
  </si>
  <si>
    <t xml:space="preserve">&lt;p&gt;Es posible modificar la apariencia global de la información
contenida en una celda en lo referente a sus fuentes de escritura. Sobre la
misma pestaña &lt;i&gt;Inicio&lt;/i&gt; de la cinta existe el grupo &lt;i&gt;Fuentes&lt;/i&gt;, que nos
permitirá modificar rápidamente el tipo de fuente de escritura, así como el
tamaño.&lt;/p&gt;
&lt;p align="center" style='text-align:center'&gt;&lt;img src="/static/w3_cont_image004.png"&gt;&lt;/p&gt;
&lt;p&gt;También podemos aplicarle estilos tales como negrita, cursiva y subrayado.&lt;/p&gt;
&lt;p align="center" style='text-align:center'&gt;&lt;img src="/static/w3_cont_image005.png"&gt;&lt;/p&gt;
&lt;p&gt;En el extremo inferior tenemos el lanzador del cuadro de
diálogo con las opciones completas, donde también podremos aplicarle un
determinado efecto, como tachado, subíndice o superíndice&lt;/p&gt;
&lt;p align="center" style='text-align:center'&gt;&lt;img src="/static/w3_cont_image006.png"&gt;&lt;/p&gt;
</t>
  </si>
  <si>
    <t xml:space="preserve">&lt;p&gt;En muchas ocasiones introduciremos por teclado valores
numéricos que el programa entenderá que se refieren a fechas y/o horas; en ese
caso los mostrará con el formato que por defecto tenga para ese tipo de
valores. Las características de visualización de este tipo de datos podemos
variarlo con las diferentes opciones que para ello se nos ofrecen junto con el
resto de formatos numéricos.&lt;/p&gt;
&lt;p&gt;Independientemente del formato con el que se represente, el
contenido de la celda es un valor numérico que indica un determinado instante
temporal, con su correspondiente valor del día, mes, año, hora, minuto y
segundo. En general no visualizaremos en cada momento todos esos datos, pero Excel
trabajará siempre con ellos para facilitar la realización de operaciones.&lt;/p&gt;
&lt;p align="center" style='text-align:center'&gt;&lt;img src="/static/w3_cont_image007.png"&gt;&lt;/p&gt;
</t>
  </si>
  <si>
    <t xml:space="preserve">&lt;p&gt;Por defecto, el programa alinea los textos al lado izquierdo
de la celda donde se introducen y los números a la derecha. Este comportamiento
puede ser modificado, por medio de los botones de acceso rápido que figuran en
el grupo &lt;i&gt;Alineación&lt;/i&gt; de la Cinta de herramientas.&lt;/p&gt;
&lt;p&gt;Es posible controlar la alineación de la información
contenida en una celda o rango, tanto en &lt;i&gt;Horizontal&lt;/i&gt; (izquierda, centro,
derecha, justificada, etc.) como en &lt;i&gt;Vertical&lt;/i&gt; (superior, centrar,
inferior o justificar). Es posible también incluir sangrías para alineaciones a
izquierdas o derechas en sentido horizontal.&lt;/p&gt;
&lt;p align="center" style='text-align:center'&gt;&lt;img src="/static/w3_cont_image008.png"&gt;&lt;/p&gt;
&lt;p&gt;En el extremo inferior tenemos el lanzador del cuadro de
diálogo con las opciones completas.&lt;/p&gt;
&lt;p align="center" style='text-align:center'&gt;&lt;img src="/static/w3_cont_image009.png"&gt;&lt;/p&gt;
</t>
  </si>
  <si>
    <t xml:space="preserve">&lt;p&gt;Podemos resaltar las líneas que delimitan una celda o rango
con diversos tipos de línea y grosor. Tenemos para ello un menú desplegable en
el grupo &lt;i&gt;Fuente&lt;/i&gt; de la Cinta de herramientas&lt;/p&gt;
&lt;p align="center" style='text-align:center'&gt;&lt;img src="/static/w3_cont_image010.png"&gt;&lt;/p&gt;
&lt;p&gt;Las opciones completas se acceden desde el lanzador del cuadro de diálogo:&lt;/p&gt;
&lt;p align="center" style='text-align:center'&gt;&lt;img src="/static/w3_cont_image011.png"&gt;&lt;/p&gt;
</t>
  </si>
  <si>
    <t xml:space="preserve">&lt;p&gt;Podemos añadir mucha vistosidad a las hojas aplicando
colores a diferentes celdas o rangos. Del mismo modo, podemos resaltar
el contenido de determinadas celdas cambiando el color de la fuente con que
está escrito. Tenemos para ello sendos menús desplegables en el grupo &lt;i&gt;Fuente&lt;/i&gt;
de la Cinta de herramientas.&lt;/p&gt;
&lt;p align="center" style='text-align:center'&gt;&lt;img src="/static/w3_cont_image012.png"&gt;&lt;/p&gt;
&lt;p&gt;Las opciones completas se acceden desde el lanzador del cuadro de diálogo:&lt;/p&gt;
&lt;p align="center" style='text-align:center'&gt;&lt;img src="/static/w3_cont_image013.png"&gt;&lt;/p&gt;
</t>
  </si>
  <si>
    <t xml:space="preserve">&lt;p&gt;A través del lanzador del cuadro de diálogo del grupo &lt;i&gt;Fuente&lt;/i&gt;
de la Cinta de herramientas podemos acceder a la solapa &lt;i&gt;Relleno&lt;/i&gt;. Esta
ventana, que permite también definir el color de fondo de las celdas, nos da la
opción de combinar dicho color con un tramado (líneas horizontales, verticales,
diagonales, etc.)&lt;/p&gt;
&lt;p align="center" style='text-align:center'&gt;&lt;img src="/static/w3_cont_image014.png"&gt;&lt;/p&gt;
&lt;p&gt;También podemos aplicar diversos efectos de relleno de tipo degradado.&lt;/p&gt;
&lt;p align="center" style='text-align:center'&gt;&lt;img src="/static/w3_cont_image015.png"&gt;&lt;/p&gt;
</t>
  </si>
  <si>
    <t xml:space="preserve">&lt;p&gt;El programa también define una determinada altura para las
filas. Para modificarla, situaremos el puntero en la línea de separación de los
encabezados de la fila en cuestión y la siguiente (números) y arrastraremos la
línea de separación entre ambas a la posición deseada mediante una operación de arrastre
del ratón.&lt;/p&gt;
&lt;p&gt;También podemos en este caso hacerlo mediante el menú
contextual que aparece pulsando el botón derecho del ratón en una fila
seleccionada, y si en lugar de seleccionar una fila lo hacemos con varias la
altura indicada se aplicará a todas ellas. También tenemos el ajuste automático
haciendo un &lt;i&gt;doble click&lt;/i&gt; en lugar del movimiento de arrastre.&lt;/p&gt;
&lt;p&gt;Finalmente, existe la opción &lt;i&gt;Ajustar texto&lt;/i&gt;, que
permite que todo el contenido de una celda sea visible dentro de una celda,
mostrándolo en varias columnas.&lt;/p&gt;
&lt;p align="center" style='text-align:center'&gt;&lt;img src="/static/w3_cont_image016.png"&gt;&lt;/p&gt;
&lt;p&gt;En el mismo grupo &lt;i&gt;Alineación&lt;/i&gt; de la Cinta, existen
botones para alinear el texto en la parte superior, central o inferior.&lt;/p&gt;
&lt;p align="center" style='text-align:center'&gt;&lt;img src="/static/w3_cont_image017.png"&gt;&lt;/p&gt;
</t>
  </si>
  <si>
    <t xml:space="preserve">&lt;p&gt;Cuando tenemos un título de una tabla, habitualmente lo
pondremos en la celda inmediatamente superior a la primera de la tabla. Es
práctica habitual centrar ese título en lo que es el ancho de toda la tabla.
Utilizaremos para ello la opción &lt;i&gt;Combinar y centrar&lt;/i&gt; que aparece en el
grupo &lt;i&gt;Alineación&lt;/i&gt; de la Cinta de herramientas.&lt;/p&gt;
&lt;p&gt;En el correspondiente menú desplegable hay varias opciones
para combinar y/o centrar. Cuando en el rango seleccionado hay contenido en más
de una de las celdas, a la hora de combinar tiene prioridad el de la celda
superior y después el de la izquierda.&lt;/p&gt;
&lt;p align="center" style='text-align:center'&gt;&lt;img src="/static/w3_cont_image018.png"&gt;&lt;/p&gt;
</t>
  </si>
  <si>
    <t>&lt;p&gt;Excel tiene una serie de estilos
predefinidos, que podemos utilizar para resaltar diferentes rangos de datos,
como encabezados, títulos etc.&lt;/p&gt;
&lt;p&gt;También podemos dar, de una manera muy
sencilla, un determinado énfasis a cualquier conjunto de datos.&lt;/p&gt;
&lt;p&gt;Podemos todo ello hacerlo desde la Cinta
de herramientas, pestaña &lt;i&gt;Inicio&lt;/i&gt;, grupo &lt;i&gt;Estilos&lt;/i&gt;. En la esquina
inferior derecha.&lt;/p&gt;
&lt;p align="center" style='text-align:center'&gt;&lt;img src="/static/w4_cont_image001.png"&gt;&lt;/p&gt;
&lt;p&gt;En la pestaña &lt;i&gt;Diseño de página&lt;/i&gt; de la Cinta de
herramientas podemos seleccionar distintos temas, o conjuntos de colores,
fuentes o tamaños que determinan el estilo por defecto.&lt;/p&gt;
&lt;p align="center" style='text-align:center'&gt;&lt;img src="/static/w4_cont_image002.png"&gt;&lt;/p&gt;</t>
  </si>
  <si>
    <t>&lt;p&gt;Podemos acceder al comando de impresión a través de la
pestaña &lt;i&gt;Archivo&lt;/i&gt;. Una vez allí, seleccionamos &lt;i&gt;Imprimir&lt;/i&gt; y el
programa nos muestra a la derecha de la pantalla una vista preliminar que nos
indica cómo va a quedar nuestra hoja una vez impresa.&lt;/p&gt;
&lt;p align="center" style='text-align:center'&gt;&lt;img src="/static/w4_cont_image003.png"&gt;&lt;/p&gt;
&lt;p&gt;En la parte superior de la pantalla los aparece el botón &lt;i&gt;Imprimir&lt;/i&gt;,
así como un indicador del número de copias. Al pulsar el botón se imprimirán
las copias del área completa con datos de la hoja de cálculo activa, de acuerdo
con los formatos de visualización que en ese momento estén definidos.&lt;/p&gt;</t>
  </si>
  <si>
    <t>&lt;p&gt;La parte central de la pantalla nos permite muchas opciones
diferentes, como imprimir el libro completo, imprimir un grupo de hojas o
rangos previamente seleccionados, o bien un determinado intervalo de páginas.&lt;/p&gt;
&lt;p align="center" style='text-align:center'&gt;&lt;img src="/static/w4_cont_image004.png"&gt;&lt;/p&gt;
&lt;p&gt;Dependiendo de la impresora, también podemos elegir que
imprima a una o dos caras o que lo haga en papel de tamaño distinto al A4.&lt;/p&gt;
&lt;p&gt;Otra opción de que disponemos es el intercalado, que
consiste en que imprima seguidas las diferentes hojas de papel que componen
cada copia, o bien lo haga con todas las copias de cada una de las hojas.&lt;/p&gt;
&lt;p&gt;Finalmente, podemos alterar la orientación del papel de modo
que esté en sentido horizontal o vertical.&lt;/p&gt;</t>
  </si>
  <si>
    <t>&lt;p&gt;Tanto en la solapa de diseño de la página como en la de
archivo tenemos la opción de modificar los márgenes que va a dejar la zona
interesada respecto de los extremos del papel.&lt;/p&gt;
&lt;p align="center" style='text-align:center'&gt;&lt;img src="/static/w4_cont_image005.png"&gt;&lt;/p&gt;
&lt;p&gt;Por defecto el Excel imprimirá con unos márgenes de tamaño
normal, los cuales podemos variar a unos valores diferentes, bien a unos
valores más anchos o estrechos que nos ofrece o incluso personalizarlos
totalmente. &lt;/p&gt;</t>
  </si>
  <si>
    <t>&lt;p&gt;En la parte inferior de la ventana podemos variar el
escalado de impresión de la hoja, pudiéndole  decir por ejemplo que imprima
toda la hoja en una sola página, o bien que ajuste para que todas las columnas
(o filas) quepan en una sola página. &lt;/p&gt;
&lt;p align="center" style='text-align:center'&gt;&lt;img src="/static/w4_cont_image006.png"&gt;&lt;/p&gt;
&lt;p&gt;También en la solapa de &lt;i&gt;Diseño de página&lt;/i&gt; de la Cinta
herramientas, en el grupo &lt;i&gt;Ajustar área de impresión &lt;/i&gt;podemos indicarle la
cantidad de páginas que ha de tener de ancho o de alto la copia impresa de la
hoja de cálculo también podemos obtener este efecto variando la escala aún porcentaje
determinado.&lt;/p&gt;
&lt;p align="center" style='text-align:center'&gt;&lt;img src="/static/w4_cont_image007.png"&gt;&lt;/p&gt;</t>
  </si>
  <si>
    <t>&lt;p&gt;En la solapa de &lt;i&gt;Diseño de página&lt;/i&gt; de la Cinta
herramientas disponemos de diversas opciones para controlar cómo quedará
impresa la hoja de cálculo.&lt;/p&gt;
&lt;p align="center" style='text-align:center'&gt;&lt;img src="/static/w4_cont_image008.jpg"&gt;&lt;/p&gt;</t>
  </si>
  <si>
    <t>&lt;p&gt;Para que cuando mandemos a imprimir la hoja de cálculo sólo
se imprima un determinado rango (y no toda la hoja) debemos seleccionarlo e
invocar a la herramienta correspondiente de la solapa &lt;i&gt;Diseño de página&lt;/i&gt;.&lt;/p&gt;
&lt;p align="center" style='text-align:center'&gt;&lt;img src="/static/w4_cont_image009.png"&gt;&lt;/p&gt;</t>
  </si>
  <si>
    <t>&lt;p&gt;Por defecto, Excel no incluye líneas de división en la
salida impresa en papel, independientemente de que estén o no visibles en
nuestra hoja de cálculo. Del mismo modo, en la pantalla nos aparecen letras y
números como encabezados de las columnas y filas que no resultan impresas
normalmente en el papel.&lt;/p&gt;
&lt;p&gt;En la solapa de &lt;i&gt;Diseño de página&lt;/i&gt; de la Cinta de herramientas
disponemos de un par de opciones relativas a las líneas de cuadrícula y los
encabezados de columnas (letras) y filas (números). En ambos casos se ven en la
ventana de trabajo pero no se imprimen; marcando o desmarcando los cuadros del
grupo de herramientas &lt;i&gt;Opciones de la hoja&lt;/i&gt; podemos alterar dichas
opciones de defecto.&lt;/p&gt;
&lt;p align="center" style='text-align:center'&gt;&lt;img src="/static/w4_cont_image010.png"&gt;&lt;/p&gt;</t>
  </si>
  <si>
    <t>&lt;p&gt;Si el área de impresión es demasiado ancha o demasiado larga
para caber en una única página, Excel trabaja normalmente en orden hacia abajo,
y luego a la derecha. Si deseamos que se imprima primero cada sección
horizontal antes de desplazarse hacia abajo, deberemos alterar este orden de
defecto.&lt;/p&gt;
&lt;p&gt;Para hacerlo, en la solapa de &lt;i&gt;Diseño de página&lt;/i&gt; llamamos
al lanzador del cuadro de diálogo del grupo &lt;i&gt;Opciones de la hoja&lt;/i&gt; y desde
allí (ventana de &lt;i&gt;Configurar página&lt;/i&gt;, solapa &lt;i&gt;Hoja&lt;/i&gt;) podemos variar
el orden de impresión de las páginas de la hoja, de la opción por defecto &lt;i&gt;Hacia
abajo, luego hacia la derecha&lt;/i&gt; por el de &lt;i&gt;Hacia la derecha, luego hacia
abajo&lt;/i&gt;.&lt;/p&gt;
&lt;p align="center" style='text-align:center'&gt;&lt;img src="/static/w4_cont_image011.png"&gt;&lt;/p&gt;</t>
  </si>
  <si>
    <t>&lt;p&gt;En la solapa &lt;i&gt;Insertar&lt;/i&gt; disponemos de la herramienta de
edición del &lt;i&gt;Encabezado y pie de página&lt;/i&gt;, donde podemos seleccionar
diversos valores predefinidos, o bien personalizarlos como deseemos, por medio
de las diversas herramientas que nos ofrece la pestaña de &lt;i&gt;Diseño&lt;/i&gt;.&lt;/p&gt;
&lt;p align="center" style='text-align:center'&gt;&lt;img src="/static/w4_cont_image012.jpg"&gt;&lt;/p&gt;
&lt;p&gt;La hoja se nos muestra con la vista de &lt;i&gt;Diseño de página&lt;/i&gt;,
donde se nos muestra la zona de encabezado y pie divididos en tres secciones
(ajustado a la izquierda, centrado y ajustado a la derecha) en las que se
dividen ambos; posicionándonos en cualquiera de las zonas y pulsando cualquiera
de los botones auxiliares, podemos incluir el elemento que deseemos.&lt;/p&gt;</t>
  </si>
  <si>
    <t>&lt;p&gt;Muchas veces no nos interesarán los saltos de página que
automáticamente introduce el Excel; en ese caso, podemos forzar saltos donde
nos interesa. Esto se hace situándonos en la celda que queremos sea la primera
de la nueva página, y en la pestaña &lt;i&gt;Insertar&lt;/i&gt;, dar la orden &lt;i&gt;Saltos &lt;/i&gt;y
después&lt;i&gt; Insertar salto de página&lt;/i&gt;. Hay que tener cuidado, pues este salto
es tanto en horizontal como en vertical.&lt;/p&gt;
&lt;p align="center" style='text-align:center'&gt;&lt;img src="/static/w4_cont_image013.png"&gt;&lt;/p&gt;
&lt;p&gt;Para quitar un salto de página, nos situaremos en la misma
celda que lo contiene (la primera que aparece en la siguiente hoja impresa), y
seleccionaremos la orden &lt;i&gt;Quitar salto de página&lt;/i&gt;.&lt;/p&gt;
&lt;p&gt;En caso de que queramos quitarlos todos, optaremos por la
orden &lt;i&gt;Restablecer todos los saltos de página&lt;/i&gt;.&lt;/p&gt;</t>
  </si>
  <si>
    <t>&lt;p&gt;En muchas hojas de cálculo, los rótulos de columna y fila
que identifican las categorías de información están colocados sólo en las
columnas de la izquierda y en las filas superiores. Cuando Excel divide un
informe largo en varias páginas, estos rótulos de columna y fila aparecerían
sólo en la primera página de salida de la impresora. Podemos usar la ficha &lt;i&gt;Hoja&lt;/i&gt;
dentro del cuadro de diálogo &lt;i&gt;Configurar Página&lt;/i&gt; (al cual accedemos desde
los lanzadores de cuadros de diálogo en la pestaña &lt;i&gt;Diseño de página&lt;/i&gt;)
para imprimir el contenido de una o más filas o columnas en cada una de las
diferentes páginas en que el documento será impreso.&lt;/p&gt;
&lt;p&gt;Para ello deberemos posicionarnos en el cuadro Repetir filas
en el extremo superior y desde allí marcar el rango de filas que querremos
repetir en cada hoja. De la misma manera podemos actuar para las columnas.&lt;/p&gt;
&lt;p align="center" style='text-align:center'&gt;&lt;img src="/static/w4_cont_image014.png"&gt;&lt;/p&gt;</t>
  </si>
  <si>
    <t>&lt;p&gt;Antes de crear un gráfico será necesario haber introducido
información en diversas celdas de la hoja de cálculo de forma que sea susceptible
de ser representada gráficamente con algún sentido. Generalmente, esta
información se dispondrá en forma de tabla, y existirán determinados títulos a
modo de cabeceras de fila y/o columna que den significado a los datos que
relacionan.&lt;/p&gt;
&lt;p&gt;El modo más sencillo de crear un gráfico es seleccionar el
rango de datos que van a ser objeto de representación (incluidos los rótulos y
títulos de las filas y columnas correspondientes, en caso de existir),
seleccionar la pestaña &lt;i&gt;Insertar&lt;/i&gt; de la Cinta de herramientas y hacer &lt;i&gt;click&lt;/i&gt;
en algún botón del grupo &lt;i&gt;Gráficos&lt;/i&gt;.&lt;/p&gt;
&lt;p align="center" style='text-align:center'&gt;&lt;img src="/static/w5_cont_image001.jpg"&gt;&lt;/p&gt;
&lt;p&gt;Cada botón indica un tipo diferente de gráfico, y al
pulsarlo se nos despliegan los diferentes tipos que existen en la galería.&lt;/p&gt;
&lt;p align="center" style='text-align:center'&gt;&lt;img src="/static/w5_cont_image002.png"&gt;&lt;/p&gt;
&lt;p&gt;En la figura siguiente podemos ver un ejemplo de selección
de rango de datos para la creación de un gráfico:&lt;/p&gt;
&lt;p align="center" style='text-align:center'&gt;&lt;img src="/static/w5_cont_image003.png"&gt;&lt;/p&gt;
&lt;p&gt;En ese momento se insertará en nuestra hoja el gráfico
correspondiente; en general, el resultado que se nos muestre con las opciones
de defecto, en muchas ocasiones será satisfactorio, fundamentalmente si dentro
del rango seleccionado figuran textos que caracterizan los datos numéricos.&lt;/p&gt;
&lt;p align="center" style='text-align:center'&gt;&lt;img src="/static/w5_cont_image004.png"&gt;&lt;/p&gt;</t>
  </si>
  <si>
    <t xml:space="preserve">&lt;h2&gt;Diseño y elementos de un gráfico&lt;/h2&gt;
&lt;p&gt;Cuando seleccionamos un gráfico creado se nos abre e la
Cinta el grupo de pestañas &lt;i&gt;Herramientas de gráficos&lt;/i&gt;, que nos permiten
por ejemplo seleccionar distintos diseños del gráfico actual.&lt;/p&gt;
&lt;p align="center" style='text-align:center'&gt;&lt;img src="/static/w5_cont_image005.jpg"&gt;&lt;/p&gt;
&lt;p&gt;A continuación tenemos una representación de lo que sería un gráfico típico:&lt;/p&gt;
&lt;p align="center" style='text-align:center'&gt;&lt;img src="/static/w5_cont_image006.png"&gt;&lt;/p&gt;
&lt;p&gt;Y ese mismo gráfico podría tener un diseño diferente:&lt;/p&gt;
&lt;p align="center" style='text-align:center'&gt;&lt;img src="/static/w5_cont_image007.png"&gt;&lt;/p&gt;
&lt;p&gt;A la vista de las figuras, podemos identificar algunos de los
diferentes elementos que constituyen un gráfico:&lt;/p&gt;
&lt;p&gt;&lt;b&gt;Marcador de datos&lt;/b&gt;: cada marcador de datos (barra, área,
punto, sector u otro símbolo de un gráfico) representa un valor numérico que
procede de una celda de la hoja de cálculo; los marcadores de datos
relacionados en un gráfico constituyen una serie de datos.&lt;/p&gt;
&lt;p&gt;&lt;b&gt;Serie de datos&lt;/b&gt;: diferentes puntos de datos relacionados,
que se trazan en un gráfico mediante una trama o color común y se representa en
la leyenda del gráfico.&lt;/p&gt;
&lt;p&gt;&lt;b&gt;Leyenda&lt;/b&gt;: cuadro que indica las características
representativas de las diferentes series de datos. Excel utiliza los títulos de
las columnas o de las filas de datos de la hoja de cálculo para los nombres de
las series, por lo que estos nombres aparecen en la leyenda del gráfico.&lt;/p&gt;
&lt;p&gt;&lt;b&gt;Nombres de categoría&lt;/b&gt;: también Excel utiliza los títulos de
las columnas o de las filas de datos de la hoja de cálculo para asignar nombres
a los ejes de las categorías. En el ejemplo anterior, los diferentes meses que
existían como títulos de las filas de la hoja de cálculo, aparecen como nombres
de ejes de categorías del gráfico.&lt;/p&gt;
&lt;p&gt;&lt;b&gt;Títulos&lt;/b&gt;: identifican o dan información adicional al
gráfico, o bien a diferentes partes de él, como por ejemplo los ejes.&lt;/p&gt;
&lt;p&gt;&lt;b&gt;Rótulos de datos&lt;/b&gt;: Dan información adicional, además de la
representación gráfica, a los diferentes marcadores de datos.&lt;/p&gt;
</t>
  </si>
  <si>
    <t xml:space="preserve">&lt;p&gt;Si necesitamos añadir una nueva serie de celdas con los
nombres de categorías de un eje, podemos hacerlo mediante la ventana &lt;i&gt;Seleccionar
origen de datos&lt;/i&gt;, que se nos abre al pulsar el botón &lt;i&gt;Seleccionar datos&lt;/i&gt;
que disponemos en la pestaña &lt;i&gt;Diseño&lt;/i&gt; de las herramientas de gráficos, y
podemos señalar el rango tras pulsar el botón &lt;i&gt;Editar&lt;/i&gt; de la parte de la
derecha de la ventana.&lt;/p&gt;
&lt;p align="center" style='text-align:center'&gt;&lt;img src="/static/w5_cont_image008.png"&gt;&lt;/p&gt;
</t>
  </si>
  <si>
    <t xml:space="preserve">&lt;p&gt;Si necesitamos modificar los rangos de datos representados o
simplemente añadir una nueva serie o incluso los nombres de categorías, podemos
hacerlo mediante la ventana &lt;i&gt;Seleccionar origen de datos&lt;/i&gt;, que se nos abre
al pulsar el botón &lt;i&gt;Seleccionar datos&lt;/i&gt; que disponemos en la pestaña &lt;i&gt;Diseño&lt;/i&gt;
de las herramientas de gráficos:&lt;/p&gt;
&lt;p align="center" style='text-align:center'&gt;&lt;img src="/static/w5_cont_image009.jpg"&gt;&lt;/p&gt;
</t>
  </si>
  <si>
    <t xml:space="preserve">&lt;p&gt;Es muy habitual que en estos casos el asistente tome los
valores de los años por datos en lugar de etiquetas para la categoría, y el
gráfico resulte incorrecto:&lt;/p&gt;
&lt;p align="center" style='text-align:center'&gt;&lt;img src="/static/w5_cont_image010.jpg"&gt;&lt;/p&gt;
&lt;p&gt;En este caso es necesario eliminar de la
lista de series de datos la correspondiente a los años, e introducirla si acaso
en el eje de categorías. Podemos hacer todo ello desde la ventana &lt;i&gt;Seleccionar
origen de datos&lt;/i&gt;:&lt;/p&gt;
&lt;p align="center" style='text-align:center'&gt;&lt;img src="/static/w5_cont_image011.png"&gt;&lt;/p&gt;
&lt;p&gt;También tenemos la posibilidad de cambiar el contenido de
las celdas cuyo contenido son números pero queremos que se comporten como
etiquetas, cambiándolos a datos de tipo texto, por ejemplo poniendo la palabra
“Año” delante del número correspondiente.&lt;/p&gt;
</t>
  </si>
  <si>
    <t xml:space="preserve">&lt;p&gt;Cuando tenemos una tabla de datos, tenemos dos posibilidades
de asignación de las filas o columnas de datos la representación en los ejes
del gráfico. El programa representará una de ellas por defecto, pero podemos
alterarlo pulsando el botón Cambiar fila/columna que tenemos en la ventana &lt;i&gt;Seleccionar
origen de datos&lt;/i&gt;.&lt;/p&gt;
&lt;p align="center" style='text-align:center'&gt;&lt;img src="/static/w5_cont_image012.png"&gt;&lt;/p&gt;
&lt;p align="center" style='text-align:center'&gt;&lt;img src="/static/w5_cont_image013.png"&gt;&lt;/p&gt;
</t>
  </si>
  <si>
    <t xml:space="preserve">&lt;p&gt;Excel tiene muchos tipos de gráficos que podemos usar para
representar los datos de las hojas de cálculo.&lt;/p&gt;
&lt;p&gt;El tipo se define al crear el gráfico, o también podremos
modificar el tipo de un gráfico ya creado mediante el botón &lt;i&gt;Cambiar tipo de
gráfico&lt;/i&gt; que disponemos en la pestaña &lt;i&gt;Diseño&lt;/i&gt; de las herramientas de
gráficos:&lt;/p&gt;
&lt;p&gt;Los que en general utilizaremos de manera más frecuente son
los siguientes:&lt;/p&gt;
&lt;p&gt;&lt;b&gt;Gráfico de columnas (o barras) agrupadas&lt;/b&gt;: representa de
manera comparativa los diferentes valores que toma una o más series de datos,
según la longitud de la columna (o barra horizontal) que los representa.&lt;/p&gt;
&lt;p align="center" style='text-align:center'&gt;&lt;img src="/static/w5_cont_image014.png"&gt;&lt;/p&gt;
&lt;p&gt;&lt;b&gt;Gráfico de columnas (o barras) apiladas&lt;/b&gt;: representa de
manera comparativa el aporte de cada valor al total de la serie según la
longitud de la columna (o barra horizontal) que los representa.&lt;/p&gt;
&lt;p align="center" style='text-align:center'&gt;&lt;img src="/static/w5_cont_image015.png"&gt;&lt;/p&gt;
&lt;p&gt;&lt;b&gt;Gráfico de barras (o columnas) 100% apiladas&lt;/b&gt;: representa
de manera comparativa los diferentes porcentajes que cada valor aporta al total
fijo de su serie según la longitud de su porción de columna (o barra
horizontal) que los representa.&lt;/p&gt;
&lt;p align="center" style='text-align:center'&gt;&lt;img src="/static/w5_cont_image016.png"&gt;&lt;/p&gt;
&lt;p&gt;&lt;b&gt;Gráfico de líneas&lt;/b&gt;: representa una línea que une los
diferentes valores que toma una o más series de datos.&lt;/p&gt;
&lt;p align="center" style='text-align:center'&gt;&lt;img src="/static/w5_cont_image017.png"&gt;&lt;/p&gt;
&lt;p&gt;&lt;b&gt;Gráfico circular&lt;/b&gt;: representa la proporción del aporte de
cada uno de los valores de una serie de datos según la relación de tamaños de
sectores circulares.&lt;/p&gt;
&lt;p align="center" style='text-align:center'&gt;&lt;img src="/static/w5_cont_image018.png"&gt;&lt;/p&gt;
&lt;p&gt;Cada uno de los distintos tipos de gráficos será el más
indicado para representar una determinada colección de datos, dependiendo de su
naturaleza y de lo que queramos resaltar de ellos.&lt;/p&gt;
&lt;p&gt;Como ya hemos comentado, previamente
a la realización de un gráfico es conveniente asegurarse de que los datos de la
hoja de cálculo están organizados correctamente para el tipo de gráfico que
desea utilizar, pues de ese modo la realización del gráfico será inmediata.&lt;/p&gt;
&lt;p&gt;Para un gráfico de &lt;b&gt;columnas&lt;/b&gt;, de &lt;b&gt;barras&lt;/b&gt;, o de &lt;b&gt;líneas&lt;/b&gt;,
es conveniente organizar los datos en columnas (o en filas), con una fila y
columna de textos identificativos de los datos, todo ello preferiblemente en un
rango de celdas contiguas, y sin dejar espacios por el medio. El asistente
incorporará los textos identificativos como categorías o en la leyenda.&lt;/p&gt;
&lt;p&gt;Los gráficos &lt;b&gt;circulares&lt;/b&gt; sólo tienen una serie de
datos; por tanto, debemos utilizar sólo una columna de datos (es muy frecuente
el error de seleccionar varias series, queriendo representar la última de ellas,
y en ese caso el gráfico sólo representa la primera de ellas).&lt;/p&gt;
</t>
  </si>
  <si>
    <t xml:space="preserve">&lt;p&gt;Por defecto se nos crea el gráfico incrustado en la propia hoja
de cálculo, pero por medio del botón Mover gráfico de la pestaña Diseño podemos
situarlo en su propia hoja independiente (que se insertará en la posición
anterior a la hoja actual).&lt;/p&gt;
&lt;p align="center" style='text-align:center'&gt;&lt;img src="/static/w5_cont_image019.png"&gt;&lt;/p&gt;
&lt;p align="center" style='text-align:center'&gt;&lt;img src="/static/w5_cont_image020.png"&gt;&lt;/p&gt;
&lt;p&gt;Los gráficos incrustados se guardan como parte de la hoja de
cálculo en la que se ha creado; utilizaremos este tipo de gráficos cuando
queramos mostrar o imprimir uno o varios gráficos con los datos de la hoja de
cálculo.&lt;/p&gt;
&lt;p&gt;Una hoja de gráficos es una hoja independiente del libro,
que tiene su propio nombre de hoja; utilizaremos una hoja de gráficos cuando
deseemos ver o modificar gráficos complejos o de gran tamaño con independencia
de la hoja de cálculo, o bien cuando necesitemos dejar espacio libre en la
pantalla mientras trabajamos en la hoja de cálculo.&lt;/p&gt;
&lt;p align="center" style='text-align:center'&gt;&lt;img src="/static/w5_cont_image021.jpg"&gt;&lt;/p&gt;
</t>
  </si>
  <si>
    <t xml:space="preserve">&lt;p&gt;Una novedad que introduce esta versión de Excel es la
incorporación de una utilidad de minigráficos, los cuales representan de una
forma muy sucinta el sentido en que evolucionan los datos de un rango.&lt;/p&gt;
&lt;p&gt;Accedemos a esta utilidad por medio del grupo de comandos
correspondiente, accesible desde la pestaña &lt;i&gt;Insertar&lt;/i&gt; de la Cinta de
herramientas.&lt;/p&gt;
&lt;p align="center" style='text-align:center'&gt;&lt;img src="/static/w5_cont_image022.png"&gt;&lt;/p&gt;
&lt;p&gt;Tenemos tres tipos de minigráficos que podemos utilizar: de
línea, de columna y de ganancia o pérdida.&lt;/p&gt;
&lt;p&gt;Para crearlos, tan solo hemos de indicarle el rango que
contiene los datos a representar y la celda donde introducirlo.&lt;/p&gt;
</t>
  </si>
  <si>
    <t xml:space="preserve">&lt;p&gt;Una vez introducido un minigráfico en una de las celdas,
podemos autocompletar las celdas adyacentes en caso de que tengamos varios
rangos de datos similares.&lt;/p&gt;
&lt;p&gt;Una vez seleccionada la celda que contiene un minigráfico se
nos habilita una pestaña de herramientas de diseño para el minigráfico, donde
podemos cambiar su tipo, el estilo o colores con los que está trazado, e
incluso incluir marcadores o puntos extremos.&lt;/p&gt;
&lt;p align="center" style='text-align:center'&gt;&lt;img src="/static/w5_cont_image023.jpg"&gt;&lt;/p&gt;
</t>
  </si>
  <si>
    <t xml:space="preserve">&lt;p&gt;Cuando seleccionamos un grafico, haciendo &lt;i&gt;click&lt;/i&gt;
sobre el mismo, se nos abre en la Cinta de herramientas el conjunto de pestañas
para la edición del mismo; entre ellas tenemos la de &lt;i&gt;Presentación&lt;/i&gt;, que
posee diversas utilidades en el grupo &lt;i&gt;Etiquetas&lt;/i&gt;. La primera de ellas
es la del &lt;i&gt;Título del gráfico&lt;/i&gt;, que nos permite activarlo o no, y hacerlo
superpuesto o encima del propio gráfico.&lt;/p&gt;
&lt;p align="center" style='text-align:center'&gt;&lt;img src="/static/w6_cont_image001.png"/&gt;&lt;/p&gt;
&lt;p&gt;Seleccionando &lt;i&gt;Más opciones del título…&lt;/i&gt; podemos
controlar el relleno, colores y estilos, sombras, etc.&lt;/p&gt;
&lt;p align="center" style='text-align:center'&gt;&lt;img src="/static/w6_cont_image002.png"/&gt;&lt;/p&gt;
&lt;p&gt;Para modificar un título ya existente, basta con
seleccionarlo sobre el gráfico y escribir encima del texto ya existente.&lt;/p&gt;
</t>
  </si>
  <si>
    <t>&lt;p&gt;En el mismo grupo, en la herramienta &lt;i&gt;Rótulos del eje&lt;/i&gt;,
podemos controlar igualmente la posibilidad de que aparezca o no un texto
indicando las magnitudes que representan los ejes horizontal y vertical.&lt;/p&gt;
&lt;p align="center" style='text-align:center'&gt;&lt;img src="/static/w6_cont_image003.png"/&gt;&lt;/p&gt;
&lt;p&gt;En el caso concreto del eje vertical, tenemos alguna opción
adicional, como girar el texto o escribirlo en vertical.&lt;/p&gt;
&lt;p align="center" style='text-align:center'&gt;&lt;img src="/static/w6_cont_image004.png"/&gt;&lt;/p&gt;
&lt;p&gt;También podemos en estos casos seleccionar más opciones de
los títulos de los ejes, donde podemos controlar rellenos, colores y estilos,
sombras, etc.&lt;/p&gt;</t>
  </si>
  <si>
    <t xml:space="preserve">&lt;p&gt;Uno de los elementos que incluyen muchos diseños de gráficos
es la leyenda que indica con qué colores representa cada serie de datos. Si en
un primer momento no la hemos incluido, es posible añadirla a posteriori. Si
por el contrario ya disponemos de ella y queremos eliminarla, basta con que
hagamos clic en la leyenda del gráfico y la eliminamos con la tecla &lt;i&gt;Supr&lt;/i&gt;.&lt;/p&gt;
&lt;p&gt;En cualquier caso, tenemos todas las posibilidades agrupadas
en el menú desplegable al que accedemos con el botón &lt;i&gt;Leyenda&lt;/i&gt; de la
solapa &lt;i&gt;Presentación&lt;/i&gt;.&lt;/p&gt;
&lt;p align="center" style='text-align:center'&gt;&lt;img src="/static/w6_cont_image005.png"/&gt;&lt;/p&gt;
&lt;p&gt;En este caso también tenemos opciones adicionales en la
ventana correspondiente.&lt;/p&gt;
&lt;p align="center" style='text-align:center'&gt;&lt;img src="/static/w6_cont_image006.png"/&gt;&lt;/p&gt;
</t>
  </si>
  <si>
    <t xml:space="preserve">&lt;p&gt;Es muy habitual que, al presentar los datos en forma de
gráfico para ver su evolución o tendencia, queramos asimismo tener visibles
alguno o todos los datos concretos; en estos casos, es muy interesante añadir
el valor (o su nombre, o porcentaje...) como rótulo en su representación.
Controlaremos esta opción mediante la solapa &lt;i&gt;Etiquetas de datos&lt;/i&gt; de la
solapa &lt;i&gt;Presentación&lt;/i&gt;.&lt;/p&gt;
&lt;p align="center" style='text-align:center'&gt;&lt;img src="/static/w6_cont_image007.png"/&gt;&lt;/p&gt;
&lt;p&gt;En caso de mostrar las etiquetas, podremos controlar todos
los detalles de visualización accediendo a la ventana &lt;i&gt;Más opciones de la
etiqueta de datos…&lt;/i&gt; Algunas de las opciones que tenemos es definir la etqueta,
el formato del texto, etc.&lt;/p&gt;
&lt;p align="center" style='text-align:center'&gt;&lt;img src="/static/w6_cont_image008.png"/&gt;&lt;/p&gt;
</t>
  </si>
  <si>
    <t xml:space="preserve">&lt;p&gt;En el menú desplegable &lt;i&gt;Tabla de datos&lt;/i&gt; de la solapa 
&lt;i&gt;Presentación&lt;/i&gt;, tenemos la opción de incluir en el gráfico la tabla de datos
que lo genera. Es una opción a considerar además de la impresión de la hoja de
cálculo con el gráfico incrustado.&lt;/p&gt;
&lt;p align="center" style='text-align:center'&gt;&lt;img src="/static/w6_cont_image009.png"/&gt;&lt;/p&gt;
&lt;p&gt;Las opciones adicionales permiten, entre otras cosas,
incluir las claves que normalmente tiene encomendada la leyenda.&lt;/p&gt;
&lt;p align="center" style='text-align:center'&gt;&lt;img src="/static/w6_cont_image010.png"/&gt;&lt;/p&gt;
</t>
  </si>
  <si>
    <t xml:space="preserve">&lt;p&gt;En la misma solapa, podemos acceder al menú desplegable &lt;i&gt;Líneas
de la cuadrícula&lt;/i&gt;, en la que se incluyen igualmente facilidades para representas
líneas guía en cualquiera de los ejes de coordenadas. Tenemos por cada eje una
jerarquía de líneas principales y secundarias, que podemos plasmar alternativa
o simultáneamente.&lt;/p&gt;
&lt;p align="center" style='text-align:center'&gt;&lt;img src="/static/w6_cont_image015.png"/&gt;&lt;/p&gt;
&lt;p&gt;Una vez más, tenemos las opciones adicionales para formatear
estos elementos con diferentes trazos, grosores, etc.&lt;/p&gt;
&lt;p align="center" style='text-align:center'&gt;&lt;img src="/static/w6_cont_image016.png"/&gt;&lt;/p&gt;
</t>
  </si>
  <si>
    <t xml:space="preserve">&lt;p&gt;En el menú desplegable &lt;i&gt;Ejes&lt;/i&gt; de la solapa &lt;i&gt;Presentación&lt;/i&gt;,
tenemos la opción de definir las características de representación de los ejes
horizontal y vertical. Por ejemplo, el eje horizontal podemos representarlo de
derecha a izquierda o al revés, ponerle o no las etiquetas, etc.&lt;/p&gt;
&lt;p align="center" style='text-align:center'&gt;&lt;img src="/static/w6_cont_image011.png"/&gt;&lt;/p&gt;
&lt;p&gt;Como en otras ocasiones, tenemos la posibilidad de editar
una gran cantidad de opciones, accediendo a la ventanas correspondiente:&lt;/p&gt;
&lt;p align="center" style='text-align:center'&gt;&lt;img src="/static/w6_cont_image0012.png"/&gt;&lt;/p&gt;
&lt;p&gt;El eje vertical también acepta diversas opciones, como
representar las cantidades por miles o millones, escala logarítmica, etc.&lt;/p&gt;
&lt;p align="center" style='text-align:center'&gt;&lt;img src="/static/w6_cont_image013.png"/&gt;&lt;/p&gt;
&lt;p&gt;También disponemos de toda una serie de opciones adicionales:&lt;/p&gt;
&lt;p align="center" style='text-align:center'&gt;&lt;img src="/static/w6_cont_image014.png"/&gt;&lt;/p&gt;
</t>
  </si>
  <si>
    <t xml:space="preserve">&lt;p&gt;Algunos tipos de gráfico, como los de líneas, admiten la
asignación de un formato específico al área de trazado, es decir al fondo del
dibujo. &lt;/p&gt;
&lt;p align="center" style='text-align:center'&gt;&lt;img src="/static/w6_cont_image017.png"/&gt;&lt;/p&gt;
&lt;p&gt;El área de trazado puede mostrarse o no, y en caso de que lo
mostremos lo hará con el formato por defecto, que normalmente es muy simple.
Tenemos no obstante diversas opciones adicionales:&lt;/p&gt;
&lt;p align="center" style='text-align:center'&gt;&lt;img src="/static/w6_cont_image018.png"/&gt;&lt;/p&gt;
</t>
  </si>
  <si>
    <t xml:space="preserve">&lt;p&gt;En los gráficos con efecto 3D podemos modificar son los
planos laterales de la zona de trazado sobre el que se dibuja el gráfico.&lt;/p&gt;
&lt;p align="center" style='text-align:center'&gt;&lt;img src="/static/w6_cont_image019.png"/&gt;&lt;/p&gt;
&lt;p&gt;En las opciones adicionales le daremos el efecto deseado,
como rellenos, tramas, etc.&lt;/p&gt;
&lt;p align="center" style='text-align:center'&gt;&lt;img src="/static/w6_cont_image020.png"/&gt;&lt;/p&gt;
</t>
  </si>
  <si>
    <t xml:space="preserve">&lt;p&gt;El otro elemento de los gráficos con efecto 3D que podemos
editar es el plano inferior sobre el que se dibuja el gráfico.&lt;/p&gt;
&lt;p align="center" style='text-align:center'&gt;&lt;img src="/static/w6_cont_image021.png"/&gt;&lt;/p&gt;
&lt;p&gt;Una vez más, las opciones nos permiten definir a nuestro
gusto la representación.&lt;/p&gt;
&lt;p align="center" style='text-align:center'&gt;&lt;img src="/static/w6_cont_image022.png"/&gt;&lt;/p&gt;
</t>
  </si>
  <si>
    <t xml:space="preserve">&lt;p&gt;El efecto visual de la perspectiva y ángulo desde el que se
observa la representación de un gráfico en 3D puede controlarse pulsando el
botón &lt;i&gt;Giro 3D&lt;/i&gt; del grupo &lt;i&gt;Fondo&lt;/i&gt; de la pestaña &lt;i&gt;Presentación&lt;/i&gt;.
Accedemos a una ventana de formato del área que nos permite controlar este
efecto.&lt;/p&gt;
&lt;p align="center" style='text-align:center'&gt;&lt;img src="/static/w6_cont_image023.png"/&gt;&lt;/p&gt;
</t>
  </si>
  <si>
    <t xml:space="preserve">&lt;p&gt;Una vez tenemos activado un gráfico, podemos seleccionar
cualquiera de sus elementos haciendo &lt;i&gt;click&lt;/i&gt; con el ratón encima del
elemento correspondiente. El elemento seleccionado se marcará mediante unos
indicadores, que debemos asegurarnos identifican al elemento sobre el que
queremos trabajar.&lt;/p&gt;
&lt;p&gt;También podemos hacer la selección deseada mediante el menú
desplegable del cuadro de diálogo que aparece en el grupo &lt;i&gt;Selección actual&lt;/i&gt;
de la pestaña &lt;i&gt;Presentación&lt;/i&gt;. En el menú desplegable aparecen listados
todos los elementos que constituyen el gráfico sobre el que estamos trabajando
(área de trazado, ejes, líneas de división, series, etc.).&lt;/p&gt;
&lt;p align="center" style='text-align:center'&gt;&lt;img src="/static/w6_cont_image024.png"/&gt;&lt;/p&gt;
&lt;p&gt;Una vez seleccionado el elemento deseado, podemos actuar
sobre cualquiera de sus características (fuentes, colores, rótulos, escalas, etc.),
mediante la opción correspondiente.&lt;/p&gt;
</t>
  </si>
  <si>
    <t xml:space="preserve">&lt;p&gt;Una vez tenemos seleccionado algún elemento del gráfico,
tenemos en la pestaña &lt;i&gt;Formato&lt;/i&gt; toda una serie de herramientas para definir el
estilo: relleno, colores del contorno, efectos, etc. También tenemos un grupo
de estilos de WordArt que nos permiten realizar distintos efectos de realce del
elemento seleccionado. &lt;/p&gt;
&lt;p align="center" style='text-align:center'&gt;&lt;img src="/static/w6_cont_image025.png"/&gt;&lt;/p&gt;
</t>
  </si>
  <si>
    <t>Deseamos que el título se escriba con una fuente 4 puntos más grande de lo que es por defecto (es decir, si actualmente la fuente es de tamaño 18 la querremos transformar en 22; si es 20 en 24, etc.). Esto podremos hacerlo del siguiente modo:</t>
  </si>
  <si>
    <t>&lt;p&gt;Una vez seleccionado el título del gráfico, en la pestaña &lt;i&gt;Inicio&lt;/i&gt;, grupo &lt;i&gt;Fuente&lt;/i&gt;, disponemos del botón &lt;i&gt;Aumentar tamaño de fuente&lt;/i&gt;, que tendremos que pulsar cuatro veces para llegar a un valor superior en cuatro unidades al del principio.&lt;/p&gt;</t>
  </si>
  <si>
    <t>&lt;p&gt;Una vez seleccionado el título del gráfico, en la pestaña &lt;i&gt;Inicio&lt;/i&gt;, grupo &lt;i&gt;Fuente&lt;/i&gt;, disponemos del menú desplegable de tamaño de fuente con el valor actual, por medio del cual podremos cambiarlo al valor deseado escribiéndolo cuando no esté entre las opciones del menú.&lt;/p&gt;</t>
  </si>
  <si>
    <t>&lt;p&gt;Una vez seleccionado el título del gráfico vemos que se señala con un rectángulo, cuyos vértices permiten ser arrastrados, llegando de ese modo al tamaño de letra deseado.&lt;/p&gt;</t>
  </si>
  <si>
    <t>&lt;p&gt;Una vez seleccionado el gráfico, en la pestaña &lt;i&gt;Presentación&lt;/i&gt; de las herramientas de gráficos, botón &lt;i&gt;Título del gráfico&lt;/i&gt;, tendremos un apartado &lt;i&gt;Más opciones del título…&lt;/i&gt; que nos abre la ventana &lt;i&gt;Formato del título del gráfico&lt;/i&gt; en la cual hay un apartado &lt;i&gt;Fuentes&lt;/i&gt; que lo permite.&lt;/p&gt;</t>
  </si>
  <si>
    <t>Para conseguir el efecto degradado que rodea a las etiquetas numéricas de los datos haremos:</t>
  </si>
  <si>
    <t>&lt;p&gt;Una vez seleccionadas con el ratón las etiquetas de los datos, en la pestaña &lt;i&gt;Inicio&lt;/i&gt;, grupo &lt;i&gt;Fuente&lt;/i&gt;, disponemos del botón &lt;i&gt;Color de fuente&lt;/i&gt;, el cual nos permite hacer el degradado.&lt;/p&gt;</t>
  </si>
  <si>
    <t>&lt;p&gt;Una vez seleccionadas con el ratón las etiquetas de los datos, en la pestaña &lt;i&gt;Inicio&lt;/i&gt;, grupo &lt;i&gt;Fuente&lt;/i&gt;, disponemos del botón &lt;i&gt;Color de relleno&lt;/i&gt;, el cual nos permite hacer el degradado.&lt;/p&gt;</t>
  </si>
  <si>
    <t>&lt;p&gt;En la pestaña &lt;i&gt;Presentación&lt;/i&gt; de las herramientas de gráficos, botón &lt;i&gt;Etiquetas de datos&lt;/i&gt;, seleccionando &lt;i&gt;Más opciones de la etiqueta de datos…&lt;/i&gt;abrimos la ventana de diálogo &lt;i&gt;Formato de las etiquetas de datos&lt;/i&gt; en la cual está la opción &lt;i&gt;Relleno&lt;/i&gt; que nos permite hacerlo degradado.&lt;/p&gt;</t>
  </si>
  <si>
    <t>&lt;p&gt;En la pestaña &lt;i&gt;Presentación&lt;/i&gt; de las herramientas de gráficos, botón &lt;i&gt;Imagen&lt;/i&gt;, podemos seleccionar una imagen de la galería disponible que represente el relleno degradado.&lt;/p&gt;</t>
  </si>
  <si>
    <t>Queremos ahora que se muestren las columnas de color Rojo, Énfasis 2; para ello haremos lo siguiente:</t>
  </si>
  <si>
    <t>&lt;p&gt;Haciendo &lt;i&gt;click&lt;/i&gt; con el ratón sobre una de las columnas, vemos que ésta se selecciona; manteniendo pulsada la tecla &lt;i&gt;Control&lt;/i&gt; iremos señalando las demás hasta que estén seleccionadas todas ellas; en ese momento ya podemos en la pestaña &lt;i&gt;Inicio&lt;/i&gt;, grupo &lt;i&gt;Estilos&lt;/i&gt;, seleccionar el tipo “Incorrecto”, pues es que presenta el color solicitado.&lt;/p&gt;</t>
  </si>
  <si>
    <t>&lt;p&gt;Haciendo &lt;i&gt;click&lt;/i&gt; con el ratón sobre una de las columnas, vemos que se seleccionan todas ellas; en ese momento ya podemos en la pestaña &lt;i&gt;Inicio&lt;/i&gt;, grupo &lt;i&gt;Estilos&lt;/i&gt;, seleccionar el tipo “Incorrecto”, pues es que presenta el color solicitado.&lt;/p&gt;</t>
  </si>
  <si>
    <t>&lt;p&gt;Haciendo &lt;i&gt;click&lt;/i&gt; con el ratón sobre una de las columnas, vemos que ésta se selecciona; manteniendo pulsada la tecla &lt;i&gt;Control&lt;/i&gt; iremos señalando las demás hasta que estén seleccionadas todas ellas; en ese momento ya podemos pulsar sobre una de ellas con el botón derecho, y seleccionar &lt;i&gt;Dar formato a serie de datos…&lt;/i&gt; donde en el apartado &lt;i&gt;Relleno&lt;/i&gt; podremos seleccionar el color.&lt;/p&gt;</t>
  </si>
  <si>
    <t>&lt;p&gt;Haciendo &lt;i&gt;click&lt;/i&gt; con el ratón sobre una de las columnas, vemos que se seleccionan todas ellas; en ese momento ya podemos pulsar sobre una de ellas con el botón derecho, y seleccionar &lt;i&gt;Dar formato a serie de datos…&lt;/i&gt; donde en el apartado &lt;i&gt;Relleno&lt;/i&gt; podremos seleccionar el color.&lt;/p&gt;</t>
  </si>
  <si>
    <t>Suponiendo que partimos de un estado en que la selección actual es una celda de la hoja y no el gráfico, para poder seleccionar la cuarta columna, hacemos:</t>
  </si>
  <si>
    <t>&lt;p&gt;Directamente un &lt;i&gt;click&lt;/i&gt; sobre la cuarta columna.&lt;/p&gt;</t>
  </si>
  <si>
    <t>&lt;p&gt;Directamente un &lt;i&gt;doble click&lt;/i&gt; sobre la cuarta columna.&lt;/p&gt;</t>
  </si>
  <si>
    <t>&lt;p&gt;Con un primer &lt;i&gt;click&lt;/i&gt; sobre la cuarta columna se seleccionan todas ellas, y con un segundo &lt;i&gt;click&lt;/i&gt; ya sólo esa concreta.&lt;/p&gt;</t>
  </si>
  <si>
    <t>&lt;p&gt;Con botón derecho sobre la cuarta columna, opción &lt;i&gt;Seleccionar&lt;/i&gt;.&lt;/p&gt;</t>
  </si>
  <si>
    <t>Una vez seleccionado la columna concreta que representa al dato de los acompañantes, podemos ya cambiar el color, por ejemplo al Verde oliva, Énfasis 3:</t>
  </si>
  <si>
    <t>&lt;p&gt;Por medio del botón &lt;i&gt;Color de relleno&lt;/i&gt; del grupo &lt;i&gt;Fuente&lt;/i&gt; de la pestaña &lt;i&gt;Inicio&lt;/i&gt; de la Cinta de herramientas.&lt;/p&gt;</t>
  </si>
  <si>
    <t>&lt;p&gt;Por medio del botón &lt;i&gt;Color de fuente&lt;/i&gt; del grupo &lt;i&gt;Relleno&lt;/i&gt; de la pestaña &lt;i&gt;Inicio&lt;/i&gt; de la Cinta de herramientas.&lt;/p&gt;</t>
  </si>
  <si>
    <t>&lt;p&gt;Por medio del botón derecho, seleccionando &lt;i&gt;Dar formato a serie de datos…&lt;/i&gt;&lt;/p&gt;</t>
  </si>
  <si>
    <t>&lt;p&gt;En la En la pestaña &lt;i&gt;Presentación&lt;/i&gt; de las herramientas de gráficos, botón &lt;i&gt;Relleno.&lt;/i&gt;&lt;/p&gt;</t>
  </si>
  <si>
    <t>Ahora, con todo lo que sabemos, es muy sencillo quitar las otras tres etiquetas de datos, y lo haremos por lo tanto:</t>
  </si>
  <si>
    <t>&lt;p&gt;Con un &lt;i&gt;click&lt;/i&gt; seleccionaremos la primera etiqueta y la borraremos mediante la tecla &lt;i&gt;Suprimir&lt;/i&gt;; otro &lt;i&gt;click&lt;/i&gt; para seleccionar la segunda y otra vez &lt;i&gt;Suprimir&lt;/i&gt;; un tercer &lt;i&gt;click&lt;/i&gt; con la tercera y finalmente &lt;i&gt;Suprimir&lt;/i&gt;.&lt;/p&gt;</t>
  </si>
  <si>
    <t>&lt;p&gt;Con un &lt;i&gt;click&lt;/i&gt; seleccionaremos el conjunto de etiquetas y las borraremos mediante la tecla &lt;i&gt;Suprimir&lt;/i&gt;; pulsaremos a continuación el botón derecho sobre la última columna, y seleccionaremos la opción &lt;i&gt;Agregar etiquetas de datos&lt;/i&gt;. Habrá que darle nuevamente el relleno degradado.&lt;/p&gt;</t>
  </si>
  <si>
    <t>&lt;p&gt;Con un &lt;i&gt;click&lt;/i&gt; seleccionaremos el conjunto de etiquetas y las borraremos mediante la tecla &lt;i&gt;Suprimir&lt;/i&gt;; haremos después &lt;i&gt;click&lt;/i&gt; sobre la última columna con lo que ésta quedará seleccionada; pulsaremos a continuación sobre ella con el botón derecho, y seleccionaremos la opción &lt;i&gt;Agregar etiquetas de datos&lt;/i&gt;. Habrá que darle nuevamente el relleno degradado.&lt;/p&gt;</t>
  </si>
  <si>
    <t>&lt;p&gt;Con un &lt;i&gt;click&lt;/i&gt; seleccionaremos el conjunto de etiquetas y las borraremos mediante la tecla &lt;i&gt;Suprimir&lt;/i&gt;; haremos después &lt;i&gt;click&lt;/i&gt; sobre una columna por lo que se seleccionarán las cuatro y otra vez &lt;i&gt;click&lt;/i&gt; esta vez sobre la última columna con lo que sólo ésta quedará seleccionada; pulsaremos a continuación sobre ella con el botón derecho, y seleccionaremos la opción &lt;i&gt;Agregar etiqueta de datos&lt;/i&gt;. Habrá que darle nuevamente el relleno degradado.&lt;/p&gt;</t>
  </si>
  <si>
    <t>No nos gusta el título, que preferimos tenga el nombre completo “Coste Personal”; pensando que proviene del contenido de la celda E9 de la hoja de datos, que contiene el texto “C. Personal”, queremos que continúe la coherencia de ambos por lo que hacemos los siguiente:</t>
  </si>
  <si>
    <t>&lt;p&gt;Hacemos &lt;i&gt;click&lt;/i&gt; sobre el título del gráfico, por lo que éste se selecciona; sustituimos a continuación el “punto” y completamos la palabra “Coste” desde el teclado. Al finalizar, se cambiará tanto el título del gráfico como el contenido de la celda E9 de la hoja de datos.&lt;/p&gt;</t>
  </si>
  <si>
    <t>&lt;p&gt;Seleccionamos la celda E9 de la hoja de datos y en la barra de fórmulas editamos su contenido sustituyendo el texto “C.” por “Coste”. Al validar, se cambiará tanto el contenido de la celda como el título del gráfico.&lt;/p&gt;</t>
  </si>
  <si>
    <t>&lt;p&gt;Una vez seleccionada la hoja del gráfico, en la pestaña &lt;i&gt;Presentación&lt;/i&gt; de las herramientas de gráficos, botón &lt;i&gt;Título del gráfico&lt;/i&gt;, tendremos un apartado &lt;i&gt;Más opciones del título…&lt;/i&gt; que nos abre la ventana &lt;i&gt;Formato del título del gráfico&lt;/i&gt; en la cual hay un campo que permite editar el contenido.&lt;/p&gt;</t>
  </si>
  <si>
    <t>&lt;p&gt;Haciendo &lt;i&gt;doble click &lt;/i&gt;sobre el título del gráfico se nos abre una ventana de edición de su contenido.&lt;/p&gt;</t>
  </si>
  <si>
    <t>Viendo el estilo que hay que aplicar al título, decidimos:</t>
  </si>
  <si>
    <t>&lt;p&gt;Seleccionamos la celda E9 de la hoja de datos y por medio de las herramientas de la pestaña &lt;i&gt;Inicio&lt;/i&gt;, grupo &lt;i&gt;Fuente&lt;/i&gt;, cambiamos el estilo al de un color anaranjado, énfasis 6 y sombra interior; este estilo se replicará automáticamente en el título de la hoja del gráfico.&lt;/p&gt;</t>
  </si>
  <si>
    <t>&lt;p&gt;Una vez seleccionada la hoja del gráfico, hacemos &lt;i&gt;click&lt;/i&gt; en el área del gráfico y, en la pestaña &lt;i&gt;Formato&lt;/i&gt; de las herramientas de gráficos, en el grupo &lt;i&gt;Estilos de WordArt,&lt;/i&gt; podemos seleccionar el más adecuado del menú desplegable, resultando uno de relleno degradado, anaranjado, énfasis 6 y sombra interior. El resto del gráfico queda igual.&lt;/p&gt;</t>
  </si>
  <si>
    <t>&lt;p&gt;Una vez seleccionada la hoja del gráfico, hacemos &lt;i&gt;click&lt;/i&gt; en el título del gráfico y, en la pestaña &lt;i&gt;Formato&lt;/i&gt; de las herramientas de gráficos, en el grupo &lt;i&gt;Estilos de WordArt,&lt;/i&gt; podemos seleccionar el más adecuado del menú desplegable, resultando uno de relleno degradado, anaranjado, énfasis 6 y sombra interior. El resto del gráfico queda igual.&lt;/p&gt;</t>
  </si>
  <si>
    <t>&lt;p&gt;Hacerlo con un programa como el Photoshop, que tiene mejores capacidades gráficas.&lt;/p&gt;</t>
  </si>
  <si>
    <t>Queremos resaltar el sector que representa al dato de las dietas, separándolo un poco del círculo que representa a la totalidad. Lo haremos:</t>
  </si>
  <si>
    <t>&lt;p&gt;Seleccionando la porción que representa al dato concreto, podemos arrastrarlo separándolo del resto de gráfico.&lt;/p&gt;</t>
  </si>
  <si>
    <t>&lt;p&gt;En la pestaña &lt;i&gt;Diseño&lt;/i&gt; de las herramientas de gráficos, botón &lt;i&gt;Cambiar tipo de gráfico&lt;/i&gt; podemos cambiar al tipo gráfico circular seccionado 3D.&lt;/p&gt;</t>
  </si>
  <si>
    <t>&lt;p&gt;Es necesario volver a empezar a hacer el gráfico de nuevo.&lt;/p&gt;</t>
  </si>
  <si>
    <t>&lt;p&gt;No es posible hacer tal cosa.&lt;/p&gt;</t>
  </si>
  <si>
    <t>&lt;p&gt;Recuerda que para seleccionar uno sólo de los datos del conjunto debemos primeramente seleccionar el conjunto (un &lt;i&gt;click&lt;/i&gt;) y luego el dato concreto (otro &lt;i&gt;click&lt;/i&gt;).&lt;/p&gt;</t>
  </si>
  <si>
    <t>Para ver la posición decimal en las etiquetas de datos que rotulan los sectores, haremos:</t>
  </si>
  <si>
    <t>&lt;p&gt;Seleccionaremos el conjunto de etiquetas datos y presionando el botón derecho sobre uno de ellos, la opción &lt;i&gt;Formato de etiqueta de datos…&lt;/i&gt; nos abre la ventana correspondiente, y en el apartado Número podemos en la opción &lt;i&gt;General&lt;/i&gt; indicarle una posición decimal.&lt;/p&gt;</t>
  </si>
  <si>
    <t>&lt;p&gt;Seleccionaremos el conjunto de etiquetas datos y presionando el botón derecho sobre uno de ellos, la opción &lt;i&gt;Formato de etiqueta de datos…&lt;/i&gt; nos abre la ventana correspondiente, y en el apartado Número podemos en la opción &lt;i&gt;Número&lt;/i&gt; indicarle una posición decimal.&lt;/p&gt;</t>
  </si>
  <si>
    <t>&lt;p&gt;Seleccionaremos el conjunto de etiquetas datos y presionando el botón derecho sobre uno de ellos, la opción &lt;i&gt;Formato de etiqueta de datos…&lt;/i&gt; nos abre la ventana correspondiente, y en el apartado Número podemos en la opción &lt;i&gt;Contabilidad&lt;/i&gt; indicarle una posición decimal.&lt;/p&gt;</t>
  </si>
  <si>
    <t>&lt;p&gt;Seleccionaremos el conjunto de etiquetas datos y presionando el botón derecho sobre uno de ellos, la opción &lt;i&gt;Formato de etiqueta de datos…&lt;/i&gt; nos abre la ventana correspondiente, y en el apartado Número podemos en la opción &lt;i&gt;Porcentaje&lt;/i&gt; indicarle una posición decimal.&lt;/p&gt;</t>
  </si>
  <si>
    <t>&lt;h2&gt;Parte 1: Edición de tipos de elementos&lt;/h2&gt;
&lt;p&gt;Disponemos de la hoja de cálculo con la que venimos trabajando en ejercicios anteriores. Queremos realizar una serie de cambios en el gráfico de columnas con la intención de mejorar su aspecto, de modo que quede como el de la imagen siguiente:&lt;/p&gt;
&lt;p align="center"&gt;&lt;img src="/static/w6_exam_image001.png"/&gt;&lt;/p&gt;</t>
  </si>
  <si>
    <t>&lt;h2&gt;Parte 2: Edición de datos concretos&lt;/h2&gt;
&lt;p class=MsoNormal style='margin-bottom:6.0pt'&gt;Queremos ahora hacer énfasis en una solo a de las columnas, concretamente la de los acompañantes, a fin de insertarla en el folleto que les vamos a hacer; el resultado final que pretendemos es este:&lt;/p&gt;
&lt;p align="center"&gt;&lt;img src="/static/w6_exam_image002.png"/&gt;&lt;/p</t>
  </si>
  <si>
    <t>&lt;h2&gt;Parte 3: Realzando detalles&lt;/h2&gt;
&lt;p&gt;Queremos ahora realizar ciertos detalles del gráfico circular creado en una práctica anterior, de modo que se muestre:&lt;/p&gt;
&lt;p align="center"&gt;&lt;img src="/static/w6_exam_image003.png"/&gt;&lt;/p&gt;</t>
  </si>
  <si>
    <t>COMENTARIO</t>
  </si>
  <si>
    <t>TIPO</t>
  </si>
  <si>
    <t>MultiChoice</t>
  </si>
  <si>
    <t>Fecha Inicio</t>
  </si>
  <si>
    <t>Fecha Fin</t>
  </si>
  <si>
    <t>Video Portada</t>
  </si>
  <si>
    <t>Descripción portada</t>
  </si>
  <si>
    <t>Lección</t>
  </si>
  <si>
    <t>Categoría</t>
  </si>
  <si>
    <t>Ofimatica</t>
  </si>
  <si>
    <t>Sección</t>
  </si>
  <si>
    <t>NumericalInput</t>
  </si>
  <si>
    <t>TextInput</t>
  </si>
  <si>
    <t>CheckBox</t>
  </si>
  <si>
    <t>Tipo de tarea</t>
  </si>
  <si>
    <t>Peso respecto al total</t>
  </si>
  <si>
    <t>Número de desechables</t>
  </si>
  <si>
    <t>Intentos Problemas</t>
  </si>
  <si>
    <t>Mostrar Respuesta</t>
  </si>
  <si>
    <t>Peso de los problemas</t>
  </si>
  <si>
    <t>Randomice</t>
  </si>
  <si>
    <t>Siempre</t>
  </si>
  <si>
    <t>En reset</t>
  </si>
  <si>
    <t>Nunca</t>
  </si>
  <si>
    <t>Por Estudiante</t>
  </si>
  <si>
    <t>Respondida</t>
  </si>
  <si>
    <t>Intentada</t>
  </si>
  <si>
    <t>Cerrada</t>
  </si>
  <si>
    <t>Terminada</t>
  </si>
  <si>
    <t>Fecha pasada</t>
  </si>
  <si>
    <t>Tipo Problema</t>
  </si>
  <si>
    <t>Custom</t>
  </si>
  <si>
    <t>Cantidad</t>
  </si>
  <si>
    <t>Abreviatura</t>
  </si>
  <si>
    <t>Nombre Sección</t>
  </si>
  <si>
    <t>Tipo de Tarea</t>
  </si>
  <si>
    <t>Biografia Autores</t>
  </si>
  <si>
    <t>Autores</t>
  </si>
  <si>
    <t>VIDEO</t>
  </si>
  <si>
    <t>Edición</t>
  </si>
  <si>
    <t>CORRECTAs/TOLERANCIA</t>
  </si>
  <si>
    <t>selectorSeccion</t>
  </si>
  <si>
    <t>selectorSubSeccion</t>
  </si>
  <si>
    <t>idSubSeccion</t>
  </si>
  <si>
    <t>idSeccion</t>
  </si>
  <si>
    <t>selectorLeccion</t>
  </si>
  <si>
    <t>idSubseccion</t>
  </si>
  <si>
    <t>idLeccion</t>
  </si>
  <si>
    <t>Intentos</t>
  </si>
  <si>
    <t>Peso</t>
  </si>
  <si>
    <t>Categorias</t>
  </si>
  <si>
    <t>AnalisisMatematico</t>
  </si>
  <si>
    <t>ArquitecturaYTecnologiaDeComputadores</t>
  </si>
  <si>
    <t>BiblioteconomiaYDocumentacion</t>
  </si>
  <si>
    <t>BiologiaAnimal</t>
  </si>
  <si>
    <t>BiologiaCelular</t>
  </si>
  <si>
    <t>BiologiaVegetal</t>
  </si>
  <si>
    <t>BioquimicaYBiologiaMolecular</t>
  </si>
  <si>
    <t>Botanica</t>
  </si>
  <si>
    <t>CienciaDeLosMaterialesEIngenieriaMetalurgica</t>
  </si>
  <si>
    <t>CienciaPoliticaYDeLaAdministracion</t>
  </si>
  <si>
    <t>CienciasDeLaComputacionEInteligenciaArtificial</t>
  </si>
  <si>
    <t>ComercializacionEInvestigacionDeMercados</t>
  </si>
  <si>
    <t>ComposicionArquitectonica</t>
  </si>
  <si>
    <t>ComunicacionAudiovisualYPublicidad</t>
  </si>
  <si>
    <t>ConservacionYRestauracionDeBienesCulturales</t>
  </si>
  <si>
    <t>ConstruccionesArquitectonicas</t>
  </si>
  <si>
    <t>DerechoAdministrativo</t>
  </si>
  <si>
    <t>DerechoCivil</t>
  </si>
  <si>
    <t>DerechoConstitucional</t>
  </si>
  <si>
    <t>DerechoDelTrabajoYDeLaSeguridadSocial</t>
  </si>
  <si>
    <t>DerechoFinancieroYTributario</t>
  </si>
  <si>
    <t>DerechoMercantil</t>
  </si>
  <si>
    <t>DerechoPenal</t>
  </si>
  <si>
    <t>Dibujo</t>
  </si>
  <si>
    <t>Ecologia</t>
  </si>
  <si>
    <t>EconomiaAplicada</t>
  </si>
  <si>
    <t>EconomiaFinancieraYContabilidad</t>
  </si>
  <si>
    <t>Economia,SociologiaYPoliticaAgraria</t>
  </si>
  <si>
    <t>EcosistemasAgroforestales</t>
  </si>
  <si>
    <t>EdafologiaYQuimicaAgricola</t>
  </si>
  <si>
    <t>Electronica</t>
  </si>
  <si>
    <t>Escultura</t>
  </si>
  <si>
    <t>EstadisticaEInvestigacionOperativa</t>
  </si>
  <si>
    <t>EsteticaYTeoriaDeLasArtes</t>
  </si>
  <si>
    <t>EstudiosDeAsiaOriental</t>
  </si>
  <si>
    <t>ExpresionGraficaArquitectonica</t>
  </si>
  <si>
    <t>ExpresionGraficaEnLaIngenieria</t>
  </si>
  <si>
    <t>FilologiaAlemana</t>
  </si>
  <si>
    <t>FilologiaCatalana</t>
  </si>
  <si>
    <t>FilologiaEspañola</t>
  </si>
  <si>
    <t>FilologiaFrancesa</t>
  </si>
  <si>
    <t>FilologiaInglesa</t>
  </si>
  <si>
    <t>FilosofiaMoral</t>
  </si>
  <si>
    <t>FisicaAplicada</t>
  </si>
  <si>
    <t>FisiologiaVegetal</t>
  </si>
  <si>
    <t>FundamentosDelAnalisisEconomico</t>
  </si>
  <si>
    <t>Genetica</t>
  </si>
  <si>
    <t>GeografiaFisica</t>
  </si>
  <si>
    <t>HistoriaDelArte</t>
  </si>
  <si>
    <t>IngenieraDeCalidad</t>
  </si>
  <si>
    <t>IngenieraIndustrial</t>
  </si>
  <si>
    <t>Ingenieria</t>
  </si>
  <si>
    <t>IngenieriaAeroespacial</t>
  </si>
  <si>
    <t>IngenieriaAgroforestal</t>
  </si>
  <si>
    <t>IngenieriaCartografica,GeodesiaYFotogrametria</t>
  </si>
  <si>
    <t>IngenieriaDeLaConstruccion</t>
  </si>
  <si>
    <t>IngenieriaDeLosProcesosDeFabricacion</t>
  </si>
  <si>
    <t>IngenieríaDeOrganización</t>
  </si>
  <si>
    <t>IngenieriaDeSistemasYAutomatica</t>
  </si>
  <si>
    <t>IngenieriaDelTerreno</t>
  </si>
  <si>
    <t>IngenieriaEInfraestructuraDeLosTransportes</t>
  </si>
  <si>
    <t>IngenieriaElectrica</t>
  </si>
  <si>
    <t>IngenieriaHidraulica</t>
  </si>
  <si>
    <t>IngenieriaIndustrial</t>
  </si>
  <si>
    <t>IngenieriaMecanica</t>
  </si>
  <si>
    <t>IngenieriaNuclear</t>
  </si>
  <si>
    <t>IngenieriaQuimica</t>
  </si>
  <si>
    <t>IngenieriaTelematica</t>
  </si>
  <si>
    <t>IngenieriaTextilYPapelera</t>
  </si>
  <si>
    <t>IngenieroIndustrial</t>
  </si>
  <si>
    <t>LenguaEspañola</t>
  </si>
  <si>
    <t>LenguajesYSistemasInformaticos</t>
  </si>
  <si>
    <t>LinguisticaGeneral</t>
  </si>
  <si>
    <t>MaquinasYMotoresTermicos</t>
  </si>
  <si>
    <t>MatematicaAplicada</t>
  </si>
  <si>
    <t>MecanicaDeFluidos</t>
  </si>
  <si>
    <t>MecanicaDeLosMediosContinuosYTeoriaDeEstructuras</t>
  </si>
  <si>
    <t>Medicina</t>
  </si>
  <si>
    <t>MedicinaPreventivaPublicaYComunitaria</t>
  </si>
  <si>
    <t>MedicinaPreventivaYSaludPublica</t>
  </si>
  <si>
    <t>Microbiologia</t>
  </si>
  <si>
    <t>NutricionYBromatologia</t>
  </si>
  <si>
    <t>OrganizacionDeEmpresas</t>
  </si>
  <si>
    <t>Periodismo</t>
  </si>
  <si>
    <t>PetrologiaYGeoquimica</t>
  </si>
  <si>
    <t>Pintura</t>
  </si>
  <si>
    <t>ProduccionAnimal</t>
  </si>
  <si>
    <t>ProduccionVegetal</t>
  </si>
  <si>
    <t>ProspeccionEInvestigacionMinera</t>
  </si>
  <si>
    <t>ProyectosArquitectonicos</t>
  </si>
  <si>
    <t>ProyectosDeIngenieria</t>
  </si>
  <si>
    <t>PsicologiaSocial</t>
  </si>
  <si>
    <t>QuimicaAnalitica</t>
  </si>
  <si>
    <t>QuimicaFisica</t>
  </si>
  <si>
    <t>QuimicaInorganica</t>
  </si>
  <si>
    <t>QuimicaOrganica</t>
  </si>
  <si>
    <t>RadiologiaYMedicinaFisica</t>
  </si>
  <si>
    <t>Sociologia</t>
  </si>
  <si>
    <t>TecnologiaDeAlimentos</t>
  </si>
  <si>
    <t>TecnologiaDelMedioAmbiente</t>
  </si>
  <si>
    <t>TecnologiaElectronica</t>
  </si>
  <si>
    <t>TecnologíasAvanzadasDeComunicaciones</t>
  </si>
  <si>
    <t>TeoriaDeLaSeñalYComunicaciones</t>
  </si>
  <si>
    <t>Termo</t>
  </si>
  <si>
    <t>TermodinamicaAplicada</t>
  </si>
  <si>
    <t>TrabajoSocialYServiciosSociales</t>
  </si>
  <si>
    <t>UrbanisticaYOrdenacionDelTerritorio</t>
  </si>
  <si>
    <t>Z-Posgrado</t>
  </si>
  <si>
    <t>Zoologia</t>
  </si>
  <si>
    <t>Nombre documento</t>
  </si>
  <si>
    <t>url</t>
  </si>
  <si>
    <t>nGVmgHUo7sA</t>
  </si>
  <si>
    <t>10 semanas</t>
  </si>
  <si>
    <t>precourse</t>
  </si>
  <si>
    <t>A</t>
  </si>
  <si>
    <t>Introducción a Android y entorno de desarrollo</t>
  </si>
  <si>
    <t>Características de Java</t>
  </si>
  <si>
    <t>Mmmrp8PRLOo</t>
  </si>
  <si>
    <t>Creación de clases en Java</t>
  </si>
  <si>
    <t>yIeHtnwTN_M</t>
  </si>
  <si>
    <t>El encapsulamiento y la visibilidad en Java</t>
  </si>
  <si>
    <t>HS9jaDsTyTw</t>
  </si>
  <si>
    <t>La herencia en Java</t>
  </si>
  <si>
    <t>MG0hOuk6fqU</t>
  </si>
  <si>
    <t>El polimorfismo en Java</t>
  </si>
  <si>
    <t>8HDLKH3KF2U</t>
  </si>
  <si>
    <t>l_bNjdsXi68</t>
  </si>
  <si>
    <t>Las colecciones en Java</t>
  </si>
  <si>
    <t>zXZ1qSeuO90</t>
  </si>
  <si>
    <t>Introducción a la plataforma para móviles Android</t>
  </si>
  <si>
    <t>DZ5H99R3ghg</t>
  </si>
  <si>
    <t>N6NlbpN1zVk</t>
  </si>
  <si>
    <t>Arquitectura de Android</t>
  </si>
  <si>
    <t>LZssmHMA9Kc</t>
  </si>
  <si>
    <t>Descripción de las versiones de Android</t>
  </si>
  <si>
    <t>erJgPLEbpoc</t>
  </si>
  <si>
    <t>Android 4.4 KitKat</t>
  </si>
  <si>
    <t>G-SNQFPjMmc</t>
  </si>
  <si>
    <t>Elegir la versión en una aplicación Android</t>
  </si>
  <si>
    <t>wtfT0wilTow</t>
  </si>
  <si>
    <t>Un primer programa en Android</t>
  </si>
  <si>
    <t>OZq-7T5kOrk</t>
  </si>
  <si>
    <t>mgqBzg7vboY</t>
  </si>
  <si>
    <t>Atributos de la clase View en Android</t>
  </si>
  <si>
    <t>xXCUc4XxC58</t>
  </si>
  <si>
    <t>Atributos de la clase TextView en Android</t>
  </si>
  <si>
    <t>mooz1LoXxfI</t>
  </si>
  <si>
    <t>Los Layouts en Android</t>
  </si>
  <si>
    <t>rtG-ZPapSTI</t>
  </si>
  <si>
    <t>Uso de recursos alternativos en Android</t>
  </si>
  <si>
    <t>jwzjK7M2WkQ</t>
  </si>
  <si>
    <t>9ejp5dKr8bI</t>
  </si>
  <si>
    <t>977mIL_xZ9s</t>
  </si>
  <si>
    <t>Estilos y Temas en Android</t>
  </si>
  <si>
    <t>10ugleF1fNM</t>
  </si>
  <si>
    <t>Actividades en Android</t>
  </si>
  <si>
    <t>3cv6xSRWUfA</t>
  </si>
  <si>
    <t>Intercambio de datos entre actividades</t>
  </si>
  <si>
    <t>Y1RevIhI288</t>
  </si>
  <si>
    <t>Añadiendo un menú en Android</t>
  </si>
  <si>
    <t>UrWMHaJJSnM</t>
  </si>
  <si>
    <t>VuaiRoVBMys</t>
  </si>
  <si>
    <t>Añadir preferencias en Android</t>
  </si>
  <si>
    <t>sOrnuv69yBk</t>
  </si>
  <si>
    <t>Uso de ListView</t>
  </si>
  <si>
    <t>6XRtIY5F97s</t>
  </si>
  <si>
    <t>Las intenciones en Android</t>
  </si>
  <si>
    <t>K61YR-Flkbc</t>
  </si>
  <si>
    <t>E1vAobJ8Fxo</t>
  </si>
  <si>
    <t>Ciclo de vida de los procesos en Android</t>
  </si>
  <si>
    <t>stnLbKk0wak</t>
  </si>
  <si>
    <t>hbzzZ-orRWg</t>
  </si>
  <si>
    <t>Guardar el estado de las Actividades en Android</t>
  </si>
  <si>
    <t>NMAJfqDOpBQ</t>
  </si>
  <si>
    <t>L98ra5MInEI</t>
  </si>
  <si>
    <t>xLJP02Prdm0</t>
  </si>
  <si>
    <t>La firma digital</t>
  </si>
  <si>
    <t>Za19Smqc204</t>
  </si>
  <si>
    <t>gZWJo5s0SE4</t>
  </si>
  <si>
    <t>YmzoMQDkMgA</t>
  </si>
  <si>
    <t>AnTMd3MFr4c</t>
  </si>
  <si>
    <t>TlbwjQudv5o</t>
  </si>
  <si>
    <t>3j1wSSm3x44</t>
  </si>
  <si>
    <t>Almacenamiento Datos en Android</t>
  </si>
  <si>
    <t>Zgb3Z_Czunk</t>
  </si>
  <si>
    <t>Uso de base de datos en Android</t>
  </si>
  <si>
    <t>J2W862omYqk</t>
  </si>
  <si>
    <t>Tomás Gironés, Jesús</t>
  </si>
  <si>
    <t>Android Programacion Aplicaciones</t>
  </si>
  <si>
    <t>Presentación Curso</t>
  </si>
  <si>
    <t>Android Presentación</t>
  </si>
  <si>
    <t>Yi5gTjyH1zg</t>
  </si>
  <si>
    <t>Android Herramientas Teleformación</t>
  </si>
  <si>
    <t>8dXN0MkCW-8</t>
  </si>
  <si>
    <t>Java Esencial</t>
  </si>
  <si>
    <t>El patrón de diseño Singleton</t>
  </si>
  <si>
    <t>qxfhz1gk79g</t>
  </si>
  <si>
    <t>Tipos Enumerados de Java</t>
  </si>
  <si>
    <t>Las plataformas para móviles en 2013</t>
  </si>
  <si>
    <t>Elementos de un proyecto Android</t>
  </si>
  <si>
    <t>Diseño del interfaz de usuario - Vistas y Layouts</t>
  </si>
  <si>
    <t>La vista TabHost en Android</t>
  </si>
  <si>
    <t>Fk8BjzndSew</t>
  </si>
  <si>
    <t>Actividades e Intenciones</t>
  </si>
  <si>
    <t>Añadiendo iconos en Android</t>
  </si>
  <si>
    <t>Tipos de Recursos en Android</t>
  </si>
  <si>
    <t>Recursos del sistema en Android</t>
  </si>
  <si>
    <t>Gráficos en Android</t>
  </si>
  <si>
    <t>APIs para gráficos en Android</t>
  </si>
  <si>
    <t>_iCB-JSDLyA</t>
  </si>
  <si>
    <t>La clase Canvas en Android</t>
  </si>
  <si>
    <t>64YawYdAed8</t>
  </si>
  <si>
    <t>La clase Paint en Android</t>
  </si>
  <si>
    <t>_SU8TjI5EW8</t>
  </si>
  <si>
    <t>La clase Drawable en Android</t>
  </si>
  <si>
    <t>iHrf1H4AY-4</t>
  </si>
  <si>
    <t>Entradas en Android: teclado, pantalla táctil y sensores</t>
  </si>
  <si>
    <t>Hilos de ejecución en Android</t>
  </si>
  <si>
    <t>ekn9j2J9sos</t>
  </si>
  <si>
    <t>Ejecución en segundo plano con AsyncTask</t>
  </si>
  <si>
    <t>_1H-xHdVHIs</t>
  </si>
  <si>
    <t>Escuchadores de eventos y manejadores de eventos en Android</t>
  </si>
  <si>
    <t>OiVePqBmpcQ</t>
  </si>
  <si>
    <t>Sensores en dispositivos móviles</t>
  </si>
  <si>
    <t>1tPM3tBGSlc</t>
  </si>
  <si>
    <t>Multimedia y ciclo de vida</t>
  </si>
  <si>
    <t>Ciclo de vida de una aplicación Android</t>
  </si>
  <si>
    <t>El ciclo de vida de las aplicaciones en Android: Un ejemplo paso a paso</t>
  </si>
  <si>
    <t>Multimediaen Android</t>
  </si>
  <si>
    <t>Seguridad y posicionamiento</t>
  </si>
  <si>
    <t>Seguridad en Android.</t>
  </si>
  <si>
    <t>Los permisos en Android.</t>
  </si>
  <si>
    <t>Permisos definidos por el usuario en Android.</t>
  </si>
  <si>
    <t>yOVpsSn16zQ</t>
  </si>
  <si>
    <t>Los sistemas de posicionamiento global por satélite.</t>
  </si>
  <si>
    <t>Sistemas de geolocalización en dispositivos móviles.</t>
  </si>
  <si>
    <t>El API de localización de Android.</t>
  </si>
  <si>
    <t>Estrategias de localización en Android.</t>
  </si>
  <si>
    <t>Servicios, notificaciones y receptores de anuncios</t>
  </si>
  <si>
    <t>Servicios en Android</t>
  </si>
  <si>
    <t>-_hT-Ko5JQo</t>
  </si>
  <si>
    <t>Un servicio para ejecución en segundo plano</t>
  </si>
  <si>
    <t>3ok-55RT2dk</t>
  </si>
  <si>
    <t>Un servicio como mecanismo de comunicación entre aplicaciones</t>
  </si>
  <si>
    <t>AEqktxoJoAU</t>
  </si>
  <si>
    <t>Notificaciones en Android</t>
  </si>
  <si>
    <t>HcE1_SKmWW8</t>
  </si>
  <si>
    <t>Almacenamiento Datos</t>
  </si>
  <si>
    <t>Gestión de ficheros en Android</t>
  </si>
  <si>
    <t>LYP6OaFkAfc</t>
  </si>
  <si>
    <t>Almacenamiento de ficheros externos en Android</t>
  </si>
  <si>
    <t>DBS7OyiqrZA</t>
  </si>
  <si>
    <t>Internet: sockets, HTTP y servicios Web</t>
  </si>
  <si>
    <t>Socket</t>
  </si>
  <si>
    <t>1gq65jDQyZo</t>
  </si>
  <si>
    <t>Protocolo HTTP 1</t>
  </si>
  <si>
    <t>wHXRmq75N_Y</t>
  </si>
  <si>
    <t>Protocolo HTTP 2</t>
  </si>
  <si>
    <t>CPUbmKc3rtM</t>
  </si>
  <si>
    <t>Publicar Aplicaciones</t>
  </si>
  <si>
    <t>Aspectos previos a la publicación en Android</t>
  </si>
  <si>
    <t>icgfMBniRuA</t>
  </si>
  <si>
    <t>Firmar una aplicación Android</t>
  </si>
  <si>
    <t>kiY-nrhxH7o</t>
  </si>
  <si>
    <t>Publicar en Google Play</t>
  </si>
  <si>
    <t>bkQDumZY9dE</t>
  </si>
  <si>
    <t>examen unidad</t>
  </si>
  <si>
    <t>unidad</t>
  </si>
  <si>
    <t>&lt;li&gt;&lt;a href="</t>
  </si>
  <si>
    <t>" target="_blank"&gt;</t>
  </si>
  <si>
    <t>&lt;p style="text-align: justify;"&gt;Android es la plataforma libre desarrollada por Google, ampliamente utilizada en multitud de dispositivos como móviles, tabletas, TV o sistemas empotrados. Su expansión ha sido expectacular, superando en la actualidad al S.O. Microsoft Windows. Tras realizar este curso conocerás los fundamentos del desarrollo de aplicaciones en Android y podrás realizar sencillas aplicaciones, que incluyan los aspectos más importantes y novedosos de esta plataforma. Incluyendo: principales elemementos del interfaz de usuario, posicionamiento, mapas, seguridad y bases de datos.&lt;/p&gt;</t>
  </si>
  <si>
    <t>&lt;p style="text-align: justify;"&gt;Buen nivel de programación. Se recomienda tener conocimientos de algún lenguaje orientado a objetos, especialmente si se trata de Java. (NOTA: En el curso se incluye una unidad para repasar Java)&lt;/p&gt;</t>
  </si>
  <si>
    <t>&lt;p style="text-align: justify;"&gt;Tras este curso serás capaz de realizar aplicaciones en Android que incluyan los elementos más importantes. A lo largo del curso se desarrolla una aplicación de ejemplo, &amp;quot;Mis Sitios Favoritos&amp;quot; que nos permitirá almacenar fotografía, posición geográfica, valoración y otros datos de los locales que más nos gustan. El curso se introducen los siguientes aspectos: repaso de Java, visión general de Android, entorno de desarrollo (Eclipse), Interfaz de usuario (vistas, Layouts, recusos, barra de acciones, preferencias, ListView,...), actividades, intenciones, seguridad, posicionamiento, mapas y bases de datos.&lt;/p&gt;</t>
  </si>
  <si>
    <t>2015-001</t>
  </si>
  <si>
    <t>5 horas a la semana</t>
  </si>
  <si>
    <t>seguimiento</t>
  </si>
  <si>
    <t>se</t>
  </si>
  <si>
    <t>Contenido</t>
  </si>
  <si>
    <t>Preguntas frecuentes</t>
  </si>
  <si>
    <t xml:space="preserve">&lt;h3&gt;PREGUNTAS FRECUENTES&lt;/h3&gt;
&lt;p style="text-align: justify;"&gt;En esta p&amp;aacute;gina iremos recopilando en forma de v&amp;iacute;deos explicativos las respuestas a las preguntas m&amp;aacute;s habituales sobre el funcionamiento de la plataforma.&amp;nbsp;&lt;/p&gt;
&lt;p style="text-align: justify;"&gt;Empezamos con el v&amp;iacute;deo resumen sobre el funcionamiento de la plataforma que tambi&amp;eacute;n os enlazamos&amp;nbsp;en el apartado de informaci&amp;oacute;n.&lt;/p&gt;
&lt;p style="text-align: center;"&gt;&lt;iframe width="560" height="315" src="//www.youtube.com/embed/5KSMFzN-mQI" frameborder="0" allowfullscreen=""&gt;&lt;/iframe&gt;&lt;/p&gt;
&lt;p style="text-align: justify;"&gt;Como la herramienta de discusi&amp;oacute;n ser&amp;aacute; el canal principal de comunicaci&amp;oacute;n entre los alumnos del curso y la forma de obtener ayuda del equipo del curso, hemos preparado un v&amp;iacute;deo en el que explicamos c&amp;oacute;mo utilizarla de forma m&amp;aacute;s detallada.&lt;/p&gt;
&lt;p style="text-align: center;"&gt;&lt;iframe width="560" height="315" src="//www.youtube.com/embed/vxnWPbaHU4M" frameborder="0" allowfullscreen=""&gt;&lt;/iframe&gt;&lt;/p&gt;
&lt;p style="text-align: justify;"&gt;Y otro donde resumimos las directrices recomendadas para participar en los foros.&lt;/p&gt;
&lt;p style="text-align: center;"&gt;&lt;iframe width="560" height="315" src="//www.youtube.com/embed/EQ-PoKEfgaM" frameborder="0" allowfullscreen=""&gt;&lt;/iframe&gt;&lt;/p&gt;
&lt;p style="text-align: justify;"&gt;Hemos preparado una versi&amp;oacute;n de estas directrices en un documento de texto en el que, adem&amp;aacute;s, hemos incluido una descripci&amp;oacute;n de las categor&amp;iacute;as generales que usamos habitualmente en los foros y que puedes descargar pinchando en &lt;a href="https://drive.google.com/file/d/0B1knYOKPsVxxay1mVFBnUXJIZjg/view?usp=sharing" target="_blank"&gt;Directrices para el uso de los foros&lt;/a&gt;.&lt;/p&gt;
&lt;p style="text-align: justify;"&gt;Para aquellos que quieran profundizar en las opciones de certificaci&amp;oacute;n, y dado que en edx.org la informaci&amp;oacute;n est&amp;aacute; en ingl&amp;eacute;s, hemos preparado otro v&amp;iacute;deo explicandolas.&lt;/p&gt;
&lt;p style="text-align: center;"&gt;&lt;iframe width="560" height="315" src="//www.youtube.com/embed/R499IcE89TA" frameborder="0" allowfullscreen=""&gt;&lt;/iframe&gt;&lt;/p&gt;
&lt;p style="text-align: justify;"&gt;Tambi&amp;eacute;n hemos detectado que si un v&amp;iacute;deo tiene subt&amp;iacute;tulos cargados en Youtube, estos pueden aparecer duplicados en edX. Si es algo que te est&amp;aacute; pasado en este v&amp;iacute;deo te ense&amp;ntilde;amos c&amp;oacute;mo deshabilitar los subt&amp;iacute;tulos de Youtube.&lt;/p&gt;
&lt;p style="text-align: center;"&gt;&lt;iframe width="560" height="315" src="//www.youtube.com/embed/V_Ydg6Zh0As" frameborder="0" allowfullscreen=""&gt;&lt;/iframe&gt;&lt;/p&gt;
&lt;p style="text-align: justify;"&gt;Por &amp;uacute;ltimo, y dado que la p&amp;aacute;gina de preguntas frecuentes de la plataforma (FAQ) se encuentra actualmente en ingl&amp;eacute;s, hemos preparado un v&amp;iacute;deo con las preguntas y respuestas m&amp;aacute;s frecuentes en el uso de la misma.&lt;/p&gt;
&lt;p style="text-align: center;"&gt;&lt;iframe width="560" height="315" src="//www.youtube.com/embed/oO1nQLA3_3s" frameborder="0" allowfullscreen=""&gt;&lt;/iframe&gt;&lt;/p&gt;
</t>
  </si>
  <si>
    <t>en</t>
  </si>
  <si>
    <t>es</t>
  </si>
  <si>
    <t>abreviatura</t>
  </si>
  <si>
    <t>Spanish</t>
  </si>
  <si>
    <t>English</t>
  </si>
  <si>
    <t>ab</t>
  </si>
  <si>
    <t>Abkhazian</t>
  </si>
  <si>
    <t>aa</t>
  </si>
  <si>
    <t>Afar</t>
  </si>
  <si>
    <t>af</t>
  </si>
  <si>
    <t>Afrikaans</t>
  </si>
  <si>
    <t>ak</t>
  </si>
  <si>
    <t>Akan</t>
  </si>
  <si>
    <t>sq</t>
  </si>
  <si>
    <t>Albanian</t>
  </si>
  <si>
    <t>am</t>
  </si>
  <si>
    <t>Amharic</t>
  </si>
  <si>
    <t>ar</t>
  </si>
  <si>
    <t>Arabic</t>
  </si>
  <si>
    <t>an</t>
  </si>
  <si>
    <t>Aragonese</t>
  </si>
  <si>
    <t>hy</t>
  </si>
  <si>
    <t>Armenian</t>
  </si>
  <si>
    <t>as</t>
  </si>
  <si>
    <t>Assamese</t>
  </si>
  <si>
    <t>av</t>
  </si>
  <si>
    <t>Avaric</t>
  </si>
  <si>
    <t>ae</t>
  </si>
  <si>
    <t>Avestan</t>
  </si>
  <si>
    <t>ay</t>
  </si>
  <si>
    <t>Aymara</t>
  </si>
  <si>
    <t>az</t>
  </si>
  <si>
    <t>Azerbaijani</t>
  </si>
  <si>
    <t>bm</t>
  </si>
  <si>
    <t>Bambara</t>
  </si>
  <si>
    <t>ba</t>
  </si>
  <si>
    <t>Bashkir</t>
  </si>
  <si>
    <t>eu</t>
  </si>
  <si>
    <t>Basque</t>
  </si>
  <si>
    <t>be</t>
  </si>
  <si>
    <t>Belarusian</t>
  </si>
  <si>
    <t>bn</t>
  </si>
  <si>
    <t>Bengali</t>
  </si>
  <si>
    <t>bh</t>
  </si>
  <si>
    <t>Bihari languages</t>
  </si>
  <si>
    <t>bi</t>
  </si>
  <si>
    <t>Bislama</t>
  </si>
  <si>
    <t>nb</t>
  </si>
  <si>
    <t>Bokmål, Norwegian</t>
  </si>
  <si>
    <t>bs</t>
  </si>
  <si>
    <t>Bosnian</t>
  </si>
  <si>
    <t>br</t>
  </si>
  <si>
    <t>Breton</t>
  </si>
  <si>
    <t>bg</t>
  </si>
  <si>
    <t>Bulgarian</t>
  </si>
  <si>
    <t>my</t>
  </si>
  <si>
    <t>Burmese</t>
  </si>
  <si>
    <t>ca</t>
  </si>
  <si>
    <t>Catalan</t>
  </si>
  <si>
    <t>km</t>
  </si>
  <si>
    <t>Central Khmer</t>
  </si>
  <si>
    <t>ch</t>
  </si>
  <si>
    <t>Chamorro</t>
  </si>
  <si>
    <t>ce</t>
  </si>
  <si>
    <t>Chechen</t>
  </si>
  <si>
    <t>ny</t>
  </si>
  <si>
    <t>Chichewa</t>
  </si>
  <si>
    <t>zh</t>
  </si>
  <si>
    <t>Chinese</t>
  </si>
  <si>
    <t>cu</t>
  </si>
  <si>
    <t>Church Slavic</t>
  </si>
  <si>
    <t>cv</t>
  </si>
  <si>
    <t>Chuvash</t>
  </si>
  <si>
    <t>kw</t>
  </si>
  <si>
    <t>Cornish</t>
  </si>
  <si>
    <t>co</t>
  </si>
  <si>
    <t>Corsican</t>
  </si>
  <si>
    <t>cr</t>
  </si>
  <si>
    <t>Cree</t>
  </si>
  <si>
    <t>hr</t>
  </si>
  <si>
    <t>Croatian</t>
  </si>
  <si>
    <t>cs</t>
  </si>
  <si>
    <t>Czech</t>
  </si>
  <si>
    <t>da</t>
  </si>
  <si>
    <t>Danish</t>
  </si>
  <si>
    <t>dv</t>
  </si>
  <si>
    <t>Divehi</t>
  </si>
  <si>
    <t>nl</t>
  </si>
  <si>
    <t>Dutch</t>
  </si>
  <si>
    <t>dz</t>
  </si>
  <si>
    <t>Dzongkha</t>
  </si>
  <si>
    <t>eo</t>
  </si>
  <si>
    <t>Esperanto</t>
  </si>
  <si>
    <t>et</t>
  </si>
  <si>
    <t>Estonian</t>
  </si>
  <si>
    <t>ee</t>
  </si>
  <si>
    <t>Ewe</t>
  </si>
  <si>
    <t>fo</t>
  </si>
  <si>
    <t>Faroese</t>
  </si>
  <si>
    <t>fj</t>
  </si>
  <si>
    <t>Fijian</t>
  </si>
  <si>
    <t>fi</t>
  </si>
  <si>
    <t>Finnish</t>
  </si>
  <si>
    <t>fr</t>
  </si>
  <si>
    <t>French</t>
  </si>
  <si>
    <t>ff</t>
  </si>
  <si>
    <t>Fulah</t>
  </si>
  <si>
    <t>gd</t>
  </si>
  <si>
    <t>Gaelic</t>
  </si>
  <si>
    <t>gl</t>
  </si>
  <si>
    <t>Galician</t>
  </si>
  <si>
    <t>lg</t>
  </si>
  <si>
    <t>Ganda</t>
  </si>
  <si>
    <t>ka</t>
  </si>
  <si>
    <t>Georgian</t>
  </si>
  <si>
    <t>de</t>
  </si>
  <si>
    <t>German</t>
  </si>
  <si>
    <t>el</t>
  </si>
  <si>
    <t>Greek</t>
  </si>
  <si>
    <t>gn</t>
  </si>
  <si>
    <t>Guarani</t>
  </si>
  <si>
    <t>gu</t>
  </si>
  <si>
    <t>Gujarati</t>
  </si>
  <si>
    <t>ht</t>
  </si>
  <si>
    <t>Haitian</t>
  </si>
  <si>
    <t>ha</t>
  </si>
  <si>
    <t>Hausa</t>
  </si>
  <si>
    <t>he</t>
  </si>
  <si>
    <t>Hebrew</t>
  </si>
  <si>
    <t>hz</t>
  </si>
  <si>
    <t>Herero</t>
  </si>
  <si>
    <t>hi</t>
  </si>
  <si>
    <t>Hindi</t>
  </si>
  <si>
    <t>ho</t>
  </si>
  <si>
    <t>Hiri Motu</t>
  </si>
  <si>
    <t>hu</t>
  </si>
  <si>
    <t>Hungarian</t>
  </si>
  <si>
    <t>is</t>
  </si>
  <si>
    <t>Icelandic</t>
  </si>
  <si>
    <t>io</t>
  </si>
  <si>
    <t>Ido</t>
  </si>
  <si>
    <t>ig</t>
  </si>
  <si>
    <t>Igbo</t>
  </si>
  <si>
    <t>id</t>
  </si>
  <si>
    <t>Indonesian</t>
  </si>
  <si>
    <t>ia</t>
  </si>
  <si>
    <t>Interlingua</t>
  </si>
  <si>
    <t>ie</t>
  </si>
  <si>
    <t>Interlingue</t>
  </si>
  <si>
    <t>iu</t>
  </si>
  <si>
    <t>Inuktitut</t>
  </si>
  <si>
    <t>ik</t>
  </si>
  <si>
    <t>Inupiaq</t>
  </si>
  <si>
    <t>ga</t>
  </si>
  <si>
    <t>Irish</t>
  </si>
  <si>
    <t>it</t>
  </si>
  <si>
    <t>Italian</t>
  </si>
  <si>
    <t>ja</t>
  </si>
  <si>
    <t>Japanese</t>
  </si>
  <si>
    <t>jv</t>
  </si>
  <si>
    <t>Javanese</t>
  </si>
  <si>
    <t>kl</t>
  </si>
  <si>
    <t>Kalaallisut</t>
  </si>
  <si>
    <t>kn</t>
  </si>
  <si>
    <t>Kannada</t>
  </si>
  <si>
    <t>kr</t>
  </si>
  <si>
    <t>Kanuri</t>
  </si>
  <si>
    <t>ks</t>
  </si>
  <si>
    <t>Kashmiri</t>
  </si>
  <si>
    <t>kk</t>
  </si>
  <si>
    <t>Kazakh</t>
  </si>
  <si>
    <t>ki</t>
  </si>
  <si>
    <t>Kikuyu</t>
  </si>
  <si>
    <t>rw</t>
  </si>
  <si>
    <t>Kinyarwanda</t>
  </si>
  <si>
    <t>ky</t>
  </si>
  <si>
    <t>Kirghiz</t>
  </si>
  <si>
    <t>kv</t>
  </si>
  <si>
    <t>Komi</t>
  </si>
  <si>
    <t>kg</t>
  </si>
  <si>
    <t>Kongo</t>
  </si>
  <si>
    <t>ko</t>
  </si>
  <si>
    <t>Korean</t>
  </si>
  <si>
    <t>kj</t>
  </si>
  <si>
    <t>Kuanyama</t>
  </si>
  <si>
    <t>ku</t>
  </si>
  <si>
    <t>Kurdish</t>
  </si>
  <si>
    <t>lo</t>
  </si>
  <si>
    <t>Lao</t>
  </si>
  <si>
    <t>la</t>
  </si>
  <si>
    <t>Latin</t>
  </si>
  <si>
    <t>lv</t>
  </si>
  <si>
    <t>Latvian</t>
  </si>
  <si>
    <t>li</t>
  </si>
  <si>
    <t>Limburgan</t>
  </si>
  <si>
    <t>ln</t>
  </si>
  <si>
    <t>Lingala</t>
  </si>
  <si>
    <t>lt</t>
  </si>
  <si>
    <t>Lithuanian</t>
  </si>
  <si>
    <t>lu</t>
  </si>
  <si>
    <t>Luba-Katanga</t>
  </si>
  <si>
    <t>lb</t>
  </si>
  <si>
    <t>Luxembourgish</t>
  </si>
  <si>
    <t>mk</t>
  </si>
  <si>
    <t>Macedonian</t>
  </si>
  <si>
    <t>mg</t>
  </si>
  <si>
    <t>Malagasy</t>
  </si>
  <si>
    <t>ms</t>
  </si>
  <si>
    <t>Malay</t>
  </si>
  <si>
    <t>ml</t>
  </si>
  <si>
    <t>Malayalam</t>
  </si>
  <si>
    <t>mt</t>
  </si>
  <si>
    <t>Maltese</t>
  </si>
  <si>
    <t>gv</t>
  </si>
  <si>
    <t>Manx</t>
  </si>
  <si>
    <t>mi</t>
  </si>
  <si>
    <t>Maori</t>
  </si>
  <si>
    <t>mr</t>
  </si>
  <si>
    <t>Marathi</t>
  </si>
  <si>
    <t>mh</t>
  </si>
  <si>
    <t>Marshallese</t>
  </si>
  <si>
    <t>mn</t>
  </si>
  <si>
    <t>Mongolian</t>
  </si>
  <si>
    <t>na</t>
  </si>
  <si>
    <t>Nauru</t>
  </si>
  <si>
    <t>nv</t>
  </si>
  <si>
    <t>Navajo</t>
  </si>
  <si>
    <t>nd</t>
  </si>
  <si>
    <t>Ndebele, North</t>
  </si>
  <si>
    <t>nr</t>
  </si>
  <si>
    <t>Ndebele, South</t>
  </si>
  <si>
    <t>ng</t>
  </si>
  <si>
    <t>Ndonga</t>
  </si>
  <si>
    <t>ne</t>
  </si>
  <si>
    <t>Nepali</t>
  </si>
  <si>
    <t>Northern Sami</t>
  </si>
  <si>
    <t>no</t>
  </si>
  <si>
    <t>Norwegian</t>
  </si>
  <si>
    <t>nn</t>
  </si>
  <si>
    <t>Norwegian Nynorsk</t>
  </si>
  <si>
    <t>oc</t>
  </si>
  <si>
    <t>Occitan</t>
  </si>
  <si>
    <t>oj</t>
  </si>
  <si>
    <t>Ojibwa</t>
  </si>
  <si>
    <t>or</t>
  </si>
  <si>
    <t>Oriya</t>
  </si>
  <si>
    <t>om</t>
  </si>
  <si>
    <t>Oromo</t>
  </si>
  <si>
    <t>os</t>
  </si>
  <si>
    <t>Ossetian</t>
  </si>
  <si>
    <t>pi</t>
  </si>
  <si>
    <t>Pali</t>
  </si>
  <si>
    <t>pa</t>
  </si>
  <si>
    <t>Panjabi</t>
  </si>
  <si>
    <t>fa</t>
  </si>
  <si>
    <t>Persian</t>
  </si>
  <si>
    <t>pl</t>
  </si>
  <si>
    <t>Polish</t>
  </si>
  <si>
    <t>pt</t>
  </si>
  <si>
    <t>Portuguese</t>
  </si>
  <si>
    <t>ps</t>
  </si>
  <si>
    <t>Pushto</t>
  </si>
  <si>
    <t>qu</t>
  </si>
  <si>
    <t>Quechua</t>
  </si>
  <si>
    <t>ro</t>
  </si>
  <si>
    <t>Romanian</t>
  </si>
  <si>
    <t>rm</t>
  </si>
  <si>
    <t>Romansh</t>
  </si>
  <si>
    <t>rn</t>
  </si>
  <si>
    <t>Rundi</t>
  </si>
  <si>
    <t>ru</t>
  </si>
  <si>
    <t>Russian</t>
  </si>
  <si>
    <t>sm</t>
  </si>
  <si>
    <t>Samoan</t>
  </si>
  <si>
    <t>sg</t>
  </si>
  <si>
    <t>Sango</t>
  </si>
  <si>
    <t>sa</t>
  </si>
  <si>
    <t>Sanskrit</t>
  </si>
  <si>
    <t>sc</t>
  </si>
  <si>
    <t>Sardinian</t>
  </si>
  <si>
    <t>sr</t>
  </si>
  <si>
    <t>Serbian</t>
  </si>
  <si>
    <t>sn</t>
  </si>
  <si>
    <t>Shona</t>
  </si>
  <si>
    <t>ii</t>
  </si>
  <si>
    <t>Sichuan Yi</t>
  </si>
  <si>
    <t>sd</t>
  </si>
  <si>
    <t>Sindhi</t>
  </si>
  <si>
    <t>si</t>
  </si>
  <si>
    <t>Sinhala</t>
  </si>
  <si>
    <t>sk</t>
  </si>
  <si>
    <t>Slovak</t>
  </si>
  <si>
    <t>sl</t>
  </si>
  <si>
    <t>Slovenian</t>
  </si>
  <si>
    <t>so</t>
  </si>
  <si>
    <t>Somali</t>
  </si>
  <si>
    <t>st</t>
  </si>
  <si>
    <t>Sotho, Southern</t>
  </si>
  <si>
    <t>su</t>
  </si>
  <si>
    <t>Sundanese</t>
  </si>
  <si>
    <t>sw</t>
  </si>
  <si>
    <t>Swahili</t>
  </si>
  <si>
    <t>ss</t>
  </si>
  <si>
    <t>Swati</t>
  </si>
  <si>
    <t>sv</t>
  </si>
  <si>
    <t>Swedish</t>
  </si>
  <si>
    <t>tl</t>
  </si>
  <si>
    <t>Tagalog</t>
  </si>
  <si>
    <t>ty</t>
  </si>
  <si>
    <t>Tahitian</t>
  </si>
  <si>
    <t>tg</t>
  </si>
  <si>
    <t>Tajik</t>
  </si>
  <si>
    <t>ta</t>
  </si>
  <si>
    <t>Tamil</t>
  </si>
  <si>
    <t>tt</t>
  </si>
  <si>
    <t>Tatar</t>
  </si>
  <si>
    <t>te</t>
  </si>
  <si>
    <t>Telugu</t>
  </si>
  <si>
    <t>th</t>
  </si>
  <si>
    <t>Thai</t>
  </si>
  <si>
    <t>bo</t>
  </si>
  <si>
    <t>Tibetan</t>
  </si>
  <si>
    <t>ti</t>
  </si>
  <si>
    <t>Tigrinya</t>
  </si>
  <si>
    <t>to</t>
  </si>
  <si>
    <t>Tonga (Tonga Islands)</t>
  </si>
  <si>
    <t>ts</t>
  </si>
  <si>
    <t>Tsonga</t>
  </si>
  <si>
    <t>tn</t>
  </si>
  <si>
    <t>Tswana</t>
  </si>
  <si>
    <t>tr</t>
  </si>
  <si>
    <t>Turkish</t>
  </si>
  <si>
    <t>tk</t>
  </si>
  <si>
    <t>Turkmen</t>
  </si>
  <si>
    <t>tw</t>
  </si>
  <si>
    <t>Twi</t>
  </si>
  <si>
    <t>ug</t>
  </si>
  <si>
    <t>Uighur</t>
  </si>
  <si>
    <t>uk</t>
  </si>
  <si>
    <t>Ukrainian</t>
  </si>
  <si>
    <t>ur</t>
  </si>
  <si>
    <t>Urdu</t>
  </si>
  <si>
    <t>uz</t>
  </si>
  <si>
    <t>Uzbek</t>
  </si>
  <si>
    <t>ve</t>
  </si>
  <si>
    <t>Venda</t>
  </si>
  <si>
    <t>vi</t>
  </si>
  <si>
    <t>Vietnamese</t>
  </si>
  <si>
    <t>vo</t>
  </si>
  <si>
    <t>Volapük</t>
  </si>
  <si>
    <t>wa</t>
  </si>
  <si>
    <t>Walloon</t>
  </si>
  <si>
    <t>cy</t>
  </si>
  <si>
    <t>Welsh</t>
  </si>
  <si>
    <t>fy</t>
  </si>
  <si>
    <t>Western Frisian</t>
  </si>
  <si>
    <t>wo</t>
  </si>
  <si>
    <t>Wolof</t>
  </si>
  <si>
    <t>xh</t>
  </si>
  <si>
    <t>Xhosa</t>
  </si>
  <si>
    <t>yi</t>
  </si>
  <si>
    <t>Yiddish</t>
  </si>
  <si>
    <t>yo</t>
  </si>
  <si>
    <t>Yoruba</t>
  </si>
  <si>
    <t>za</t>
  </si>
  <si>
    <t>Zhuang</t>
  </si>
  <si>
    <t>zu</t>
  </si>
  <si>
    <t>Zulu</t>
  </si>
  <si>
    <t>COMENTARIO 5</t>
  </si>
  <si>
    <t>RESPUESTA 5</t>
  </si>
  <si>
    <t>POLIMEDIA</t>
  </si>
  <si>
    <t>d1480ed8-b757-5448-8bcb-4b42d2596c7d</t>
  </si>
  <si>
    <t>333181ad-ebb5-3e4a-9628-cd33567436f0</t>
  </si>
  <si>
    <t>77c4c54b-6197-9046-b890-b9a617b890d2</t>
  </si>
  <si>
    <t>6bc70446-b4df-234f-90c0-bd7eb1f05e27</t>
  </si>
  <si>
    <t>251aa841-9a29-484e-80f9-c305bc54663a</t>
  </si>
  <si>
    <t>98061a93-766f-df4a-aab0-1273ab787ebd</t>
  </si>
  <si>
    <t>59b7f462-59e4-194c-bf5e-e51484baf8a4</t>
  </si>
  <si>
    <t>822faa87-9231-ab41-8a6c-560edd1e2ce4</t>
  </si>
  <si>
    <t>2e1eba26-352b-2d40-874f-8de9da5d8cf0</t>
  </si>
  <si>
    <t>6465af0e-1088-604c-beec-55d8a72f183a</t>
  </si>
  <si>
    <t>f1e773cb-8dee-3e44-80fe-83f4adcaf316</t>
  </si>
  <si>
    <t>a35e3e46-ad48-5f49-bb7a-aec5b8da47e0</t>
  </si>
  <si>
    <t>6d24af05-8a7f-894d-905b-dada5ffd509c</t>
  </si>
  <si>
    <t>f3d1ae99-404a-eb4f-a60c-fb16160febc1</t>
  </si>
  <si>
    <t>895b8182-2ef2-ae4c-afcf-b9ff1464f4af</t>
  </si>
  <si>
    <t>e320776e-0926-3041-aaf2-02e29e0693ca</t>
  </si>
  <si>
    <t>Android 5.0 Lollipop</t>
  </si>
  <si>
    <t>84084222-0421-e145-83b9-82088e98e722</t>
  </si>
  <si>
    <t>Las librerias de compatibilidad (support library) de Android</t>
  </si>
  <si>
    <t>214b31a6-5238-8b4f-9b17-0b16840ccf9b</t>
  </si>
  <si>
    <t>369f4bb6-5809-db4e-afa2-f5e2e92c1ba7</t>
  </si>
  <si>
    <t>f2f9703c-049b-c349-a95e-4cb5150b70e7</t>
  </si>
  <si>
    <t>3e7f7068-f4e8-9f42-b573-c76fa9ba1bd7</t>
  </si>
  <si>
    <t>2626d76a-790d-c540-bd65-d50ed5898e8c</t>
  </si>
  <si>
    <t>53ed7d7d-ae0a-3d44-8e6a-e432f10f30d1</t>
  </si>
  <si>
    <t>6f39be43-82eb-b546-9b3d-55d9c71968c6</t>
  </si>
  <si>
    <t>b415ec0a-937d-3e42-8cdc-27ab1cf187fb</t>
  </si>
  <si>
    <t>b4a69883-864e-5c46-be58-549d4c323312</t>
  </si>
  <si>
    <t>112c1b25-5be2-bf40-b9f0-e8fe9faa90ef</t>
  </si>
  <si>
    <t>a23037a2-f642-d343-b6bc-8f719b054b5c</t>
  </si>
  <si>
    <t>e8ba69a2-00aa-6645-90f1-f2afec8a48cb</t>
  </si>
  <si>
    <t>67dd3f7e-551b-574a-a6b9-94c96a4573f1</t>
  </si>
  <si>
    <t>0405990f-e2dc-9940-945d-66b86795f83c</t>
  </si>
  <si>
    <t>c4f4cae4-1571-c54f-987f-2dce258cd259</t>
  </si>
  <si>
    <t>b2dbe09d-613b-6a43-9b81-8acf75777dda</t>
  </si>
  <si>
    <t>9a4394b3-90b3-b54c-945c-5e200a923153</t>
  </si>
  <si>
    <t>9df66b10-b5ca-a143-9df3-89c7f4e8b4bf</t>
  </si>
  <si>
    <t>68cd39db-0b86-f04a-96a4-f76d643c0dcb</t>
  </si>
  <si>
    <t>ae46ba43-9f62-794b-b0de-e7dc24dbddde</t>
  </si>
  <si>
    <t>0a62eba0-1e44-f843-9943-e7be0c09712c</t>
  </si>
  <si>
    <t>3b61fe36-656c-9443-b1a4-9f0d5d3a1328</t>
  </si>
  <si>
    <t>417575d9-e501-b546-83f4-44ad96baae33</t>
  </si>
  <si>
    <t>e926764c-d50d-6c46-b4c6-7c90b99b5ab6</t>
  </si>
  <si>
    <t>79591d37-7a0d-e646-b830-c4051e0c7721</t>
  </si>
  <si>
    <t>916ba522-b72c-7541-accb-9cf185a6c03d</t>
  </si>
  <si>
    <t>6e7d2dc9-c8d7-1144-8db7-33c58545d059</t>
  </si>
  <si>
    <t>9793556b-6331-8049-a316-ba7a3f5dd5cb</t>
  </si>
  <si>
    <t>baae6ab7-e653-6642-877e-710837e94d60</t>
  </si>
  <si>
    <t>56205fac-f54c-e148-b324-c1a52845267d</t>
  </si>
  <si>
    <t>a84975eb-23a7-1440-9bce-ca61093a2c78</t>
  </si>
  <si>
    <t>40ef6a7f-7020-dd4e-9d9c-b65111b15f10</t>
  </si>
  <si>
    <t>e5cb9084-90c0-e643-805e-1999500a8595</t>
  </si>
  <si>
    <t>98695d11-c540-7a42-9b64-c4d29169e26a</t>
  </si>
  <si>
    <t>9af5fa06-2f18-a842-b57e-a1b1667f60cc</t>
  </si>
  <si>
    <t>058b7c0d-788d-d548-a601-6c7cf32e6561</t>
  </si>
  <si>
    <t>d1dddcaf-33e4-be47-a38b-cfcb4f297c54</t>
  </si>
  <si>
    <t>3b6c0bf2-8ec5-ea46-8c70-6df3524a5294</t>
  </si>
  <si>
    <t>c568cf17-8130-1949-a452-038e5fa807b7</t>
  </si>
  <si>
    <t>08033fae-de6c-9240-85cd-cefd3c784e47</t>
  </si>
  <si>
    <t>f589a70f-e8a3-4649-be1c-f5829569b7cc</t>
  </si>
  <si>
    <t>36fc384c-a761-ba46-b6c5-31eadced98d7</t>
  </si>
  <si>
    <t>2ba141be-3429-7344-92aa-65e5815cc367</t>
  </si>
  <si>
    <t>16a85e6c-fbe8-0646-b948-6343e173c2db</t>
  </si>
  <si>
    <t>de1072f1-3623-404b-9c9b-b74d97638364</t>
  </si>
  <si>
    <t>0303837d-2982-5948-b34b-c3704df15cff</t>
  </si>
  <si>
    <t>b60d5394-7e88-1743-a6d5-1ea2eaf4f89e</t>
  </si>
  <si>
    <t>7f7c614d-fe95-7841-83dc-10d50fda377e</t>
  </si>
  <si>
    <t>4f67dddc-49f4-cd44-a4ff-fe3f0b8f8411</t>
  </si>
  <si>
    <t>b03514e3-1070-9046-89cb-8c5811d3a171</t>
  </si>
  <si>
    <t>0fa165ab-e734-1344-be1a-1fb1edd0d14b</t>
  </si>
  <si>
    <t>bdda8380-daff-f145-b6e0-ceadca33d623</t>
  </si>
  <si>
    <t>77ddb493-8dee-7242-a4f1-fd05b74df4ae</t>
  </si>
  <si>
    <t>Programación temporal</t>
  </si>
  <si>
    <t>Evaluación</t>
  </si>
  <si>
    <t>Vz-9qRz_yDY</t>
  </si>
  <si>
    <t>&lt;p&gt;El curso consta de 8 unidades y tiene una duración estima en 10 semanas.&amp;nbsp;&lt;br /&gt;
Cada semana se abrirá una nueva unidad, con la finalidad de que los alumnos lo realicen de forma sincronizada.&amp;nbsp;&lt;br /&gt;
&lt;/p&gt;</t>
  </si>
  <si>
    <t>&lt;p&gt;&amp;quot;Para la superación del curso se tendrán en cuenta todos los ejercicios del curso, examenes de unidad&amp;nbsp;y el examen final, las preguntas situadas tras cada vídeo sirven para que refuerces lo aprendido y suponen un 30% de la nota final.&lt;br/&gt;Tienes 2 intentos para contestar cada pregunta. El curso se considerará superado si la puntuación obtenida al final es un 50% o más de la calificación máxima posible.&lt;br/&gt;Para calcular la calificación final los examenes de unidad&amp;nbsp;valen un 30%, las preguntas continuas 30%&amp;nbsp;y el examen final un 40%. &amp;quot;&lt;/p&gt;</t>
  </si>
  <si>
    <t>&lt;/a&gt;&lt;/li&gt;</t>
  </si>
  <si>
    <t>InlineDropDown</t>
  </si>
  <si>
    <t>InlineText</t>
  </si>
  <si>
    <t>Los pescadores usan la [{***caña;patata;melon}] amenudo pero a veces usan [{patatas;***redes;melones}] si necesitan pescar desde el barco.</t>
  </si>
  <si>
    <t>Los pescadores usan la [{caña;anzuelo;arpon}] amenudo pero a veces usan [{red;redes}] si necesitan pescar desde el barco.</t>
  </si>
  <si>
    <t>Nombre y apellidos de prueba;</t>
  </si>
  <si>
    <t>plantillaXNF</t>
  </si>
  <si>
    <t>Curso Plantilla XNF</t>
  </si>
  <si>
    <t>1;3</t>
  </si>
  <si>
    <t>Esta es una pregunta con multiples respuestas y varias verdaderas, las respuestas correctas van separadas por ; en el campo CORRECTAs/TOLERANCIA</t>
  </si>
  <si>
    <t>sile</t>
  </si>
  <si>
    <t>nole</t>
  </si>
  <si>
    <t>Esta es una pregunta con multiples respuestas pero sólo una es correcta</t>
  </si>
  <si>
    <t>nop</t>
  </si>
  <si>
    <t>no creo</t>
  </si>
  <si>
    <t>En este tipo de problemas esperamos una respuesta numérica con un margen de error indicado por CORRECTAs/TOLERANCIA (en este caso aceptará valores entre 9,8 y 10,2)</t>
  </si>
  <si>
    <t>texto esperado</t>
  </si>
  <si>
    <t>VideoEDX</t>
  </si>
  <si>
    <t>Version Plantilla</t>
  </si>
  <si>
    <t>&lt;problem&gt;si ponemos custom, el conversor le pasará a edx el codigo que pongamos aquí tal y como se lo pongamos (es conveniente entender como funcionan los problemas avanzados para poder crear problemas custom)&lt;/problem&gt;</t>
  </si>
  <si>
    <t>REINICIAR</t>
  </si>
  <si>
    <t>Descripción del certificado</t>
  </si>
  <si>
    <t>Activo</t>
  </si>
  <si>
    <t>Id</t>
  </si>
  <si>
    <t>Versión</t>
  </si>
  <si>
    <t>Nombre del certificado</t>
  </si>
  <si>
    <t>Nombre Firmante</t>
  </si>
  <si>
    <t>Id Firma</t>
  </si>
  <si>
    <t>Título del firmante</t>
  </si>
  <si>
    <t>Organización Firmante</t>
  </si>
  <si>
    <t>Ruta de la imagen</t>
  </si>
  <si>
    <t>Description of the certificate</t>
  </si>
  <si>
    <t>Sí</t>
  </si>
  <si>
    <t>Name of the certificate</t>
  </si>
  <si>
    <t>Vicerrector de las Tecnolog\u00edas de la Informaci\u00f3n y de las Comunicaciones \n</t>
  </si>
  <si>
    <t>Universitat Polit\u00e8cnica de Val\u00e8ncia</t>
  </si>
  <si>
    <t>/asset-v1:UPValenciaX+ISC101.1x+3T2015+type@asset+block@Firma_Vicent_Botti.png</t>
  </si>
  <si>
    <t>T\u00e9cnico de Sistemas, ASIC</t>
  </si>
  <si>
    <t>/asset-v1:UPValenciaX+ISC101.1x+3T2015+type@asset+block@firmacolor__4_.png</t>
  </si>
  <si>
    <t>Certificados</t>
  </si>
  <si>
    <t>Imagen del curso</t>
  </si>
  <si>
    <t>Cierre Matrícula</t>
  </si>
  <si>
    <t>Nota corte</t>
  </si>
  <si>
    <t>Paquete de subida de videos</t>
  </si>
  <si>
    <t>Mobile</t>
  </si>
  <si>
    <t>Self Paced</t>
  </si>
  <si>
    <t>texto alternativo</t>
  </si>
  <si>
    <t>Problemas no soportados</t>
  </si>
  <si>
    <t>No</t>
  </si>
  <si>
    <t>Aletorización de problemas</t>
  </si>
  <si>
    <t>never</t>
  </si>
  <si>
    <t>Token secreto anotaciones</t>
  </si>
  <si>
    <t>Clave API Matlab</t>
  </si>
  <si>
    <t>Configuraciones para certificados Web/HTML</t>
  </si>
  <si>
    <t>{}</t>
  </si>
  <si>
    <t>Configuracion de equipos</t>
  </si>
  <si>
    <t>Tickets de Zendesks</t>
  </si>
  <si>
    <t>Credenciales de carga de video</t>
  </si>
  <si>
    <t>Curso NO calificado</t>
  </si>
  <si>
    <t>Curso nuevo</t>
  </si>
  <si>
    <t>Curso en catalogo</t>
  </si>
  <si>
    <t>both</t>
  </si>
  <si>
    <t>Deshabilitar progreso</t>
  </si>
  <si>
    <t>Antelación para betatestesters</t>
  </si>
  <si>
    <t>Dominio de autenticación externo</t>
  </si>
  <si>
    <t>Emitir open badges</t>
  </si>
  <si>
    <t>Inicio del curso publicada</t>
  </si>
  <si>
    <t>Fecha de limite de entrega</t>
  </si>
  <si>
    <t>Fecha desbloqueo discusiones</t>
  </si>
  <si>
    <t>[]</t>
  </si>
  <si>
    <t>Habilitar CCX</t>
  </si>
  <si>
    <t>Habilitar no tomar exámenes supervisados</t>
  </si>
  <si>
    <t>Habilitar compilador LaTeX</t>
  </si>
  <si>
    <t>Habilitar examenes cronometraos</t>
  </si>
  <si>
    <t>Habilitar examenes supervisados</t>
  </si>
  <si>
    <t>Habilitar notas de los estudiantes</t>
  </si>
  <si>
    <t>Habilitar prerequisitos de subsección</t>
  </si>
  <si>
    <t>Habilitar sistema de cache para video</t>
  </si>
  <si>
    <t>images_course_image.jpg</t>
  </si>
  <si>
    <t>Imagen acerca del curso</t>
  </si>
  <si>
    <t>Informacion sobre Aprendizaje en el Curso</t>
  </si>
  <si>
    <t>Instructor del curso</t>
  </si>
  <si>
    <t>{
    "instructors": []
}</t>
  </si>
  <si>
    <t>Libro de calificaciones remoto</t>
  </si>
  <si>
    <t>Libros texto en HTML</t>
  </si>
  <si>
    <t>Módulos avanzados</t>
  </si>
  <si>
    <t>Miniatura imagne video curso</t>
  </si>
  <si>
    <t>Boton reset para problemas</t>
  </si>
  <si>
    <t>Calculadora</t>
  </si>
  <si>
    <t>Mostrar respuesta</t>
  </si>
  <si>
    <t>finished</t>
  </si>
  <si>
    <t>Nombre (corto) certificado</t>
  </si>
  <si>
    <t>Nombre (largo) certificado</t>
  </si>
  <si>
    <t>Nombre organización mostrar</t>
  </si>
  <si>
    <t>Nombre tab inicio del curso</t>
  </si>
  <si>
    <t>Course Handouts</t>
  </si>
  <si>
    <t>Nombre curso a mostrar</t>
  </si>
  <si>
    <t>Numero maximo estudiantes</t>
  </si>
  <si>
    <t>Numero maximo intentos</t>
  </si>
  <si>
    <t>Numero para mostrar en el curso</t>
  </si>
  <si>
    <t>Publicacion certificados</t>
  </si>
  <si>
    <t>end</t>
  </si>
  <si>
    <t>Ordenar discusiones</t>
  </si>
  <si>
    <t>Acceso publico Wiki</t>
  </si>
  <si>
    <t>Publicacion anonima foros</t>
  </si>
  <si>
    <t>Publicacion anonima entre estudiantes</t>
  </si>
  <si>
    <t>Precio del curso a mostrar</t>
  </si>
  <si>
    <t>Ruta estaticos</t>
  </si>
  <si>
    <t>Solo invitación</t>
  </si>
  <si>
    <t>Trama temas discusión</t>
  </si>
  <si>
    <t>{
    "General": {
        "id": "course"
    }
}</t>
  </si>
  <si>
    <t>URL conector CCX</t>
  </si>
  <si>
    <t>URL compartir redes sociales</t>
  </si>
  <si>
    <t>URL almacenamiento anotaciones</t>
  </si>
  <si>
    <t>http://your_annotation_storage.com</t>
  </si>
  <si>
    <t>Video previo</t>
  </si>
  <si>
    <t>0.5</t>
  </si>
  <si>
    <t>Ruta importación estaticos</t>
  </si>
  <si>
    <t>{
            "course_video_upload_token": "cd1b9499323311e5b374406c8fb7d690"
        }</t>
  </si>
  <si>
    <t>Formato mostrar de limite de entrega</t>
  </si>
  <si>
    <t>Pasaporte LTI</t>
  </si>
  <si>
    <t>Módulo 1: Introducción</t>
  </si>
  <si>
    <t>Módulo 2: Empezando con la materia</t>
  </si>
  <si>
    <t>Módulo 0: Examen previo</t>
  </si>
  <si>
    <t>Examen final</t>
  </si>
  <si>
    <t>test de conocimiento</t>
  </si>
  <si>
    <t>Primeras lecciones</t>
  </si>
  <si>
    <t>Importancia de la materia</t>
  </si>
  <si>
    <t>Más datos</t>
  </si>
  <si>
    <t>Exámen de módulo</t>
  </si>
  <si>
    <t>Temas relacionados</t>
  </si>
  <si>
    <t>Ecuaciones básicas</t>
  </si>
  <si>
    <t>Exámen final</t>
  </si>
  <si>
    <t>1:Módulo 0: Examen previo</t>
  </si>
  <si>
    <t>1:1:test de conocimiento</t>
  </si>
  <si>
    <t>Esta es la introducción</t>
  </si>
  <si>
    <t>Esta es la primera lección</t>
  </si>
  <si>
    <t>Esta es la segunda lección</t>
  </si>
  <si>
    <t>Lección sobre la importancia de la materia</t>
  </si>
  <si>
    <t>Primera lección de la sección más datos</t>
  </si>
  <si>
    <t>Segunda lección de la sección más datos</t>
  </si>
  <si>
    <t>Examen del módulo 1</t>
  </si>
  <si>
    <t>Lección de introducción al módulo 2</t>
  </si>
  <si>
    <t>Lección sobre temas relacionados</t>
  </si>
  <si>
    <t>Lección sobre las ecuaciones fundamentales</t>
  </si>
  <si>
    <t>Examen del módulo 2</t>
  </si>
  <si>
    <t>Este campo no se mostrará en el curso. Es mejor insertar líneas antes de la última. No inserte una línea antes de la primera línea, modifíquela y, después de terminar de insertar líneas, copie el contenido de la primera celda de la columna Lesson al resto de las líneas para obtener los números correctos, ya que las inserciones destruyen la continuidad. de las fórmulas</t>
  </si>
  <si>
    <t>Es mejor insertar líneas antes de la última. No inserte una línea antes de la primera línea, modifíquela y, después de terminar de insertar líneas, copie el contenido de la primera celda de la columna Sección y de la primera celda de la columna Subsección al resto de las líneas para obtener el números correctos, ya que las inserciones destruyen la continuidad de las fórmulas</t>
  </si>
  <si>
    <t>Este campo tampoco se mostrará en el curso. Como puede ver, hay que crear una lección para los exámenes que pueden no tener contenido en esta hoja, es solo un contenedor para los distintos problemas.</t>
  </si>
  <si>
    <t>Si desea que se muestre una entrada relacionada con el foro de discusión al final de la lección, debe configurar 1 en el campo Foro</t>
  </si>
  <si>
    <t>Si cambia el nombre de una sección o subsección en la pestaña de unidades, deberá reconstruir manualmente las columnas correspondientes de esta pestaña y la pestaña Problemas. Si cambia un título en esta pestaña, deberá reconstruir manualmente las columnas correspondientes en la pestaña de problemas.</t>
  </si>
  <si>
    <t>Es mejor modificar el contenido de la primera y última fila e insertar filas entre ellas. Puede copiar y pegar el contenido de las columnas Sección y Subsección en otras filas</t>
  </si>
  <si>
    <t>Otra lección sin contenido para un examen. Se utilizará en la pestaña Problemas</t>
  </si>
  <si>
    <t>Esto puede ser html o texto</t>
  </si>
  <si>
    <t>&lt;p&gt;&lt;strong&gt;Objetivos:&lt;/strong&gt;&lt;/p&gt;
&lt;ol&gt;&lt;li&gt;Primer objetivo&lt;/li&gt;&lt;li&gt;Segundo objetivo&lt;/li&gt;&lt;/ol&gt;</t>
  </si>
  <si>
    <t>Puede hacer lecciones que solo tengan html/texto</t>
  </si>
  <si>
    <t>&lt;p&gt;html &lt;b&gt;de nuevo&lt;/b&gt;.&lt;/p&gt;</t>
  </si>
  <si>
    <t>2:Módulo 1: Introducción</t>
  </si>
  <si>
    <t>2:1:Introducción</t>
  </si>
  <si>
    <t>3:Módulo 2: Empezando con la materia</t>
  </si>
  <si>
    <t>4:Examen final</t>
  </si>
  <si>
    <t>4:1:Exámen final</t>
  </si>
  <si>
    <t>2:2:Primeras lecciones</t>
  </si>
  <si>
    <t>2:3:Importancia de la materia</t>
  </si>
  <si>
    <t>2:4:Más datos</t>
  </si>
  <si>
    <t>2:5:Exámen de módulo</t>
  </si>
  <si>
    <t>3:1:Introducción</t>
  </si>
  <si>
    <t>3:2:Temas relacionados</t>
  </si>
  <si>
    <t>3:3:Ecuaciones básicas</t>
  </si>
  <si>
    <t>3:4:Exámen de módulo</t>
  </si>
  <si>
    <t>1:1:1:test de conocimiento</t>
  </si>
  <si>
    <t>Este texto aparecerá antes del problema. Puede ser html, cuidado con las etiquetas y los ampersand.</t>
  </si>
  <si>
    <t>Este texto se mostrará como comentario general al mostrar la respuesta</t>
  </si>
  <si>
    <t>La realimentación individual por respuesta SÍ FUNCIONA en esta versión. Esta respuesta es incorrecta</t>
  </si>
  <si>
    <t>sí</t>
  </si>
  <si>
    <t>Respuesta correcta</t>
  </si>
  <si>
    <t>Casi pero no es correcta</t>
  </si>
  <si>
    <t>Este es como el inline text pero con para poner varios textos válidos hay que introducirlos en las distintas respuestas e indicarlo en el campo de correcta</t>
  </si>
  <si>
    <t>1;2;3</t>
  </si>
  <si>
    <t>Otro texto válido</t>
  </si>
  <si>
    <t>4</t>
  </si>
  <si>
    <t>3</t>
  </si>
  <si>
    <t>Otra pregunta de opción múltiple, seleccione la respuesta correcta. Tenga cuidado al ingresar números como respuestas, ya que se mostrarán con un punto decimal en edx/openedx, si no lo desea, precedalos con ' para convertirlos en texto (en esta pregunta, las respuestas 1 y 4 han sido precedidas con ' y las respuestas 2 y 3 no lo han hecho)</t>
  </si>
  <si>
    <t>4:1:1:Examen final</t>
  </si>
  <si>
    <t>2:3:1:Lección sobre la importancia de la materia</t>
  </si>
  <si>
    <t>2:5:1:Examen del módulo 1</t>
  </si>
  <si>
    <t>3:3:1:Lección sobre las ecuaciones fundamentales</t>
  </si>
  <si>
    <t>3:4:1:Examen del módulo 2</t>
  </si>
  <si>
    <t>Esta es una pregunta con multiples respuestas pero sólo una es correcta. Se pueden poner de 2 a 5 respuestas posibles</t>
  </si>
  <si>
    <t>http://oa.upv.es/Subtitulos/android_2019/zXZ1qSeuO90.srt</t>
  </si>
  <si>
    <t>http://oa.upv.es/Subtitulos/besa/1c7YyoSNUmI.srt</t>
  </si>
  <si>
    <t>http://oa.upv.es/Subtitulos/care_fr/1hCBSu1bge0.fr.srt</t>
  </si>
  <si>
    <t>Vídeo</t>
  </si>
  <si>
    <t>Biografía corta de uno o dos párrafos</t>
  </si>
  <si>
    <t>Nombre firmante 1</t>
  </si>
  <si>
    <t>Nombre firmante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</si>
</sst>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8" formatCode="#,##0.00\ &quot;€&quot;;[Red]\-#,##0.00\ &quot;€&quot;"/>
  </numFmts>
  <fonts count="21" x14ac:knownFonts="1">
    <font>
      <sz val="11"/>
      <color theme="1"/>
      <name val="Calibri"/>
      <family val="2"/>
      <scheme val="minor"/>
    </font>
    <font>
      <sz val="8"/>
      <name val="Calibri"/>
      <family val="2"/>
    </font>
    <font>
      <b/>
      <sz val="10"/>
      <color indexed="63"/>
      <name val="Arial"/>
      <family val="2"/>
    </font>
    <font>
      <sz val="10"/>
      <color indexed="63"/>
      <name val="Arial"/>
      <family val="2"/>
    </font>
    <font>
      <sz val="11"/>
      <name val="Calibri"/>
      <family val="2"/>
    </font>
    <font>
      <sz val="9"/>
      <name val="Calibri"/>
      <family val="2"/>
    </font>
    <font>
      <u/>
      <sz val="11"/>
      <name val="Calibri"/>
      <family val="2"/>
    </font>
    <font>
      <u/>
      <sz val="11"/>
      <color theme="10"/>
      <name val="Calibri"/>
      <family val="2"/>
    </font>
    <font>
      <u/>
      <sz val="11"/>
      <color theme="1"/>
      <name val="Calibri"/>
      <family val="2"/>
      <scheme val="minor"/>
    </font>
    <font>
      <b/>
      <sz val="11"/>
      <name val="Calibri"/>
      <family val="2"/>
      <scheme val="minor"/>
    </font>
    <font>
      <sz val="11"/>
      <name val="Calibri"/>
      <family val="2"/>
      <scheme val="minor"/>
    </font>
    <font>
      <b/>
      <sz val="11"/>
      <color theme="0"/>
      <name val="Calibri"/>
      <family val="2"/>
      <scheme val="minor"/>
    </font>
    <font>
      <sz val="11"/>
      <color theme="0"/>
      <name val="Calibri"/>
      <family val="2"/>
      <scheme val="minor"/>
    </font>
    <font>
      <sz val="10"/>
      <name val="Arial"/>
      <family val="2"/>
    </font>
    <font>
      <b/>
      <sz val="11"/>
      <color theme="1"/>
      <name val="Calibri"/>
      <family val="2"/>
      <scheme val="minor"/>
    </font>
    <font>
      <sz val="9"/>
      <color rgb="FF000000"/>
      <name val="Lucida Console"/>
      <family val="3"/>
    </font>
    <font>
      <sz val="11"/>
      <name val="Calibri"/>
      <family val="2"/>
      <scheme val="minor"/>
    </font>
    <font>
      <u/>
      <sz val="11"/>
      <color theme="11"/>
      <name val="Calibri"/>
      <family val="2"/>
      <scheme val="minor"/>
    </font>
    <font>
      <sz val="11"/>
      <color rgb="FFFFFFFF"/>
      <name val="Calibri"/>
      <family val="2"/>
      <scheme val="minor"/>
    </font>
    <font>
      <b/>
      <sz val="11"/>
      <color rgb="FFFFFFFF"/>
      <name val="Calibri"/>
      <family val="2"/>
      <scheme val="minor"/>
    </font>
    <font>
      <sz val="11"/>
      <color rgb="FF000000"/>
      <name val="Calibri"/>
      <family val="2"/>
      <scheme val="minor"/>
    </font>
  </fonts>
  <fills count="22">
    <fill>
      <patternFill patternType="none"/>
    </fill>
    <fill>
      <patternFill patternType="gray125"/>
    </fill>
    <fill>
      <patternFill patternType="solid">
        <fgColor rgb="FFFFFFFF"/>
        <bgColor indexed="64"/>
      </patternFill>
    </fill>
    <fill>
      <patternFill patternType="solid">
        <fgColor rgb="FFC83232"/>
        <bgColor indexed="64"/>
      </patternFill>
    </fill>
    <fill>
      <patternFill patternType="solid">
        <fgColor theme="0"/>
        <bgColor indexed="64"/>
      </patternFill>
    </fill>
    <fill>
      <patternFill patternType="solid">
        <fgColor theme="0"/>
        <bgColor theme="4" tint="0.79998168889431442"/>
      </patternFill>
    </fill>
    <fill>
      <patternFill patternType="solid">
        <fgColor theme="3" tint="0.59999389629810485"/>
        <bgColor indexed="64"/>
      </patternFill>
    </fill>
    <fill>
      <patternFill patternType="solid">
        <fgColor theme="4" tint="0.79998168889431442"/>
        <bgColor indexed="64"/>
      </patternFill>
    </fill>
    <fill>
      <patternFill patternType="solid">
        <fgColor theme="3" tint="-0.249977111117893"/>
        <bgColor indexed="64"/>
      </patternFill>
    </fill>
    <fill>
      <patternFill patternType="solid">
        <fgColor theme="3" tint="0.79998168889431442"/>
        <bgColor indexed="64"/>
      </patternFill>
    </fill>
    <fill>
      <patternFill patternType="solid">
        <fgColor indexed="10"/>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0000"/>
        <bgColor indexed="64"/>
      </patternFill>
    </fill>
    <fill>
      <patternFill patternType="solid">
        <fgColor rgb="FF8DB4E2"/>
        <bgColor rgb="FF000000"/>
      </patternFill>
    </fill>
    <fill>
      <patternFill patternType="solid">
        <fgColor theme="0" tint="-0.14999847407452621"/>
        <bgColor indexed="64"/>
      </patternFill>
    </fill>
    <fill>
      <patternFill patternType="solid">
        <fgColor theme="3" tint="0.59999389629810485"/>
        <bgColor rgb="FF000000"/>
      </patternFill>
    </fill>
    <fill>
      <patternFill patternType="solid">
        <fgColor theme="0" tint="-4.9989318521683403E-2"/>
        <bgColor indexed="64"/>
      </patternFill>
    </fill>
    <fill>
      <patternFill patternType="solid">
        <fgColor rgb="FFF2F2F2"/>
        <bgColor rgb="FF000000"/>
      </patternFill>
    </fill>
    <fill>
      <patternFill patternType="solid">
        <fgColor theme="5"/>
        <bgColor indexed="64"/>
      </patternFill>
    </fill>
    <fill>
      <patternFill patternType="solid">
        <fgColor theme="5"/>
        <bgColor rgb="FF000000"/>
      </patternFill>
    </fill>
  </fills>
  <borders count="12">
    <border>
      <left/>
      <right/>
      <top/>
      <bottom/>
      <diagonal/>
    </border>
    <border>
      <left/>
      <right/>
      <top style="thin">
        <color theme="0"/>
      </top>
      <bottom/>
      <diagonal/>
    </border>
    <border>
      <left/>
      <right/>
      <top style="thick">
        <color theme="0"/>
      </top>
      <bottom/>
      <diagonal/>
    </border>
    <border>
      <left/>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style="thin">
        <color theme="4" tint="0.39997558519241921"/>
      </right>
      <top/>
      <bottom/>
      <diagonal/>
    </border>
    <border>
      <left style="thin">
        <color auto="1"/>
      </left>
      <right style="thin">
        <color auto="1"/>
      </right>
      <top style="thin">
        <color auto="1"/>
      </top>
      <bottom style="thin">
        <color auto="1"/>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style="thin">
        <color theme="4" tint="0.39997558519241921"/>
      </bottom>
      <diagonal/>
    </border>
    <border>
      <left/>
      <right/>
      <top/>
      <bottom style="medium">
        <color rgb="FFE2E2E2"/>
      </bottom>
      <diagonal/>
    </border>
  </borders>
  <cellStyleXfs count="22">
    <xf numFmtId="0" fontId="0" fillId="0" borderId="0"/>
    <xf numFmtId="0" fontId="7" fillId="0" borderId="0" applyNumberFormat="0" applyFill="0" applyBorder="0" applyAlignment="0" applyProtection="0">
      <alignment vertical="top"/>
      <protection locked="0"/>
    </xf>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cellStyleXfs>
  <cellXfs count="90">
    <xf numFmtId="0" fontId="0" fillId="0" borderId="0" xfId="0"/>
    <xf numFmtId="0" fontId="0" fillId="0" borderId="0" xfId="0" quotePrefix="1"/>
    <xf numFmtId="0" fontId="7" fillId="0" borderId="0" xfId="1" applyAlignment="1" applyProtection="1"/>
    <xf numFmtId="0" fontId="0" fillId="0" borderId="0" xfId="0" applyProtection="1">
      <protection locked="0"/>
    </xf>
    <xf numFmtId="0" fontId="7" fillId="0" borderId="0" xfId="1" applyAlignment="1" applyProtection="1">
      <protection locked="0"/>
    </xf>
    <xf numFmtId="14" fontId="0" fillId="0" borderId="0" xfId="0" applyNumberFormat="1" applyProtection="1">
      <protection locked="0"/>
    </xf>
    <xf numFmtId="0" fontId="2" fillId="0" borderId="0" xfId="0" applyFont="1"/>
    <xf numFmtId="0" fontId="3" fillId="0" borderId="0" xfId="0" applyFont="1"/>
    <xf numFmtId="0" fontId="4" fillId="0" borderId="0" xfId="0" applyFont="1"/>
    <xf numFmtId="0" fontId="5" fillId="0" borderId="0" xfId="0" applyFont="1"/>
    <xf numFmtId="0" fontId="6" fillId="0" borderId="0" xfId="0" applyFont="1"/>
    <xf numFmtId="0" fontId="5" fillId="0" borderId="0" xfId="0" applyFont="1" applyAlignment="1">
      <alignment horizontal="left" indent="5"/>
    </xf>
    <xf numFmtId="0" fontId="6" fillId="0" borderId="0" xfId="1" applyFont="1" applyFill="1" applyAlignment="1" applyProtection="1"/>
    <xf numFmtId="0" fontId="0" fillId="2" borderId="0" xfId="0" applyFill="1"/>
    <xf numFmtId="0" fontId="0" fillId="2" borderId="0" xfId="0" quotePrefix="1" applyFill="1"/>
    <xf numFmtId="0" fontId="0" fillId="2" borderId="0" xfId="0" applyFill="1" applyAlignment="1">
      <alignment vertical="center"/>
    </xf>
    <xf numFmtId="11" fontId="0" fillId="2" borderId="0" xfId="0" quotePrefix="1" applyNumberFormat="1" applyFill="1"/>
    <xf numFmtId="22" fontId="0" fillId="0" borderId="0" xfId="0" applyNumberFormat="1"/>
    <xf numFmtId="0" fontId="0" fillId="0" borderId="0" xfId="0" applyAlignment="1">
      <alignment wrapText="1"/>
    </xf>
    <xf numFmtId="9" fontId="0" fillId="2" borderId="0" xfId="0" quotePrefix="1" applyNumberFormat="1" applyFill="1"/>
    <xf numFmtId="10" fontId="0" fillId="2" borderId="0" xfId="0" quotePrefix="1" applyNumberFormat="1" applyFill="1"/>
    <xf numFmtId="0" fontId="0" fillId="3" borderId="0" xfId="0" applyFill="1"/>
    <xf numFmtId="0" fontId="4" fillId="2" borderId="0" xfId="0" applyFont="1" applyFill="1"/>
    <xf numFmtId="0" fontId="0" fillId="2" borderId="0" xfId="0" applyFill="1" applyAlignment="1">
      <alignment wrapText="1"/>
    </xf>
    <xf numFmtId="0" fontId="4" fillId="2" borderId="0" xfId="0" applyFont="1" applyFill="1" applyAlignment="1">
      <alignment wrapText="1"/>
    </xf>
    <xf numFmtId="0" fontId="0" fillId="3" borderId="0" xfId="0" applyFill="1" applyAlignment="1">
      <alignment wrapText="1"/>
    </xf>
    <xf numFmtId="8" fontId="0" fillId="2" borderId="0" xfId="0" quotePrefix="1" applyNumberFormat="1" applyFill="1"/>
    <xf numFmtId="0" fontId="8" fillId="0" borderId="0" xfId="0" applyFont="1"/>
    <xf numFmtId="0" fontId="8" fillId="2" borderId="0" xfId="0" applyFont="1" applyFill="1" applyAlignment="1">
      <alignment wrapText="1"/>
    </xf>
    <xf numFmtId="0" fontId="9" fillId="4" borderId="0" xfId="0" applyFont="1" applyFill="1"/>
    <xf numFmtId="0" fontId="10" fillId="5" borderId="0" xfId="0" applyFont="1" applyFill="1"/>
    <xf numFmtId="0" fontId="10" fillId="0" borderId="0" xfId="0" applyFont="1"/>
    <xf numFmtId="0" fontId="0" fillId="0" borderId="3" xfId="0" applyBorder="1"/>
    <xf numFmtId="0" fontId="0" fillId="4" borderId="7" xfId="0" applyFill="1" applyBorder="1"/>
    <xf numFmtId="0" fontId="0" fillId="0" borderId="2" xfId="0" applyBorder="1"/>
    <xf numFmtId="0" fontId="0" fillId="0" borderId="1" xfId="0" applyBorder="1"/>
    <xf numFmtId="0" fontId="9" fillId="0" borderId="0" xfId="0" applyFont="1"/>
    <xf numFmtId="0" fontId="10" fillId="0" borderId="5" xfId="0" applyFont="1" applyBorder="1"/>
    <xf numFmtId="0" fontId="10" fillId="0" borderId="4" xfId="0" applyFont="1" applyBorder="1"/>
    <xf numFmtId="0" fontId="9" fillId="0" borderId="6" xfId="0" applyFont="1" applyBorder="1"/>
    <xf numFmtId="0" fontId="12" fillId="6" borderId="0" xfId="0" applyFont="1" applyFill="1"/>
    <xf numFmtId="0" fontId="11" fillId="6" borderId="0" xfId="0" applyFont="1" applyFill="1"/>
    <xf numFmtId="0" fontId="0" fillId="0" borderId="0" xfId="0" applyAlignment="1">
      <alignment horizontal="justify" wrapText="1"/>
    </xf>
    <xf numFmtId="0" fontId="0" fillId="7" borderId="0" xfId="0" applyFill="1"/>
    <xf numFmtId="0" fontId="0" fillId="7" borderId="0" xfId="0" applyFill="1" applyAlignment="1">
      <alignment horizontal="justify" wrapText="1"/>
    </xf>
    <xf numFmtId="0" fontId="7" fillId="7" borderId="0" xfId="1" applyFill="1" applyAlignment="1" applyProtection="1">
      <protection locked="0"/>
    </xf>
    <xf numFmtId="0" fontId="11" fillId="0" borderId="0" xfId="0" applyFont="1"/>
    <xf numFmtId="0" fontId="12" fillId="0" borderId="0" xfId="0" applyFont="1"/>
    <xf numFmtId="0" fontId="8" fillId="7" borderId="0" xfId="0" applyFont="1" applyFill="1" applyProtection="1">
      <protection locked="0"/>
    </xf>
    <xf numFmtId="0" fontId="12" fillId="8" borderId="7" xfId="0" applyFont="1" applyFill="1" applyBorder="1"/>
    <xf numFmtId="0" fontId="0" fillId="7" borderId="7" xfId="0" applyFill="1" applyBorder="1"/>
    <xf numFmtId="0" fontId="0" fillId="9" borderId="7" xfId="0" applyFill="1" applyBorder="1"/>
    <xf numFmtId="0" fontId="0" fillId="10" borderId="0" xfId="0" applyFill="1"/>
    <xf numFmtId="20" fontId="13" fillId="2" borderId="11" xfId="0" applyNumberFormat="1" applyFont="1" applyFill="1" applyBorder="1" applyAlignment="1">
      <alignment horizontal="right" vertical="center" wrapText="1"/>
    </xf>
    <xf numFmtId="14" fontId="0" fillId="7" borderId="0" xfId="0" applyNumberFormat="1" applyFill="1" applyProtection="1">
      <protection locked="0"/>
    </xf>
    <xf numFmtId="0" fontId="14" fillId="0" borderId="0" xfId="0" applyFont="1"/>
    <xf numFmtId="0" fontId="0" fillId="0" borderId="10" xfId="0" applyBorder="1"/>
    <xf numFmtId="0" fontId="0" fillId="12" borderId="10" xfId="0" applyFill="1" applyBorder="1"/>
    <xf numFmtId="0" fontId="7" fillId="12" borderId="10" xfId="1" applyFill="1" applyBorder="1" applyAlignment="1" applyProtection="1"/>
    <xf numFmtId="0" fontId="7" fillId="0" borderId="10" xfId="1" applyBorder="1" applyAlignment="1" applyProtection="1"/>
    <xf numFmtId="0" fontId="0" fillId="11" borderId="0" xfId="0" quotePrefix="1" applyFill="1" applyAlignment="1">
      <alignment horizontal="left"/>
    </xf>
    <xf numFmtId="0" fontId="0" fillId="11" borderId="0" xfId="0" applyFill="1" applyAlignment="1">
      <alignment horizontal="left"/>
    </xf>
    <xf numFmtId="20" fontId="13" fillId="11" borderId="11" xfId="0" applyNumberFormat="1" applyFont="1" applyFill="1" applyBorder="1" applyAlignment="1">
      <alignment horizontal="left" vertical="center" wrapText="1"/>
    </xf>
    <xf numFmtId="0" fontId="0" fillId="0" borderId="0" xfId="0" quotePrefix="1" applyAlignment="1">
      <alignment horizontal="left"/>
    </xf>
    <xf numFmtId="0" fontId="0" fillId="0" borderId="0" xfId="0" applyAlignment="1">
      <alignment horizontal="left"/>
    </xf>
    <xf numFmtId="0" fontId="0" fillId="0" borderId="0" xfId="0" applyAlignment="1">
      <alignment horizontal="left" wrapText="1"/>
    </xf>
    <xf numFmtId="20" fontId="13" fillId="2" borderId="11" xfId="0" applyNumberFormat="1" applyFont="1" applyFill="1" applyBorder="1" applyAlignment="1">
      <alignment horizontal="left" vertical="center" wrapText="1"/>
    </xf>
    <xf numFmtId="0" fontId="7" fillId="0" borderId="0" xfId="1" applyAlignment="1" applyProtection="1">
      <alignment horizontal="left"/>
    </xf>
    <xf numFmtId="0" fontId="0" fillId="11" borderId="0" xfId="0" applyFill="1" applyAlignment="1">
      <alignment horizontal="left" wrapText="1"/>
    </xf>
    <xf numFmtId="0" fontId="7" fillId="11" borderId="0" xfId="1" applyFill="1" applyAlignment="1" applyProtection="1">
      <alignment horizontal="left"/>
    </xf>
    <xf numFmtId="0" fontId="0" fillId="13" borderId="0" xfId="0" applyFill="1" applyAlignment="1">
      <alignment horizontal="left"/>
    </xf>
    <xf numFmtId="0" fontId="0" fillId="14" borderId="0" xfId="0" applyFill="1" applyAlignment="1">
      <alignment horizontal="left"/>
    </xf>
    <xf numFmtId="0" fontId="7" fillId="14" borderId="0" xfId="1" applyFill="1" applyAlignment="1" applyProtection="1">
      <alignment horizontal="left"/>
    </xf>
    <xf numFmtId="0" fontId="7" fillId="13" borderId="0" xfId="1" applyFill="1" applyAlignment="1" applyProtection="1">
      <alignment horizontal="left"/>
    </xf>
    <xf numFmtId="0" fontId="15" fillId="0" borderId="0" xfId="0" applyFont="1"/>
    <xf numFmtId="0" fontId="16" fillId="0" borderId="5" xfId="0" applyFont="1" applyBorder="1"/>
    <xf numFmtId="0" fontId="0" fillId="0" borderId="9" xfId="0" applyBorder="1"/>
    <xf numFmtId="0" fontId="0" fillId="0" borderId="8" xfId="0" applyBorder="1"/>
    <xf numFmtId="0" fontId="18" fillId="15" borderId="0" xfId="0" applyFont="1" applyFill="1"/>
    <xf numFmtId="0" fontId="0" fillId="16" borderId="0" xfId="0" applyFill="1"/>
    <xf numFmtId="0" fontId="18" fillId="17" borderId="0" xfId="0" applyFont="1" applyFill="1"/>
    <xf numFmtId="0" fontId="19" fillId="15" borderId="0" xfId="0" applyFont="1" applyFill="1"/>
    <xf numFmtId="0" fontId="0" fillId="18" borderId="0" xfId="0" applyFill="1"/>
    <xf numFmtId="14" fontId="0" fillId="18" borderId="0" xfId="0" applyNumberFormat="1" applyFill="1" applyProtection="1">
      <protection locked="0"/>
    </xf>
    <xf numFmtId="0" fontId="20" fillId="19" borderId="0" xfId="0" applyFont="1" applyFill="1"/>
    <xf numFmtId="0" fontId="18" fillId="15" borderId="0" xfId="0" applyFont="1" applyFill="1" applyAlignment="1">
      <alignment wrapText="1"/>
    </xf>
    <xf numFmtId="0" fontId="0" fillId="18" borderId="0" xfId="0" applyFill="1" applyAlignment="1">
      <alignment wrapText="1"/>
    </xf>
    <xf numFmtId="0" fontId="12" fillId="20" borderId="0" xfId="0" applyFont="1" applyFill="1"/>
    <xf numFmtId="0" fontId="11" fillId="20" borderId="0" xfId="0" applyFont="1" applyFill="1"/>
    <xf numFmtId="0" fontId="19" fillId="21" borderId="0" xfId="0" applyFont="1" applyFill="1"/>
  </cellXfs>
  <cellStyles count="22">
    <cellStyle name="Hipervínculo" xfId="1" builtinId="8"/>
    <cellStyle name="Hipervínculo visitado" xfId="2" builtinId="9" hidden="1"/>
    <cellStyle name="Hipervínculo visitado" xfId="3" builtinId="9" hidden="1"/>
    <cellStyle name="Hipervínculo visitado" xfId="4" builtinId="9" hidden="1"/>
    <cellStyle name="Hipervínculo visitado" xfId="5" builtinId="9" hidden="1"/>
    <cellStyle name="Hipervínculo visitado" xfId="6" builtinId="9" hidden="1"/>
    <cellStyle name="Hipervínculo visitado" xfId="7" builtinId="9" hidden="1"/>
    <cellStyle name="Hipervínculo visitado" xfId="8" builtinId="9" hidden="1"/>
    <cellStyle name="Hipervínculo visitado" xfId="9" builtinId="9" hidden="1"/>
    <cellStyle name="Hipervínculo visitado" xfId="10" builtinId="9" hidden="1"/>
    <cellStyle name="Hipervínculo visitado" xfId="11" builtinId="9" hidden="1"/>
    <cellStyle name="Hipervínculo visitado" xfId="12" builtinId="9" hidden="1"/>
    <cellStyle name="Hipervínculo visitado" xfId="13" builtinId="9" hidden="1"/>
    <cellStyle name="Hipervínculo visitado" xfId="14" builtinId="9" hidden="1"/>
    <cellStyle name="Hipervínculo visitado" xfId="15" builtinId="9" hidden="1"/>
    <cellStyle name="Hipervínculo visitado" xfId="16" builtinId="9" hidden="1"/>
    <cellStyle name="Hipervínculo visitado" xfId="17" builtinId="9" hidden="1"/>
    <cellStyle name="Hipervínculo visitado" xfId="18" builtinId="9" hidden="1"/>
    <cellStyle name="Hipervínculo visitado" xfId="19" builtinId="9" hidden="1"/>
    <cellStyle name="Hipervínculo visitado" xfId="20" builtinId="9" hidden="1"/>
    <cellStyle name="Hipervínculo visitado" xfId="21" builtinId="9" hidden="1"/>
    <cellStyle name="Normal" xfId="0" builtinId="0"/>
  </cellStyles>
  <dxfs count="78">
    <dxf>
      <font>
        <b val="0"/>
        <i val="0"/>
        <strike val="0"/>
        <condense val="0"/>
        <extend val="0"/>
        <outline val="0"/>
        <shadow val="0"/>
        <u val="none"/>
        <vertAlign val="baseline"/>
        <sz val="11"/>
        <color auto="1"/>
        <name val="Calibri"/>
        <scheme val="minor"/>
      </font>
      <fill>
        <patternFill patternType="none">
          <fgColor indexed="64"/>
          <bgColor indexed="65"/>
        </patternFill>
      </fill>
      <border diagonalUp="0" diagonalDown="0">
        <left style="thin">
          <color theme="4" tint="0.39997558519241921"/>
        </left>
        <right style="thin">
          <color theme="4" tint="0.39997558519241921"/>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left/>
        <right/>
        <top style="thin">
          <color theme="0"/>
        </top>
        <bottom/>
        <vertical/>
        <horizontal/>
      </border>
    </dxf>
    <dxf>
      <border outline="0">
        <bottom style="thin">
          <color theme="0"/>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dxf>
    <dxf>
      <font>
        <b val="0"/>
        <i val="0"/>
        <strike val="0"/>
        <condense val="0"/>
        <extend val="0"/>
        <outline val="0"/>
        <shadow val="0"/>
        <u val="none"/>
        <vertAlign val="baseline"/>
        <sz val="11"/>
        <color auto="1"/>
        <name val="Calibri"/>
        <scheme val="minor"/>
      </font>
      <fill>
        <patternFill patternType="none">
          <fgColor indexed="64"/>
          <bgColor auto="1"/>
        </patternFill>
      </fill>
    </dxf>
    <dxf>
      <numFmt numFmtId="0" formatCode="General"/>
    </dxf>
    <dxf>
      <font>
        <b val="0"/>
        <i val="0"/>
        <strike val="0"/>
        <condense val="0"/>
        <extend val="0"/>
        <outline val="0"/>
        <shadow val="0"/>
        <u val="none"/>
        <vertAlign val="baseline"/>
        <sz val="11"/>
        <color auto="1"/>
        <name val="Calibri"/>
        <scheme val="minor"/>
      </font>
      <fill>
        <patternFill patternType="solid">
          <fgColor theme="4" tint="0.79998168889431442"/>
          <bgColor theme="0"/>
        </patternFill>
      </fill>
    </dxf>
    <dxf>
      <font>
        <b val="0"/>
        <i val="0"/>
        <strike val="0"/>
        <condense val="0"/>
        <extend val="0"/>
        <outline val="0"/>
        <shadow val="0"/>
        <u val="none"/>
        <vertAlign val="baseline"/>
        <sz val="11"/>
        <color auto="1"/>
        <name val="Calibri"/>
        <scheme val="minor"/>
      </font>
      <fill>
        <patternFill patternType="solid">
          <fgColor theme="4" tint="0.79998168889431442"/>
          <bgColor theme="0"/>
        </patternFill>
      </fill>
    </dxf>
    <dxf>
      <font>
        <b val="0"/>
        <i val="0"/>
        <strike val="0"/>
        <condense val="0"/>
        <extend val="0"/>
        <outline val="0"/>
        <shadow val="0"/>
        <u val="none"/>
        <vertAlign val="baseline"/>
        <sz val="11"/>
        <color auto="1"/>
        <name val="Calibri"/>
        <scheme val="minor"/>
      </font>
      <fill>
        <patternFill patternType="solid">
          <fgColor theme="4" tint="0.79998168889431442"/>
          <bgColor theme="0"/>
        </patternFill>
      </fill>
    </dxf>
    <dxf>
      <font>
        <b val="0"/>
        <i val="0"/>
        <strike val="0"/>
        <condense val="0"/>
        <extend val="0"/>
        <outline val="0"/>
        <shadow val="0"/>
        <u val="none"/>
        <vertAlign val="baseline"/>
        <sz val="11"/>
        <color auto="1"/>
        <name val="Calibri"/>
        <scheme val="minor"/>
      </font>
      <fill>
        <patternFill patternType="solid">
          <fgColor theme="4" tint="0.79998168889431442"/>
          <bgColor theme="0"/>
        </patternFill>
      </fill>
    </dxf>
    <dxf>
      <font>
        <b/>
        <i val="0"/>
        <strike val="0"/>
        <condense val="0"/>
        <extend val="0"/>
        <outline val="0"/>
        <shadow val="0"/>
        <u val="none"/>
        <vertAlign val="baseline"/>
        <sz val="11"/>
        <color theme="0"/>
        <name val="Calibri"/>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left" textRotation="0" indent="0" justifyLastLine="0" shrinkToFit="0" readingOrder="0"/>
    </dxf>
    <dxf>
      <numFmt numFmtId="0" formatCode="General"/>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textRotation="0" indent="0" justifyLastLine="0" shrinkToFit="0" readingOrder="0"/>
    </dxf>
    <dxf>
      <alignment horizontal="left" textRotation="0" indent="0" justifyLastLine="0" shrinkToFit="0" readingOrder="0"/>
    </dxf>
    <dxf>
      <alignment horizontal="left" vertical="bottom" textRotation="0" wrapText="1"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numFmt numFmtId="0" formatCode="General"/>
      <fill>
        <patternFill patternType="none">
          <fgColor indexed="64"/>
          <bgColor auto="1"/>
        </patternFill>
      </fill>
      <alignment horizontal="left" textRotation="0" indent="0" justifyLastLine="0" shrinkToFit="0" readingOrder="0"/>
    </dxf>
    <dxf>
      <alignment horizontal="left" textRotation="0" indent="0" justifyLastLine="0" shrinkToFit="0" readingOrder="0"/>
    </dxf>
    <dxf>
      <numFmt numFmtId="0" formatCode="General"/>
      <alignment horizontal="left" textRotation="0" indent="0" justifyLastLine="0" shrinkToFit="0" readingOrder="0"/>
    </dxf>
    <dxf>
      <alignment horizontal="left" textRotation="0" indent="0" justifyLastLine="0" shrinkToFit="0" readingOrder="0"/>
    </dxf>
    <dxf>
      <numFmt numFmtId="0" formatCode="General"/>
      <alignment horizontal="left" textRotation="0" indent="0" justifyLastLine="0" shrinkToFit="0" readingOrder="0"/>
    </dxf>
    <dxf>
      <alignment horizontal="left" textRotation="0" indent="0" justifyLastLine="0" shrinkToFit="0" readingOrder="0"/>
    </dxf>
    <dxf>
      <numFmt numFmtId="0" formatCode="General"/>
      <protection locked="0" hidden="0"/>
    </dxf>
    <dxf>
      <numFmt numFmtId="0" formatCode="General"/>
      <protection locked="0" hidden="0"/>
    </dxf>
    <dxf>
      <protection locked="0" hidden="0"/>
    </dxf>
    <dxf>
      <protection locked="0" hidden="0"/>
    </dxf>
    <dxf>
      <numFmt numFmtId="19" formatCode="dd/mm/yyyy"/>
      <fill>
        <patternFill patternType="solid">
          <fgColor indexed="64"/>
          <bgColor theme="4" tint="0.79998168889431442"/>
        </patternFill>
      </fill>
      <protection locked="0" hidden="0"/>
    </dxf>
    <dxf>
      <numFmt numFmtId="19" formatCode="dd/mm/yyyy"/>
      <protection locked="0" hidden="0"/>
    </dxf>
    <dxf>
      <protection locked="0" hidden="0"/>
    </dxf>
    <dxf>
      <protection locked="0" hidden="0"/>
    </dxf>
    <dxf>
      <numFmt numFmtId="0" formatCode="General"/>
      <protection locked="1" hidden="0"/>
    </dxf>
    <dxf>
      <protection locked="0" hidden="0"/>
    </dxf>
    <dxf>
      <numFmt numFmtId="0" formatCode="General"/>
      <protection locked="1" hidden="0"/>
    </dxf>
    <dxf>
      <protection locked="0" hidden="0"/>
    </dxf>
    <dxf>
      <protection locked="0" hidden="0"/>
    </dxf>
    <dxf>
      <protection locked="1" hidden="0"/>
    </dxf>
    <dxf>
      <fill>
        <patternFill patternType="none">
          <fgColor indexed="64"/>
          <bgColor auto="1"/>
        </patternFill>
      </fill>
      <alignment horizontal="justify" vertical="bottom" textRotation="0" wrapText="1" indent="0" justifyLastLine="0" shrinkToFit="0" readingOrder="0"/>
    </dxf>
    <dxf>
      <fill>
        <patternFill patternType="none">
          <fgColor indexed="64"/>
          <bgColor auto="1"/>
        </patternFill>
      </fill>
      <alignment horizontal="justify" vertical="bottom" textRotation="0" wrapText="1" indent="0" justifyLastLine="0" shrinkToFit="0" readingOrder="0"/>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18</xdr:col>
      <xdr:colOff>0</xdr:colOff>
      <xdr:row>12</xdr:row>
      <xdr:rowOff>0</xdr:rowOff>
    </xdr:from>
    <xdr:to>
      <xdr:col>19</xdr:col>
      <xdr:colOff>1181100</xdr:colOff>
      <xdr:row>13</xdr:row>
      <xdr:rowOff>0</xdr:rowOff>
    </xdr:to>
    <xdr:sp macro="" textlink="">
      <xdr:nvSpPr>
        <xdr:cNvPr id="3073"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18</xdr:col>
      <xdr:colOff>0</xdr:colOff>
      <xdr:row>14</xdr:row>
      <xdr:rowOff>0</xdr:rowOff>
    </xdr:from>
    <xdr:to>
      <xdr:col>19</xdr:col>
      <xdr:colOff>1181100</xdr:colOff>
      <xdr:row>15</xdr:row>
      <xdr:rowOff>0</xdr:rowOff>
    </xdr:to>
    <xdr:sp macro="" textlink="">
      <xdr:nvSpPr>
        <xdr:cNvPr id="3074"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18</xdr:col>
      <xdr:colOff>0</xdr:colOff>
      <xdr:row>15</xdr:row>
      <xdr:rowOff>0</xdr:rowOff>
    </xdr:from>
    <xdr:to>
      <xdr:col>19</xdr:col>
      <xdr:colOff>1181100</xdr:colOff>
      <xdr:row>16</xdr:row>
      <xdr:rowOff>0</xdr:rowOff>
    </xdr:to>
    <xdr:sp macro="" textlink="">
      <xdr:nvSpPr>
        <xdr:cNvPr id="3075"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18</xdr:col>
      <xdr:colOff>0</xdr:colOff>
      <xdr:row>16</xdr:row>
      <xdr:rowOff>0</xdr:rowOff>
    </xdr:from>
    <xdr:to>
      <xdr:col>19</xdr:col>
      <xdr:colOff>1181100</xdr:colOff>
      <xdr:row>17</xdr:row>
      <xdr:rowOff>0</xdr:rowOff>
    </xdr:to>
    <xdr:sp macro="" textlink="">
      <xdr:nvSpPr>
        <xdr:cNvPr id="3076"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18</xdr:col>
      <xdr:colOff>0</xdr:colOff>
      <xdr:row>12</xdr:row>
      <xdr:rowOff>0</xdr:rowOff>
    </xdr:from>
    <xdr:to>
      <xdr:col>19</xdr:col>
      <xdr:colOff>1181100</xdr:colOff>
      <xdr:row>13</xdr:row>
      <xdr:rowOff>0</xdr:rowOff>
    </xdr:to>
    <xdr:sp macro="" textlink="">
      <xdr:nvSpPr>
        <xdr:cNvPr id="2"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18</xdr:col>
      <xdr:colOff>0</xdr:colOff>
      <xdr:row>14</xdr:row>
      <xdr:rowOff>0</xdr:rowOff>
    </xdr:from>
    <xdr:to>
      <xdr:col>19</xdr:col>
      <xdr:colOff>1181100</xdr:colOff>
      <xdr:row>15</xdr:row>
      <xdr:rowOff>0</xdr:rowOff>
    </xdr:to>
    <xdr:sp macro="" textlink="">
      <xdr:nvSpPr>
        <xdr:cNvPr id="3"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18</xdr:col>
      <xdr:colOff>0</xdr:colOff>
      <xdr:row>15</xdr:row>
      <xdr:rowOff>0</xdr:rowOff>
    </xdr:from>
    <xdr:to>
      <xdr:col>19</xdr:col>
      <xdr:colOff>1181100</xdr:colOff>
      <xdr:row>16</xdr:row>
      <xdr:rowOff>0</xdr:rowOff>
    </xdr:to>
    <xdr:sp macro="" textlink="">
      <xdr:nvSpPr>
        <xdr:cNvPr id="4"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000-00000400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18</xdr:col>
      <xdr:colOff>0</xdr:colOff>
      <xdr:row>16</xdr:row>
      <xdr:rowOff>0</xdr:rowOff>
    </xdr:from>
    <xdr:to>
      <xdr:col>19</xdr:col>
      <xdr:colOff>1181100</xdr:colOff>
      <xdr:row>17</xdr:row>
      <xdr:rowOff>0</xdr:rowOff>
    </xdr:to>
    <xdr:sp macro="" textlink="">
      <xdr:nvSpPr>
        <xdr:cNvPr id="5"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000-00000500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9</xdr:col>
      <xdr:colOff>0</xdr:colOff>
      <xdr:row>18</xdr:row>
      <xdr:rowOff>0</xdr:rowOff>
    </xdr:from>
    <xdr:to>
      <xdr:col>10</xdr:col>
      <xdr:colOff>0</xdr:colOff>
      <xdr:row>19</xdr:row>
      <xdr:rowOff>0</xdr:rowOff>
    </xdr:to>
    <xdr:sp macro="" textlink="">
      <xdr:nvSpPr>
        <xdr:cNvPr id="3077" name="Control 5" hidden="1">
          <a:extLst>
            <a:ext uri="{63B3BB69-23CF-44E3-9099-C40C66FF867C}">
              <a14:compatExt xmlns:a14="http://schemas.microsoft.com/office/drawing/2010/main"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9</xdr:col>
      <xdr:colOff>904875</xdr:colOff>
      <xdr:row>18</xdr:row>
      <xdr:rowOff>0</xdr:rowOff>
    </xdr:from>
    <xdr:to>
      <xdr:col>10</xdr:col>
      <xdr:colOff>0</xdr:colOff>
      <xdr:row>19</xdr:row>
      <xdr:rowOff>0</xdr:rowOff>
    </xdr:to>
    <xdr:sp macro="" textlink="">
      <xdr:nvSpPr>
        <xdr:cNvPr id="3078" name="Control 6" hidden="1">
          <a:extLst>
            <a:ext uri="{63B3BB69-23CF-44E3-9099-C40C66FF867C}">
              <a14:compatExt xmlns:a14="http://schemas.microsoft.com/office/drawing/2010/main"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9</xdr:col>
      <xdr:colOff>1809750</xdr:colOff>
      <xdr:row>18</xdr:row>
      <xdr:rowOff>0</xdr:rowOff>
    </xdr:from>
    <xdr:to>
      <xdr:col>10</xdr:col>
      <xdr:colOff>0</xdr:colOff>
      <xdr:row>19</xdr:row>
      <xdr:rowOff>0</xdr:rowOff>
    </xdr:to>
    <xdr:sp macro="" textlink="">
      <xdr:nvSpPr>
        <xdr:cNvPr id="3079" name="Control 7" hidden="1">
          <a:extLst>
            <a:ext uri="{63B3BB69-23CF-44E3-9099-C40C66FF867C}">
              <a14:compatExt xmlns:a14="http://schemas.microsoft.com/office/drawing/2010/main"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9</xdr:col>
      <xdr:colOff>0</xdr:colOff>
      <xdr:row>18</xdr:row>
      <xdr:rowOff>0</xdr:rowOff>
    </xdr:from>
    <xdr:to>
      <xdr:col>10</xdr:col>
      <xdr:colOff>0</xdr:colOff>
      <xdr:row>19</xdr:row>
      <xdr:rowOff>0</xdr:rowOff>
    </xdr:to>
    <xdr:sp macro="" textlink="">
      <xdr:nvSpPr>
        <xdr:cNvPr id="6" name="Control 5" hidden="1">
          <a:extLst>
            <a:ext uri="{63B3BB69-23CF-44E3-9099-C40C66FF867C}">
              <a14:compatExt xmlns:a14="http://schemas.microsoft.com/office/drawing/2010/main" spid="_x0000_s3077"/>
            </a:ext>
            <a:ext uri="{FF2B5EF4-FFF2-40B4-BE49-F238E27FC236}">
              <a16:creationId xmlns:a16="http://schemas.microsoft.com/office/drawing/2014/main" id="{00000000-0008-0000-0000-000006000000}"/>
            </a:ext>
          </a:extLst>
        </xdr:cNvPr>
        <xdr:cNvSpPr/>
      </xdr:nvSpPr>
      <xdr:spPr>
        <a:xfrm>
          <a:off x="0" y="0"/>
          <a:ext cx="0" cy="0"/>
        </a:xfrm>
        <a:prstGeom prst="rect">
          <a:avLst/>
        </a:prstGeom>
      </xdr:spPr>
    </xdr:sp>
    <xdr:clientData/>
  </xdr:twoCellAnchor>
  <xdr:twoCellAnchor editAs="oneCell">
    <xdr:from>
      <xdr:col>9</xdr:col>
      <xdr:colOff>904875</xdr:colOff>
      <xdr:row>18</xdr:row>
      <xdr:rowOff>0</xdr:rowOff>
    </xdr:from>
    <xdr:to>
      <xdr:col>10</xdr:col>
      <xdr:colOff>0</xdr:colOff>
      <xdr:row>19</xdr:row>
      <xdr:rowOff>0</xdr:rowOff>
    </xdr:to>
    <xdr:sp macro="" textlink="">
      <xdr:nvSpPr>
        <xdr:cNvPr id="7" name="Control 6" hidden="1">
          <a:extLst>
            <a:ext uri="{63B3BB69-23CF-44E3-9099-C40C66FF867C}">
              <a14:compatExt xmlns:a14="http://schemas.microsoft.com/office/drawing/2010/main" spid="_x0000_s3078"/>
            </a:ext>
            <a:ext uri="{FF2B5EF4-FFF2-40B4-BE49-F238E27FC236}">
              <a16:creationId xmlns:a16="http://schemas.microsoft.com/office/drawing/2014/main" id="{00000000-0008-0000-0000-000007000000}"/>
            </a:ext>
          </a:extLst>
        </xdr:cNvPr>
        <xdr:cNvSpPr/>
      </xdr:nvSpPr>
      <xdr:spPr>
        <a:xfrm>
          <a:off x="0" y="0"/>
          <a:ext cx="0" cy="0"/>
        </a:xfrm>
        <a:prstGeom prst="rect">
          <a:avLst/>
        </a:prstGeom>
      </xdr:spPr>
    </xdr:sp>
    <xdr:clientData/>
  </xdr:twoCellAnchor>
  <xdr:twoCellAnchor editAs="oneCell">
    <xdr:from>
      <xdr:col>9</xdr:col>
      <xdr:colOff>1809750</xdr:colOff>
      <xdr:row>18</xdr:row>
      <xdr:rowOff>0</xdr:rowOff>
    </xdr:from>
    <xdr:to>
      <xdr:col>10</xdr:col>
      <xdr:colOff>0</xdr:colOff>
      <xdr:row>19</xdr:row>
      <xdr:rowOff>0</xdr:rowOff>
    </xdr:to>
    <xdr:sp macro="" textlink="">
      <xdr:nvSpPr>
        <xdr:cNvPr id="8" name="Control 7" hidden="1">
          <a:extLst>
            <a:ext uri="{63B3BB69-23CF-44E3-9099-C40C66FF867C}">
              <a14:compatExt xmlns:a14="http://schemas.microsoft.com/office/drawing/2010/main" spid="_x0000_s3079"/>
            </a:ext>
            <a:ext uri="{FF2B5EF4-FFF2-40B4-BE49-F238E27FC236}">
              <a16:creationId xmlns:a16="http://schemas.microsoft.com/office/drawing/2014/main" id="{00000000-0008-0000-0000-000008000000}"/>
            </a:ext>
          </a:extLst>
        </xdr:cNvPr>
        <xdr:cNvSpPr/>
      </xdr:nvSpPr>
      <xdr:spPr>
        <a:xfrm>
          <a:off x="0" y="0"/>
          <a:ext cx="0" cy="0"/>
        </a:xfrm>
        <a:prstGeom prst="rect">
          <a:avLst/>
        </a:prstGeom>
      </xdr:spPr>
    </xdr:sp>
    <xdr:clientData/>
  </xdr:twoCellAnchor>
  <xdr:twoCellAnchor editAs="oneCell">
    <xdr:from>
      <xdr:col>10</xdr:col>
      <xdr:colOff>0</xdr:colOff>
      <xdr:row>18</xdr:row>
      <xdr:rowOff>0</xdr:rowOff>
    </xdr:from>
    <xdr:to>
      <xdr:col>10</xdr:col>
      <xdr:colOff>0</xdr:colOff>
      <xdr:row>19</xdr:row>
      <xdr:rowOff>0</xdr:rowOff>
    </xdr:to>
    <xdr:pic>
      <xdr:nvPicPr>
        <xdr:cNvPr id="10" name="Object 6">
          <a:extLst>
            <a:ext uri="{FF2B5EF4-FFF2-40B4-BE49-F238E27FC236}">
              <a16:creationId xmlns:a16="http://schemas.microsoft.com/office/drawing/2014/main" id="{00000000-0008-0000-0000-00000A000000}"/>
            </a:ext>
          </a:extLst>
        </xdr:cNvPr>
        <xdr:cNvPicPr preferRelativeResize="0">
          <a:picLocks noChangeArrowheads="1" noChangeShapeType="1"/>
        </xdr:cNvPicPr>
      </xdr:nvPicPr>
      <xdr:blipFill>
        <a:blip xmlns:r="http://schemas.openxmlformats.org/officeDocument/2006/relationships">
          <a:extLst>
            <a:ext uri="{28A0092B-C50C-407E-A947-70E740481C1C}">
              <a14:useLocalDpi xmlns:a14="http://schemas.microsoft.com/office/drawing/2010/main" val="0"/>
            </a:ext>
          </a:extLst>
        </a:blip>
        <a:srcRect/>
        <a:stretch>
          <a:fillRect/>
        </a:stretch>
      </xdr:blipFill>
      <xdr:spPr bwMode="auto">
        <a:xfrm>
          <a:off x="16563975" y="4076700"/>
          <a:ext cx="0" cy="228600"/>
        </a:xfrm>
        <a:prstGeom prst="rect">
          <a:avLst/>
        </a:prstGeom>
        <a:noFill/>
        <a:ln w="9525">
          <a:miter lim="800000"/>
          <a:headEnd/>
          <a:tailEnd/>
        </a:ln>
      </xdr:spPr>
    </xdr:pic>
    <xdr:clientData/>
  </xdr:twoCellAnchor>
  <xdr:twoCellAnchor editAs="oneCell">
    <xdr:from>
      <xdr:col>10</xdr:col>
      <xdr:colOff>0</xdr:colOff>
      <xdr:row>18</xdr:row>
      <xdr:rowOff>0</xdr:rowOff>
    </xdr:from>
    <xdr:to>
      <xdr:col>10</xdr:col>
      <xdr:colOff>0</xdr:colOff>
      <xdr:row>19</xdr:row>
      <xdr:rowOff>0</xdr:rowOff>
    </xdr:to>
    <xdr:pic>
      <xdr:nvPicPr>
        <xdr:cNvPr id="11" name="Object 7">
          <a:extLst>
            <a:ext uri="{FF2B5EF4-FFF2-40B4-BE49-F238E27FC236}">
              <a16:creationId xmlns:a16="http://schemas.microsoft.com/office/drawing/2014/main" id="{00000000-0008-0000-0000-00000B000000}"/>
            </a:ext>
          </a:extLst>
        </xdr:cNvPr>
        <xdr:cNvPicPr preferRelativeResize="0">
          <a:picLocks noChangeArrowheads="1" noChangeShapeType="1"/>
        </xdr:cNvPicPr>
      </xdr:nvPicPr>
      <xdr:blipFill>
        <a:blip xmlns:r="http://schemas.openxmlformats.org/officeDocument/2006/relationships">
          <a:extLst>
            <a:ext uri="{28A0092B-C50C-407E-A947-70E740481C1C}">
              <a14:useLocalDpi xmlns:a14="http://schemas.microsoft.com/office/drawing/2010/main" val="0"/>
            </a:ext>
          </a:extLst>
        </a:blip>
        <a:srcRect/>
        <a:stretch>
          <a:fillRect/>
        </a:stretch>
      </xdr:blipFill>
      <xdr:spPr bwMode="auto">
        <a:xfrm>
          <a:off x="16563975" y="4076700"/>
          <a:ext cx="0" cy="228600"/>
        </a:xfrm>
        <a:prstGeom prst="rect">
          <a:avLst/>
        </a:prstGeom>
        <a:noFill/>
        <a:ln w="9525">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16384</xdr:col>
      <xdr:colOff>190500</xdr:colOff>
      <xdr:row>5</xdr:row>
      <xdr:rowOff>142875</xdr:rowOff>
    </xdr:to>
    <xdr:pic>
      <xdr:nvPicPr>
        <xdr:cNvPr id="2" name="Picture 1" hidden="1">
          <a:extLst>
            <a:ext uri="{FF2B5EF4-FFF2-40B4-BE49-F238E27FC236}">
              <a16:creationId xmlns:a16="http://schemas.microsoft.com/office/drawing/2014/main" id="{00000000-0008-0000-0200-000002000000}"/>
            </a:ext>
          </a:extLst>
        </xdr:cNvPr>
        <xdr:cNvPicPr>
          <a:picLocks noGrp="1" noChangeAspect="1" noChangeArrowheads="1"/>
        </xdr:cNvPicPr>
      </xdr:nvPicPr>
      <xdr:blipFill>
        <a:blip xmlns:r="http://schemas.openxmlformats.org/officeDocument/2006/relationships" r:embed="rId1"/>
        <a:srcRect/>
        <a:stretch>
          <a:fillRect/>
        </a:stretch>
      </xdr:blipFill>
      <xdr:spPr bwMode="auto">
        <a:xfrm>
          <a:off x="12201525" y="190500"/>
          <a:ext cx="190500" cy="142875"/>
        </a:xfrm>
        <a:prstGeom prst="rect">
          <a:avLst/>
        </a:prstGeom>
        <a:noFill/>
        <a:ln w="9525">
          <a:noFill/>
          <a:miter lim="800000"/>
          <a:headEnd/>
          <a:tailEnd/>
        </a:ln>
      </xdr:spPr>
    </xdr:pic>
    <xdr:clientData/>
  </xdr:twoCellAnchor>
  <xdr:twoCellAnchor editAs="oneCell">
    <xdr:from>
      <xdr:col>5</xdr:col>
      <xdr:colOff>0</xdr:colOff>
      <xdr:row>5</xdr:row>
      <xdr:rowOff>0</xdr:rowOff>
    </xdr:from>
    <xdr:to>
      <xdr:col>16384</xdr:col>
      <xdr:colOff>190500</xdr:colOff>
      <xdr:row>5</xdr:row>
      <xdr:rowOff>142875</xdr:rowOff>
    </xdr:to>
    <xdr:pic>
      <xdr:nvPicPr>
        <xdr:cNvPr id="3" name="Picture 4" hidden="1">
          <a:extLst>
            <a:ext uri="{FF2B5EF4-FFF2-40B4-BE49-F238E27FC236}">
              <a16:creationId xmlns:a16="http://schemas.microsoft.com/office/drawing/2014/main" id="{00000000-0008-0000-0200-000003000000}"/>
            </a:ext>
          </a:extLst>
        </xdr:cNvPr>
        <xdr:cNvPicPr>
          <a:picLocks noGrp="1" noChangeAspect="1" noChangeArrowheads="1"/>
        </xdr:cNvPicPr>
      </xdr:nvPicPr>
      <xdr:blipFill>
        <a:blip xmlns:r="http://schemas.openxmlformats.org/officeDocument/2006/relationships" r:embed="rId1"/>
        <a:srcRect/>
        <a:stretch>
          <a:fillRect/>
        </a:stretch>
      </xdr:blipFill>
      <xdr:spPr bwMode="auto">
        <a:xfrm>
          <a:off x="12201525" y="190500"/>
          <a:ext cx="190500" cy="1428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15</xdr:col>
      <xdr:colOff>0</xdr:colOff>
      <xdr:row>17</xdr:row>
      <xdr:rowOff>0</xdr:rowOff>
    </xdr:from>
    <xdr:to>
      <xdr:col>16</xdr:col>
      <xdr:colOff>1464235</xdr:colOff>
      <xdr:row>18</xdr:row>
      <xdr:rowOff>0</xdr:rowOff>
    </xdr:to>
    <xdr:sp macro="" textlink="">
      <xdr:nvSpPr>
        <xdr:cNvPr id="2"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700-000002000000}"/>
            </a:ext>
          </a:extLst>
        </xdr:cNvPr>
        <xdr:cNvSpPr/>
      </xdr:nvSpPr>
      <xdr:spPr bwMode="auto">
        <a:xfrm>
          <a:off x="22231350" y="2705100"/>
          <a:ext cx="2181225" cy="228600"/>
        </a:xfrm>
        <a:prstGeom prst="rect">
          <a:avLst/>
        </a:prstGeom>
        <a:noFill/>
        <a:ln w="9525">
          <a:miter lim="800000"/>
          <a:headEnd/>
          <a:tailEnd/>
        </a:ln>
      </xdr:spPr>
    </xdr:sp>
    <xdr:clientData/>
  </xdr:twoCellAnchor>
  <xdr:twoCellAnchor editAs="oneCell">
    <xdr:from>
      <xdr:col>15</xdr:col>
      <xdr:colOff>0</xdr:colOff>
      <xdr:row>17</xdr:row>
      <xdr:rowOff>0</xdr:rowOff>
    </xdr:from>
    <xdr:to>
      <xdr:col>16</xdr:col>
      <xdr:colOff>1464235</xdr:colOff>
      <xdr:row>18</xdr:row>
      <xdr:rowOff>0</xdr:rowOff>
    </xdr:to>
    <xdr:sp macro="" textlink="">
      <xdr:nvSpPr>
        <xdr:cNvPr id="3"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700-000003000000}"/>
            </a:ext>
          </a:extLst>
        </xdr:cNvPr>
        <xdr:cNvSpPr/>
      </xdr:nvSpPr>
      <xdr:spPr bwMode="auto">
        <a:xfrm>
          <a:off x="22231350" y="3162300"/>
          <a:ext cx="2181225" cy="228600"/>
        </a:xfrm>
        <a:prstGeom prst="rect">
          <a:avLst/>
        </a:prstGeom>
        <a:noFill/>
        <a:ln w="9525">
          <a:miter lim="800000"/>
          <a:headEnd/>
          <a:tailEnd/>
        </a:ln>
      </xdr:spPr>
    </xdr:sp>
    <xdr:clientData/>
  </xdr:twoCellAnchor>
  <xdr:twoCellAnchor editAs="oneCell">
    <xdr:from>
      <xdr:col>15</xdr:col>
      <xdr:colOff>0</xdr:colOff>
      <xdr:row>17</xdr:row>
      <xdr:rowOff>0</xdr:rowOff>
    </xdr:from>
    <xdr:to>
      <xdr:col>16</xdr:col>
      <xdr:colOff>1464235</xdr:colOff>
      <xdr:row>18</xdr:row>
      <xdr:rowOff>0</xdr:rowOff>
    </xdr:to>
    <xdr:sp macro="" textlink="">
      <xdr:nvSpPr>
        <xdr:cNvPr id="4"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700-000004000000}"/>
            </a:ext>
          </a:extLst>
        </xdr:cNvPr>
        <xdr:cNvSpPr/>
      </xdr:nvSpPr>
      <xdr:spPr bwMode="auto">
        <a:xfrm>
          <a:off x="22231350" y="3390900"/>
          <a:ext cx="2181225" cy="228600"/>
        </a:xfrm>
        <a:prstGeom prst="rect">
          <a:avLst/>
        </a:prstGeom>
        <a:noFill/>
        <a:ln w="9525">
          <a:miter lim="800000"/>
          <a:headEnd/>
          <a:tailEnd/>
        </a:ln>
      </xdr:spPr>
    </xdr:sp>
    <xdr:clientData/>
  </xdr:twoCellAnchor>
  <xdr:twoCellAnchor editAs="oneCell">
    <xdr:from>
      <xdr:col>15</xdr:col>
      <xdr:colOff>0</xdr:colOff>
      <xdr:row>17</xdr:row>
      <xdr:rowOff>0</xdr:rowOff>
    </xdr:from>
    <xdr:to>
      <xdr:col>16</xdr:col>
      <xdr:colOff>1464235</xdr:colOff>
      <xdr:row>18</xdr:row>
      <xdr:rowOff>0</xdr:rowOff>
    </xdr:to>
    <xdr:sp macro="" textlink="">
      <xdr:nvSpPr>
        <xdr:cNvPr id="5"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05000000}"/>
            </a:ext>
          </a:extLst>
        </xdr:cNvPr>
        <xdr:cNvSpPr/>
      </xdr:nvSpPr>
      <xdr:spPr bwMode="auto">
        <a:xfrm>
          <a:off x="22231350" y="3619500"/>
          <a:ext cx="2181225" cy="228600"/>
        </a:xfrm>
        <a:prstGeom prst="rect">
          <a:avLst/>
        </a:prstGeom>
        <a:noFill/>
        <a:ln w="9525">
          <a:miter lim="800000"/>
          <a:headEnd/>
          <a:tailEnd/>
        </a:ln>
      </xdr:spPr>
    </xdr:sp>
    <xdr:clientData/>
  </xdr:twoCellAnchor>
  <xdr:twoCellAnchor editAs="oneCell">
    <xdr:from>
      <xdr:col>15</xdr:col>
      <xdr:colOff>0</xdr:colOff>
      <xdr:row>17</xdr:row>
      <xdr:rowOff>0</xdr:rowOff>
    </xdr:from>
    <xdr:to>
      <xdr:col>16</xdr:col>
      <xdr:colOff>1464235</xdr:colOff>
      <xdr:row>18</xdr:row>
      <xdr:rowOff>0</xdr:rowOff>
    </xdr:to>
    <xdr:sp macro="" textlink="">
      <xdr:nvSpPr>
        <xdr:cNvPr id="6"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700-000006000000}"/>
            </a:ext>
          </a:extLst>
        </xdr:cNvPr>
        <xdr:cNvSpPr/>
      </xdr:nvSpPr>
      <xdr:spPr bwMode="auto">
        <a:xfrm>
          <a:off x="22231350" y="2705100"/>
          <a:ext cx="2181225" cy="228600"/>
        </a:xfrm>
        <a:prstGeom prst="rect">
          <a:avLst/>
        </a:prstGeom>
        <a:noFill/>
        <a:ln w="9525">
          <a:miter lim="800000"/>
          <a:headEnd/>
          <a:tailEnd/>
        </a:ln>
      </xdr:spPr>
    </xdr:sp>
    <xdr:clientData/>
  </xdr:twoCellAnchor>
  <xdr:twoCellAnchor editAs="oneCell">
    <xdr:from>
      <xdr:col>15</xdr:col>
      <xdr:colOff>0</xdr:colOff>
      <xdr:row>17</xdr:row>
      <xdr:rowOff>0</xdr:rowOff>
    </xdr:from>
    <xdr:to>
      <xdr:col>16</xdr:col>
      <xdr:colOff>1464235</xdr:colOff>
      <xdr:row>18</xdr:row>
      <xdr:rowOff>0</xdr:rowOff>
    </xdr:to>
    <xdr:sp macro="" textlink="">
      <xdr:nvSpPr>
        <xdr:cNvPr id="7"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700-000007000000}"/>
            </a:ext>
          </a:extLst>
        </xdr:cNvPr>
        <xdr:cNvSpPr/>
      </xdr:nvSpPr>
      <xdr:spPr bwMode="auto">
        <a:xfrm>
          <a:off x="22231350" y="3162300"/>
          <a:ext cx="2181225" cy="228600"/>
        </a:xfrm>
        <a:prstGeom prst="rect">
          <a:avLst/>
        </a:prstGeom>
        <a:noFill/>
        <a:ln w="9525">
          <a:miter lim="800000"/>
          <a:headEnd/>
          <a:tailEnd/>
        </a:ln>
      </xdr:spPr>
    </xdr:sp>
    <xdr:clientData/>
  </xdr:twoCellAnchor>
  <xdr:twoCellAnchor editAs="oneCell">
    <xdr:from>
      <xdr:col>15</xdr:col>
      <xdr:colOff>0</xdr:colOff>
      <xdr:row>17</xdr:row>
      <xdr:rowOff>0</xdr:rowOff>
    </xdr:from>
    <xdr:to>
      <xdr:col>16</xdr:col>
      <xdr:colOff>1464235</xdr:colOff>
      <xdr:row>18</xdr:row>
      <xdr:rowOff>0</xdr:rowOff>
    </xdr:to>
    <xdr:sp macro="" textlink="">
      <xdr:nvSpPr>
        <xdr:cNvPr id="8"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700-000008000000}"/>
            </a:ext>
          </a:extLst>
        </xdr:cNvPr>
        <xdr:cNvSpPr/>
      </xdr:nvSpPr>
      <xdr:spPr bwMode="auto">
        <a:xfrm>
          <a:off x="22231350" y="3390900"/>
          <a:ext cx="2181225" cy="228600"/>
        </a:xfrm>
        <a:prstGeom prst="rect">
          <a:avLst/>
        </a:prstGeom>
        <a:noFill/>
        <a:ln w="9525">
          <a:miter lim="800000"/>
          <a:headEnd/>
          <a:tailEnd/>
        </a:ln>
      </xdr:spPr>
    </xdr:sp>
    <xdr:clientData/>
  </xdr:twoCellAnchor>
  <xdr:twoCellAnchor editAs="oneCell">
    <xdr:from>
      <xdr:col>15</xdr:col>
      <xdr:colOff>0</xdr:colOff>
      <xdr:row>17</xdr:row>
      <xdr:rowOff>0</xdr:rowOff>
    </xdr:from>
    <xdr:to>
      <xdr:col>16</xdr:col>
      <xdr:colOff>1464235</xdr:colOff>
      <xdr:row>18</xdr:row>
      <xdr:rowOff>0</xdr:rowOff>
    </xdr:to>
    <xdr:sp macro="" textlink="">
      <xdr:nvSpPr>
        <xdr:cNvPr id="9"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09000000}"/>
            </a:ext>
          </a:extLst>
        </xdr:cNvPr>
        <xdr:cNvSpPr/>
      </xdr:nvSpPr>
      <xdr:spPr bwMode="auto">
        <a:xfrm>
          <a:off x="22231350" y="3619500"/>
          <a:ext cx="2181225" cy="228600"/>
        </a:xfrm>
        <a:prstGeom prst="rect">
          <a:avLst/>
        </a:prstGeom>
        <a:noFill/>
        <a:ln w="9525">
          <a:miter lim="800000"/>
          <a:headEnd/>
          <a:tailEnd/>
        </a:ln>
      </xdr:spPr>
    </xdr:sp>
    <xdr:clientData/>
  </xdr:twoCellAnchor>
  <xdr:oneCellAnchor>
    <xdr:from>
      <xdr:col>12</xdr:col>
      <xdr:colOff>0</xdr:colOff>
      <xdr:row>17</xdr:row>
      <xdr:rowOff>0</xdr:rowOff>
    </xdr:from>
    <xdr:ext cx="2400300" cy="190500"/>
    <xdr:sp macro="" textlink="">
      <xdr:nvSpPr>
        <xdr:cNvPr id="10"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700-00000A000000}"/>
            </a:ext>
          </a:extLst>
        </xdr:cNvPr>
        <xdr:cNvSpPr/>
      </xdr:nvSpPr>
      <xdr:spPr bwMode="auto">
        <a:xfrm>
          <a:off x="6553200" y="762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11"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700-00000B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12"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700-00000C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13"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0D000000}"/>
            </a:ext>
          </a:extLst>
        </xdr:cNvPr>
        <xdr:cNvSpPr/>
      </xdr:nvSpPr>
      <xdr:spPr bwMode="auto">
        <a:xfrm>
          <a:off x="6553200" y="13335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14"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700-00000E000000}"/>
            </a:ext>
          </a:extLst>
        </xdr:cNvPr>
        <xdr:cNvSpPr/>
      </xdr:nvSpPr>
      <xdr:spPr bwMode="auto">
        <a:xfrm>
          <a:off x="6553200" y="762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15"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700-00000F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16"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700-000010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17"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11000000}"/>
            </a:ext>
          </a:extLst>
        </xdr:cNvPr>
        <xdr:cNvSpPr/>
      </xdr:nvSpPr>
      <xdr:spPr bwMode="auto">
        <a:xfrm>
          <a:off x="6553200" y="13335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18"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700-000012000000}"/>
            </a:ext>
          </a:extLst>
        </xdr:cNvPr>
        <xdr:cNvSpPr/>
      </xdr:nvSpPr>
      <xdr:spPr bwMode="auto">
        <a:xfrm>
          <a:off x="6553200" y="762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19"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700-000013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20"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700-000014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21"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15000000}"/>
            </a:ext>
          </a:extLst>
        </xdr:cNvPr>
        <xdr:cNvSpPr/>
      </xdr:nvSpPr>
      <xdr:spPr bwMode="auto">
        <a:xfrm>
          <a:off x="6553200" y="13335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22"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700-000016000000}"/>
            </a:ext>
          </a:extLst>
        </xdr:cNvPr>
        <xdr:cNvSpPr/>
      </xdr:nvSpPr>
      <xdr:spPr bwMode="auto">
        <a:xfrm>
          <a:off x="6553200" y="762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23"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700-000017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24"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700-000018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25"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19000000}"/>
            </a:ext>
          </a:extLst>
        </xdr:cNvPr>
        <xdr:cNvSpPr/>
      </xdr:nvSpPr>
      <xdr:spPr bwMode="auto">
        <a:xfrm>
          <a:off x="6553200" y="1333500"/>
          <a:ext cx="2400300" cy="190500"/>
        </a:xfrm>
        <a:prstGeom prst="rect">
          <a:avLst/>
        </a:prstGeom>
        <a:noFill/>
        <a:ln w="9525">
          <a:miter lim="800000"/>
          <a:headEnd/>
          <a:tailEnd/>
        </a:ln>
      </xdr:spPr>
    </xdr:sp>
    <xdr:clientData/>
  </xdr:oneCellAnchor>
  <xdr:oneCellAnchor>
    <xdr:from>
      <xdr:col>12</xdr:col>
      <xdr:colOff>0</xdr:colOff>
      <xdr:row>16</xdr:row>
      <xdr:rowOff>0</xdr:rowOff>
    </xdr:from>
    <xdr:ext cx="2400300" cy="190500"/>
    <xdr:sp macro="" textlink="">
      <xdr:nvSpPr>
        <xdr:cNvPr id="26"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1A000000}"/>
            </a:ext>
          </a:extLst>
        </xdr:cNvPr>
        <xdr:cNvSpPr/>
      </xdr:nvSpPr>
      <xdr:spPr bwMode="auto">
        <a:xfrm>
          <a:off x="14982825" y="2476500"/>
          <a:ext cx="2400300" cy="190500"/>
        </a:xfrm>
        <a:prstGeom prst="rect">
          <a:avLst/>
        </a:prstGeom>
        <a:noFill/>
        <a:ln w="9525">
          <a:miter lim="800000"/>
          <a:headEnd/>
          <a:tailEnd/>
        </a:ln>
      </xdr:spPr>
    </xdr:sp>
    <xdr:clientData/>
  </xdr:oneCellAnchor>
  <xdr:oneCellAnchor>
    <xdr:from>
      <xdr:col>12</xdr:col>
      <xdr:colOff>0</xdr:colOff>
      <xdr:row>16</xdr:row>
      <xdr:rowOff>0</xdr:rowOff>
    </xdr:from>
    <xdr:ext cx="2400300" cy="190500"/>
    <xdr:sp macro="" textlink="">
      <xdr:nvSpPr>
        <xdr:cNvPr id="27"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1B000000}"/>
            </a:ext>
          </a:extLst>
        </xdr:cNvPr>
        <xdr:cNvSpPr/>
      </xdr:nvSpPr>
      <xdr:spPr bwMode="auto">
        <a:xfrm>
          <a:off x="14982825" y="2476500"/>
          <a:ext cx="2400300" cy="190500"/>
        </a:xfrm>
        <a:prstGeom prst="rect">
          <a:avLst/>
        </a:prstGeom>
        <a:noFill/>
        <a:ln w="9525">
          <a:miter lim="800000"/>
          <a:headEnd/>
          <a:tailEnd/>
        </a:ln>
      </xdr:spPr>
    </xdr:sp>
    <xdr:clientData/>
  </xdr:oneCellAnchor>
  <xdr:oneCellAnchor>
    <xdr:from>
      <xdr:col>12</xdr:col>
      <xdr:colOff>0</xdr:colOff>
      <xdr:row>16</xdr:row>
      <xdr:rowOff>0</xdr:rowOff>
    </xdr:from>
    <xdr:ext cx="2400300" cy="190500"/>
    <xdr:sp macro="" textlink="">
      <xdr:nvSpPr>
        <xdr:cNvPr id="28"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1C000000}"/>
            </a:ext>
          </a:extLst>
        </xdr:cNvPr>
        <xdr:cNvSpPr/>
      </xdr:nvSpPr>
      <xdr:spPr bwMode="auto">
        <a:xfrm>
          <a:off x="14982825" y="2476500"/>
          <a:ext cx="2400300" cy="190500"/>
        </a:xfrm>
        <a:prstGeom prst="rect">
          <a:avLst/>
        </a:prstGeom>
        <a:noFill/>
        <a:ln w="9525">
          <a:miter lim="800000"/>
          <a:headEnd/>
          <a:tailEnd/>
        </a:ln>
      </xdr:spPr>
    </xdr:sp>
    <xdr:clientData/>
  </xdr:oneCellAnchor>
  <xdr:oneCellAnchor>
    <xdr:from>
      <xdr:col>12</xdr:col>
      <xdr:colOff>0</xdr:colOff>
      <xdr:row>16</xdr:row>
      <xdr:rowOff>0</xdr:rowOff>
    </xdr:from>
    <xdr:ext cx="2400300" cy="190500"/>
    <xdr:sp macro="" textlink="">
      <xdr:nvSpPr>
        <xdr:cNvPr id="29"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1D000000}"/>
            </a:ext>
          </a:extLst>
        </xdr:cNvPr>
        <xdr:cNvSpPr/>
      </xdr:nvSpPr>
      <xdr:spPr bwMode="auto">
        <a:xfrm>
          <a:off x="14982825" y="24765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30"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1E000000}"/>
            </a:ext>
          </a:extLst>
        </xdr:cNvPr>
        <xdr:cNvSpPr/>
      </xdr:nvSpPr>
      <xdr:spPr bwMode="auto">
        <a:xfrm>
          <a:off x="14982825" y="24765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31"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1F000000}"/>
            </a:ext>
          </a:extLst>
        </xdr:cNvPr>
        <xdr:cNvSpPr/>
      </xdr:nvSpPr>
      <xdr:spPr bwMode="auto">
        <a:xfrm>
          <a:off x="14982825" y="24765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32"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20000000}"/>
            </a:ext>
          </a:extLst>
        </xdr:cNvPr>
        <xdr:cNvSpPr/>
      </xdr:nvSpPr>
      <xdr:spPr bwMode="auto">
        <a:xfrm>
          <a:off x="14982825" y="2476500"/>
          <a:ext cx="2400300" cy="190500"/>
        </a:xfrm>
        <a:prstGeom prst="rect">
          <a:avLst/>
        </a:prstGeom>
        <a:noFill/>
        <a:ln w="9525">
          <a:miter lim="800000"/>
          <a:headEnd/>
          <a:tailEnd/>
        </a:ln>
      </xdr:spPr>
    </xdr:sp>
    <xdr:clientData/>
  </xdr:oneCellAnchor>
  <xdr:oneCellAnchor>
    <xdr:from>
      <xdr:col>12</xdr:col>
      <xdr:colOff>0</xdr:colOff>
      <xdr:row>17</xdr:row>
      <xdr:rowOff>0</xdr:rowOff>
    </xdr:from>
    <xdr:ext cx="2400300" cy="190500"/>
    <xdr:sp macro="" textlink="">
      <xdr:nvSpPr>
        <xdr:cNvPr id="33"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700-000021000000}"/>
            </a:ext>
          </a:extLst>
        </xdr:cNvPr>
        <xdr:cNvSpPr/>
      </xdr:nvSpPr>
      <xdr:spPr bwMode="auto">
        <a:xfrm>
          <a:off x="14982825" y="2476500"/>
          <a:ext cx="2400300" cy="190500"/>
        </a:xfrm>
        <a:prstGeom prst="rect">
          <a:avLst/>
        </a:prstGeom>
        <a:noFill/>
        <a:ln w="9525">
          <a:miter lim="800000"/>
          <a:headEnd/>
          <a:tailEnd/>
        </a:ln>
      </xdr:spPr>
    </xdr:sp>
    <xdr:clientData/>
  </xdr:oneCellAnchor>
  <xdr:twoCellAnchor editAs="oneCell">
    <xdr:from>
      <xdr:col>15</xdr:col>
      <xdr:colOff>0</xdr:colOff>
      <xdr:row>17</xdr:row>
      <xdr:rowOff>0</xdr:rowOff>
    </xdr:from>
    <xdr:to>
      <xdr:col>16</xdr:col>
      <xdr:colOff>1464235</xdr:colOff>
      <xdr:row>18</xdr:row>
      <xdr:rowOff>0</xdr:rowOff>
    </xdr:to>
    <xdr:sp macro="" textlink="">
      <xdr:nvSpPr>
        <xdr:cNvPr id="34"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700-000022000000}"/>
            </a:ext>
          </a:extLst>
        </xdr:cNvPr>
        <xdr:cNvSpPr/>
      </xdr:nvSpPr>
      <xdr:spPr bwMode="auto">
        <a:xfrm>
          <a:off x="20126325" y="1905000"/>
          <a:ext cx="2400300" cy="190500"/>
        </a:xfrm>
        <a:prstGeom prst="rect">
          <a:avLst/>
        </a:prstGeom>
        <a:noFill/>
        <a:ln w="9525">
          <a:miter lim="800000"/>
          <a:headEnd/>
          <a:tailEnd/>
        </a:ln>
      </xdr:spPr>
    </xdr:sp>
    <xdr:clientData/>
  </xdr:twoCellAnchor>
  <xdr:twoCellAnchor editAs="oneCell">
    <xdr:from>
      <xdr:col>15</xdr:col>
      <xdr:colOff>0</xdr:colOff>
      <xdr:row>17</xdr:row>
      <xdr:rowOff>0</xdr:rowOff>
    </xdr:from>
    <xdr:to>
      <xdr:col>16</xdr:col>
      <xdr:colOff>1464235</xdr:colOff>
      <xdr:row>18</xdr:row>
      <xdr:rowOff>0</xdr:rowOff>
    </xdr:to>
    <xdr:sp macro="" textlink="">
      <xdr:nvSpPr>
        <xdr:cNvPr id="35"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700-000023000000}"/>
            </a:ext>
          </a:extLst>
        </xdr:cNvPr>
        <xdr:cNvSpPr/>
      </xdr:nvSpPr>
      <xdr:spPr bwMode="auto">
        <a:xfrm>
          <a:off x="20126325" y="1905000"/>
          <a:ext cx="2400300" cy="190500"/>
        </a:xfrm>
        <a:prstGeom prst="rect">
          <a:avLst/>
        </a:prstGeom>
        <a:noFill/>
        <a:ln w="9525">
          <a:miter lim="800000"/>
          <a:headEnd/>
          <a:tailEnd/>
        </a:ln>
      </xdr:spPr>
    </xdr:sp>
    <xdr:clientData/>
  </xdr:twoCellAnchor>
  <xdr:twoCellAnchor editAs="oneCell">
    <xdr:from>
      <xdr:col>15</xdr:col>
      <xdr:colOff>0</xdr:colOff>
      <xdr:row>17</xdr:row>
      <xdr:rowOff>0</xdr:rowOff>
    </xdr:from>
    <xdr:to>
      <xdr:col>16</xdr:col>
      <xdr:colOff>1464235</xdr:colOff>
      <xdr:row>18</xdr:row>
      <xdr:rowOff>0</xdr:rowOff>
    </xdr:to>
    <xdr:sp macro="" textlink="">
      <xdr:nvSpPr>
        <xdr:cNvPr id="36"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700-000024000000}"/>
            </a:ext>
          </a:extLst>
        </xdr:cNvPr>
        <xdr:cNvSpPr/>
      </xdr:nvSpPr>
      <xdr:spPr bwMode="auto">
        <a:xfrm>
          <a:off x="20126325" y="1905000"/>
          <a:ext cx="2400300" cy="190500"/>
        </a:xfrm>
        <a:prstGeom prst="rect">
          <a:avLst/>
        </a:prstGeom>
        <a:noFill/>
        <a:ln w="9525">
          <a:miter lim="800000"/>
          <a:headEnd/>
          <a:tailEnd/>
        </a:ln>
      </xdr:spPr>
    </xdr:sp>
    <xdr:clientData/>
  </xdr:twoCellAnchor>
  <xdr:twoCellAnchor editAs="oneCell">
    <xdr:from>
      <xdr:col>15</xdr:col>
      <xdr:colOff>0</xdr:colOff>
      <xdr:row>17</xdr:row>
      <xdr:rowOff>0</xdr:rowOff>
    </xdr:from>
    <xdr:to>
      <xdr:col>16</xdr:col>
      <xdr:colOff>1464235</xdr:colOff>
      <xdr:row>18</xdr:row>
      <xdr:rowOff>0</xdr:rowOff>
    </xdr:to>
    <xdr:sp macro="" textlink="">
      <xdr:nvSpPr>
        <xdr:cNvPr id="37"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700-000025000000}"/>
            </a:ext>
          </a:extLst>
        </xdr:cNvPr>
        <xdr:cNvSpPr/>
      </xdr:nvSpPr>
      <xdr:spPr bwMode="auto">
        <a:xfrm>
          <a:off x="20126325" y="1905000"/>
          <a:ext cx="2400300" cy="190500"/>
        </a:xfrm>
        <a:prstGeom prst="rect">
          <a:avLst/>
        </a:prstGeom>
        <a:noFill/>
        <a:ln w="9525">
          <a:miter lim="800000"/>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eosamu\Downloads\MOOCRet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uxSubseccionLeccion"/>
      <sheetName val="Problemas"/>
      <sheetName val="MOOCRetos"/>
      <sheetName val="auxSeccionSubseccion"/>
      <sheetName val="Leccion"/>
    </sheetNames>
    <sheetDataSet>
      <sheetData sheetId="0" refreshError="1"/>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videoscurso.php?CODIGO=859f0667-977c-e64a-a031-fad23cd7ae02" connectionId="2" xr16:uid="{00000000-0016-0000-0800-000000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A5:A6" totalsRowShown="0" headerRowDxfId="77" dataDxfId="76">
  <autoFilter ref="A5:A6" xr:uid="{00000000-0009-0000-0100-000001000000}"/>
  <tableColumns count="1">
    <tableColumn id="1" xr3:uid="{00000000-0010-0000-0000-000001000000}" name="Biografia Autores" dataDxfId="75"/>
  </tableColumns>
  <tableStyleInfo name="TableStyleMedium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2000000}" name="Unidades" displayName="Unidades" ref="A1:L12" totalsRowShown="0" headerRowDxfId="74" dataDxfId="73">
  <autoFilter ref="A1:L12" xr:uid="{00000000-0009-0000-0100-00000A000000}"/>
  <tableColumns count="12">
    <tableColumn id="1" xr3:uid="{00000000-0010-0000-0200-000001000000}" name="type" dataDxfId="72"/>
    <tableColumn id="2" xr3:uid="{00000000-0010-0000-0200-000002000000}" name="Sección" dataDxfId="71">
      <calculatedColumnFormula>IFERROR(IF(C1=C2,B1,B1+1),1)</calculatedColumnFormula>
    </tableColumn>
    <tableColumn id="3" xr3:uid="{00000000-0010-0000-0200-000003000000}" name="Nombre Sección" dataDxfId="70"/>
    <tableColumn id="4" xr3:uid="{00000000-0010-0000-0200-000004000000}" name="SubSección" dataDxfId="69">
      <calculatedColumnFormula>IF(B2=B1,D1+1,1)</calculatedColumnFormula>
    </tableColumn>
    <tableColumn id="5" xr3:uid="{00000000-0010-0000-0200-000005000000}" name="Nombre SubSección" dataDxfId="68"/>
    <tableColumn id="6" xr3:uid="{00000000-0010-0000-0200-000006000000}" name="Tipo de Tarea" dataDxfId="67"/>
    <tableColumn id="7" xr3:uid="{00000000-0010-0000-0200-000007000000}" name="Fecha Inicio" dataDxfId="66"/>
    <tableColumn id="8" xr3:uid="{00000000-0010-0000-0200-000008000000}" name="Fecha Fin" dataDxfId="65"/>
    <tableColumn id="9" xr3:uid="{00000000-0010-0000-0200-000009000000}" name="now_available" dataDxfId="64"/>
    <tableColumn id="10" xr3:uid="{00000000-0010-0000-0200-00000A000000}" name="value (decimales con . y no con ,)" dataDxfId="63"/>
    <tableColumn id="11" xr3:uid="{00000000-0010-0000-0200-00000B000000}" name="selectorSeccion" dataDxfId="62">
      <calculatedColumnFormula>CONCATENATE(INDIRECT("Unidades[Sección]"),":",INDIRECT("Unidades[Nombre Sección]"))</calculatedColumnFormula>
    </tableColumn>
    <tableColumn id="13" xr3:uid="{00000000-0010-0000-0200-00000D000000}" name="selectorSubSeccion" dataDxfId="61">
      <calculatedColumnFormula>CONCATENATE(INDIRECT("Unidades[Sección]"),":",INDIRECT("Unidades[SubSección]"),":",INDIRECT("Unidades[Nombre SubSección]"))</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3000000}" name="Leccion" displayName="Leccion" ref="A1:P14" totalsRowShown="0" dataDxfId="60">
  <autoFilter ref="A1:P14" xr:uid="{00000000-0009-0000-0100-000010000000}"/>
  <sortState xmlns:xlrd2="http://schemas.microsoft.com/office/spreadsheetml/2017/richdata2" ref="A2:N155">
    <sortCondition ref="A1:A68"/>
  </sortState>
  <tableColumns count="16">
    <tableColumn id="1" xr3:uid="{00000000-0010-0000-0300-000001000000}" name="idSeccion" dataDxfId="59">
      <calculatedColumnFormula>INDEX(Unidades[],MATCH(Leccion[[#This Row],[Sección]],Unidades[selectorSeccion],0),2)</calculatedColumnFormula>
    </tableColumn>
    <tableColumn id="4" xr3:uid="{00000000-0010-0000-0300-000004000000}" name="Sección" dataDxfId="58"/>
    <tableColumn id="2" xr3:uid="{00000000-0010-0000-0300-000002000000}" name="idSubSeccion" dataDxfId="57">
      <calculatedColumnFormula>INDEX(Unidades[],MATCH(Leccion[[#This Row],[SubSección]],Unidades[selectorSubSeccion],0),4)</calculatedColumnFormula>
    </tableColumn>
    <tableColumn id="9" xr3:uid="{00000000-0010-0000-0300-000009000000}" name="SubSección" dataDxfId="56"/>
    <tableColumn id="15" xr3:uid="{00000000-0010-0000-0300-00000F000000}" name="Lección" dataDxfId="55">
      <calculatedColumnFormula>IFERROR((IF(AND(A1=A2,C1=C2),E1+1,1)),"")</calculatedColumnFormula>
    </tableColumn>
    <tableColumn id="5" xr3:uid="{00000000-0010-0000-0300-000005000000}" name="Titulo" dataDxfId="54"/>
    <tableColumn id="6" xr3:uid="{00000000-0010-0000-0300-000006000000}" name="Presentador" dataDxfId="53"/>
    <tableColumn id="7" xr3:uid="{00000000-0010-0000-0300-000007000000}" name="DESCRIPCIÓN DEL VÍDEO" dataDxfId="52"/>
    <tableColumn id="8" xr3:uid="{00000000-0010-0000-0300-000008000000}" name="OBJETIVOS" dataDxfId="51"/>
    <tableColumn id="3" xr3:uid="{00000000-0010-0000-0300-000003000000}" name="VIDEO" dataDxfId="50"/>
    <tableColumn id="14" xr3:uid="{00000000-0010-0000-0300-00000E000000}" name="VideoEDX"/>
    <tableColumn id="10" xr3:uid="{00000000-0010-0000-0300-00000A000000}" name="RESUMEN" dataDxfId="49"/>
    <tableColumn id="11" xr3:uid="{00000000-0010-0000-0300-00000B000000}" name="FORO" dataDxfId="48"/>
    <tableColumn id="12" xr3:uid="{00000000-0010-0000-0300-00000C000000}" name="DOCUMENTOS" dataDxfId="47"/>
    <tableColumn id="13" xr3:uid="{00000000-0010-0000-0300-00000D000000}" name="selectorLeccion" dataDxfId="46">
      <calculatedColumnFormula>CONCATENATE(INDIRECT("Leccion[idSeccion]"),":",INDIRECT("Leccion[idSubSeccion]"),":",INDIRECT("Leccion[Lección]"),":",INDIRECT("Leccion[Titulo]"))</calculatedColumnFormula>
    </tableColumn>
    <tableColumn id="16" xr3:uid="{00000000-0010-0000-0300-000010000000}" name="REINICIAR" dataDxfId="4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Problemas" displayName="Problemas" ref="A1:Y10" totalsRowShown="0" headerRowDxfId="44" dataDxfId="43">
  <autoFilter ref="A1:Y10" xr:uid="{00000000-0009-0000-0100-000002000000}"/>
  <sortState xmlns:xlrd2="http://schemas.microsoft.com/office/spreadsheetml/2017/richdata2" ref="A2:Y253">
    <sortCondition ref="A1:A253"/>
  </sortState>
  <tableColumns count="25">
    <tableColumn id="1" xr3:uid="{00000000-0010-0000-0400-000001000000}" name="idSeccion" dataDxfId="42">
      <calculatedColumnFormula>INDEX(Unidades[#Data],MATCH(Problemas[[#This Row],[Sección]],Unidades[selectorSeccion],0),2)</calculatedColumnFormula>
    </tableColumn>
    <tableColumn id="18" xr3:uid="{00000000-0010-0000-0400-000012000000}" name="Sección" dataDxfId="41"/>
    <tableColumn id="2" xr3:uid="{00000000-0010-0000-0400-000002000000}" name="idSubseccion" dataDxfId="40">
      <calculatedColumnFormula>INDEX(Unidades[],MATCH(Problemas[[#This Row],[SubSección]],Unidades[selectorSubSeccion],0),4)</calculatedColumnFormula>
    </tableColumn>
    <tableColumn id="19" xr3:uid="{00000000-0010-0000-0400-000013000000}" name="SubSección" dataDxfId="39"/>
    <tableColumn id="20" xr3:uid="{00000000-0010-0000-0400-000014000000}" name="idLeccion" dataDxfId="38">
      <calculatedColumnFormula>INDEX(Leccion[],MATCH(Problemas[[#This Row],[Lección]],Leccion[selectorLeccion],0),5)</calculatedColumnFormula>
    </tableColumn>
    <tableColumn id="3" xr3:uid="{00000000-0010-0000-0400-000003000000}" name="Lección" dataDxfId="37"/>
    <tableColumn id="4" xr3:uid="{00000000-0010-0000-0400-000004000000}" name="Intentos" dataDxfId="36"/>
    <tableColumn id="22" xr3:uid="{00000000-0010-0000-0400-000016000000}" name="Mostrar Respuesta" dataDxfId="35"/>
    <tableColumn id="21" xr3:uid="{00000000-0010-0000-0400-000015000000}" name="Peso" dataDxfId="34"/>
    <tableColumn id="23" xr3:uid="{00000000-0010-0000-0400-000017000000}" name="Randomice" dataDxfId="33"/>
    <tableColumn id="5" xr3:uid="{00000000-0010-0000-0400-000005000000}" name="PREVIA" dataDxfId="32"/>
    <tableColumn id="6" xr3:uid="{00000000-0010-0000-0400-000006000000}" name="TIPO" dataDxfId="31"/>
    <tableColumn id="7" xr3:uid="{00000000-0010-0000-0400-000007000000}" name="PREGUNTA" dataDxfId="30"/>
    <tableColumn id="8" xr3:uid="{00000000-0010-0000-0400-000008000000}" name="COMENTARIO" dataDxfId="29"/>
    <tableColumn id="9" xr3:uid="{00000000-0010-0000-0400-000009000000}" name="CORRECTAs/TOLERANCIA" dataDxfId="28"/>
    <tableColumn id="10" xr3:uid="{00000000-0010-0000-0400-00000A000000}" name="RESPUESTA 1" dataDxfId="27"/>
    <tableColumn id="11" xr3:uid="{00000000-0010-0000-0400-00000B000000}" name="COMENTARIO 1" dataDxfId="26"/>
    <tableColumn id="12" xr3:uid="{00000000-0010-0000-0400-00000C000000}" name="RESPUESTA 2" dataDxfId="25"/>
    <tableColumn id="13" xr3:uid="{00000000-0010-0000-0400-00000D000000}" name="COMENTARIO 2" dataDxfId="24"/>
    <tableColumn id="14" xr3:uid="{00000000-0010-0000-0400-00000E000000}" name="RESPUESTA 3" dataDxfId="23"/>
    <tableColumn id="15" xr3:uid="{00000000-0010-0000-0400-00000F000000}" name="COMENTARIO 3" dataDxfId="22"/>
    <tableColumn id="16" xr3:uid="{00000000-0010-0000-0400-000010000000}" name="RESPUESTA 4" dataDxfId="21"/>
    <tableColumn id="17" xr3:uid="{00000000-0010-0000-0400-000011000000}" name="COMENTARIO 4" dataDxfId="20"/>
    <tableColumn id="24" xr3:uid="{00000000-0010-0000-0400-000018000000}" name="RESPUESTA 5" dataDxfId="19"/>
    <tableColumn id="25" xr3:uid="{00000000-0010-0000-0400-000019000000}" name="COMENTARIO 5" dataDxfId="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Format" displayName="Format" ref="A1:I6" headerRowDxfId="17">
  <autoFilter ref="A1:I6" xr:uid="{00000000-0009-0000-0100-000009000000}"/>
  <tableColumns count="9">
    <tableColumn id="1" xr3:uid="{00000000-0010-0000-0100-000001000000}" name="Tipo de tarea" totalsRowLabel="Total"/>
    <tableColumn id="2" xr3:uid="{00000000-0010-0000-0100-000002000000}" name="Abreviatura"/>
    <tableColumn id="3" xr3:uid="{00000000-0010-0000-0100-000003000000}" name="Peso respecto al total"/>
    <tableColumn id="4" xr3:uid="{00000000-0010-0000-0100-000004000000}" name="Número de desechables"/>
    <tableColumn id="5" xr3:uid="{00000000-0010-0000-0100-000005000000}" name="Intentos Problemas"/>
    <tableColumn id="6" xr3:uid="{00000000-0010-0000-0100-000006000000}" name="Mostrar Respuesta" dataDxfId="16" totalsRowDxfId="15"/>
    <tableColumn id="7" xr3:uid="{00000000-0010-0000-0100-000007000000}" name="Peso de los problemas"/>
    <tableColumn id="8" xr3:uid="{00000000-0010-0000-0100-000008000000}" name="Randomice" totalsRowFunction="count" dataDxfId="14" totalsRowDxfId="13"/>
    <tableColumn id="9" xr3:uid="{00000000-0010-0000-0100-000009000000}" name="Cantidad" dataDxfId="12">
      <calculatedColumnFormula>COUNTIFS(Unidades[Tipo de Tarea],Format[[#This Row],[Tipo de tarea]])</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5000000}" name="RespuestaPreguntas" displayName="RespuestaPreguntas" ref="A1:A9" totalsRowShown="0" headerRowDxfId="11" dataDxfId="10" tableBorderDxfId="9">
  <autoFilter ref="A1:A9" xr:uid="{00000000-0009-0000-0100-00000C000000}"/>
  <tableColumns count="1">
    <tableColumn id="1" xr3:uid="{00000000-0010-0000-0500-000001000000}" name="Mostrar Respuesta" dataDxfId="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6000000}" name="Randomice" displayName="Randomice" ref="A1:A6" totalsRowShown="0" headerRowDxfId="7" dataDxfId="6" tableBorderDxfId="5">
  <autoFilter ref="A1:A6" xr:uid="{00000000-0009-0000-0100-00000E000000}"/>
  <tableColumns count="1">
    <tableColumn id="1" xr3:uid="{00000000-0010-0000-0600-000001000000}" name="Randomice" dataDxfId="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7000000}" name="TipoProblema" displayName="TipoProblema" ref="A1:A8" totalsRowShown="0" headerRowDxfId="3" dataDxfId="2" tableBorderDxfId="1">
  <autoFilter ref="A1:A8" xr:uid="{00000000-0009-0000-0100-00000F000000}"/>
  <tableColumns count="1">
    <tableColumn id="1" xr3:uid="{00000000-0010-0000-0700-000001000000}" name="Tipo Problema" dataDxfId="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Categorias" displayName="Categorias" ref="A1:A111" totalsRowShown="0">
  <autoFilter ref="A1:A111" xr:uid="{00000000-0009-0000-0100-000003000000}"/>
  <tableColumns count="1">
    <tableColumn id="1" xr3:uid="{00000000-0010-0000-0800-000001000000}" name="Categoria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oa.upv.es/excel2010/UNIDADES%20EN%20PDF/2_12%20Referencias%20relativas.pdf" TargetMode="External"/><Relationship Id="rId13" Type="http://schemas.openxmlformats.org/officeDocument/2006/relationships/drawing" Target="../drawings/drawing1.xml"/><Relationship Id="rId3" Type="http://schemas.openxmlformats.org/officeDocument/2006/relationships/hyperlink" Target="../../../../../../../../../../../oa/excel2010/UNIDADES%20EN%20PDF/2_13%20Referencias%20absolutas.pdf" TargetMode="External"/><Relationship Id="rId7" Type="http://schemas.openxmlformats.org/officeDocument/2006/relationships/hyperlink" Target="../../../../../../../../../../../oa/excel2010/UNIDADES%20EN%20PDF/1_3%20Iniciar%20y%20guardar%20un%20sesi%C3%83%C2%B3n%20de%20trabajo.pdf" TargetMode="External"/><Relationship Id="rId12" Type="http://schemas.openxmlformats.org/officeDocument/2006/relationships/hyperlink" Target="http://oa.upv.es/excel2010/UNIDADES%20EN%20PDF/5_2%20Crear%20un%20gr%C3%A1fico.pdf" TargetMode="External"/><Relationship Id="rId2" Type="http://schemas.openxmlformats.org/officeDocument/2006/relationships/hyperlink" Target="../../../../../../../../../../../oa/excel2010/UNIDADES%20EN%20PDF/2_11%20Referencias.pdf" TargetMode="External"/><Relationship Id="rId1" Type="http://schemas.openxmlformats.org/officeDocument/2006/relationships/hyperlink" Target="../../../../../../../../../../../oa/excel2010/UNIDADES%20EN%20PDF/1_17%20Expresiones%20encadenadas.pdf" TargetMode="External"/><Relationship Id="rId6" Type="http://schemas.openxmlformats.org/officeDocument/2006/relationships/hyperlink" Target="http://oa.upv.es/excel2010/UNIDADES%20EN%20PDF/1_2%20Concepto%20de%20hoja%20de%20c%C3%A1lculo.pdf" TargetMode="External"/><Relationship Id="rId11" Type="http://schemas.openxmlformats.org/officeDocument/2006/relationships/hyperlink" Target="http://oa.upv.es/excel2010/UNIDADES%20EN%20PDF/5_8%20Principales%20tipos%20de%20gr%C3%A1ficos.pdf" TargetMode="External"/><Relationship Id="rId5" Type="http://schemas.openxmlformats.org/officeDocument/2006/relationships/hyperlink" Target="../../../../../../../../../../../oa/excel2010/UNIDADES%20EN%20PDF/3_1%20Formatos%20para%20los%20datos.pdf" TargetMode="External"/><Relationship Id="rId10" Type="http://schemas.openxmlformats.org/officeDocument/2006/relationships/hyperlink" Target="http://oa.upv.es/excel2010/UNIDADES%20EN%20PDF/4_3%20Vista%20preliminar%20e%20impresi%C3%B3n.pdf" TargetMode="External"/><Relationship Id="rId4" Type="http://schemas.openxmlformats.org/officeDocument/2006/relationships/hyperlink" Target="../../../../../../../../../../../oa/excel2010/UNIDADES%20EN%20PDF/2_14%20Referencias%20mixtas.pdf" TargetMode="External"/><Relationship Id="rId9" Type="http://schemas.openxmlformats.org/officeDocument/2006/relationships/hyperlink" Target="http://oa.upv.es/excel2010/UNIDADES%20EN%20PDF/4_6%20Escalado.pdf"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www.upvx.es/condiciones" TargetMode="External"/><Relationship Id="rId7" Type="http://schemas.openxmlformats.org/officeDocument/2006/relationships/table" Target="../tables/table1.xml"/><Relationship Id="rId2" Type="http://schemas.openxmlformats.org/officeDocument/2006/relationships/hyperlink" Target="http://upvx.es/" TargetMode="External"/><Relationship Id="rId1" Type="http://schemas.openxmlformats.org/officeDocument/2006/relationships/hyperlink" Target="http://www.upv.es/" TargetMode="External"/><Relationship Id="rId6" Type="http://schemas.openxmlformats.org/officeDocument/2006/relationships/drawing" Target="../drawings/drawing2.xml"/><Relationship Id="rId5" Type="http://schemas.openxmlformats.org/officeDocument/2006/relationships/hyperlink" Target="http://groups.google.com/group/cursoexcel2010anuncios" TargetMode="External"/><Relationship Id="rId4" Type="http://schemas.openxmlformats.org/officeDocument/2006/relationships/hyperlink" Target="http://groups.google.com/group/cursoexcel2010"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pageSetUpPr fitToPage="1"/>
  </sheetPr>
  <dimension ref="A1:BQ223"/>
  <sheetViews>
    <sheetView topLeftCell="B1" workbookViewId="0">
      <pane ySplit="1" topLeftCell="A2" activePane="bottomLeft" state="frozen"/>
      <selection pane="bottomLeft" activeCell="G2" sqref="G2"/>
    </sheetView>
  </sheetViews>
  <sheetFormatPr baseColWidth="10" defaultColWidth="11.44140625" defaultRowHeight="14.4" x14ac:dyDescent="0.3"/>
  <cols>
    <col min="2" max="2" width="36.33203125" customWidth="1"/>
    <col min="3" max="3" width="13.6640625" customWidth="1"/>
    <col min="4" max="6" width="32.6640625" customWidth="1"/>
    <col min="8" max="8" width="32.6640625" customWidth="1"/>
    <col min="9" max="9" width="14.6640625" customWidth="1"/>
    <col min="10" max="10" width="13.44140625" customWidth="1"/>
    <col min="11" max="12" width="11.77734375" customWidth="1"/>
    <col min="13" max="13" width="17.44140625" customWidth="1"/>
    <col min="14" max="14" width="11.77734375" customWidth="1"/>
    <col min="15" max="15" width="13.6640625" customWidth="1"/>
    <col min="16" max="16" width="11.77734375" customWidth="1"/>
    <col min="19" max="19" width="15" bestFit="1" customWidth="1"/>
    <col min="20" max="20" width="21" customWidth="1"/>
    <col min="21" max="21" width="12.33203125" bestFit="1" customWidth="1"/>
    <col min="22" max="22" width="14.44140625" bestFit="1" customWidth="1"/>
    <col min="23" max="23" width="12.33203125" bestFit="1" customWidth="1"/>
    <col min="24" max="24" width="14.44140625" bestFit="1" customWidth="1"/>
    <col min="25" max="25" width="12.33203125" bestFit="1" customWidth="1"/>
    <col min="26" max="26" width="14.44140625" bestFit="1" customWidth="1"/>
    <col min="30" max="30" width="20.33203125" customWidth="1"/>
    <col min="35" max="35" width="13.44140625" customWidth="1"/>
    <col min="37" max="37" width="11.77734375" bestFit="1" customWidth="1"/>
    <col min="59" max="59" width="14.44140625" bestFit="1" customWidth="1"/>
  </cols>
  <sheetData>
    <row r="1" spans="1:69" ht="15" customHeight="1" x14ac:dyDescent="0.3">
      <c r="A1" t="s">
        <v>21</v>
      </c>
      <c r="B1" t="s">
        <v>22</v>
      </c>
      <c r="C1" t="s">
        <v>708</v>
      </c>
      <c r="D1" t="s">
        <v>709</v>
      </c>
      <c r="E1" t="s">
        <v>724</v>
      </c>
      <c r="G1" t="s">
        <v>20</v>
      </c>
      <c r="H1" t="s">
        <v>23</v>
      </c>
      <c r="I1" t="s">
        <v>24</v>
      </c>
      <c r="J1" t="s">
        <v>38</v>
      </c>
      <c r="K1" t="s">
        <v>47</v>
      </c>
      <c r="L1" t="s">
        <v>6</v>
      </c>
      <c r="M1" t="s">
        <v>725</v>
      </c>
      <c r="N1" t="s">
        <v>741</v>
      </c>
      <c r="O1" t="s">
        <v>74</v>
      </c>
      <c r="P1" t="s">
        <v>19</v>
      </c>
      <c r="Q1" t="s">
        <v>37</v>
      </c>
      <c r="R1" t="s">
        <v>7</v>
      </c>
      <c r="S1" t="s">
        <v>39</v>
      </c>
      <c r="T1" t="s">
        <v>746</v>
      </c>
      <c r="U1" t="s">
        <v>41</v>
      </c>
      <c r="V1" t="s">
        <v>42</v>
      </c>
      <c r="W1" t="s">
        <v>43</v>
      </c>
      <c r="X1" t="s">
        <v>44</v>
      </c>
      <c r="Y1" t="s">
        <v>45</v>
      </c>
      <c r="Z1" t="s">
        <v>46</v>
      </c>
      <c r="AB1" t="s">
        <v>58</v>
      </c>
      <c r="AC1" t="s">
        <v>59</v>
      </c>
      <c r="AD1" t="s">
        <v>39</v>
      </c>
      <c r="AF1" t="s">
        <v>41</v>
      </c>
      <c r="AG1" t="s">
        <v>42</v>
      </c>
      <c r="AH1" t="s">
        <v>43</v>
      </c>
      <c r="AI1" t="s">
        <v>44</v>
      </c>
      <c r="AJ1" t="s">
        <v>45</v>
      </c>
      <c r="AK1" t="s">
        <v>46</v>
      </c>
      <c r="AM1" t="s">
        <v>60</v>
      </c>
      <c r="AN1" t="s">
        <v>59</v>
      </c>
      <c r="AO1" t="s">
        <v>39</v>
      </c>
      <c r="AP1" t="s">
        <v>40</v>
      </c>
      <c r="AQ1" t="s">
        <v>41</v>
      </c>
      <c r="AR1" t="s">
        <v>42</v>
      </c>
      <c r="AS1" t="s">
        <v>43</v>
      </c>
      <c r="AT1" t="s">
        <v>44</v>
      </c>
      <c r="AU1" t="s">
        <v>45</v>
      </c>
      <c r="AV1" t="s">
        <v>46</v>
      </c>
      <c r="AX1" t="s">
        <v>61</v>
      </c>
      <c r="AY1" t="s">
        <v>59</v>
      </c>
      <c r="AZ1" t="s">
        <v>39</v>
      </c>
      <c r="BA1" t="s">
        <v>40</v>
      </c>
      <c r="BB1" t="s">
        <v>41</v>
      </c>
      <c r="BC1" t="s">
        <v>42</v>
      </c>
      <c r="BD1" t="s">
        <v>43</v>
      </c>
      <c r="BE1" t="s">
        <v>44</v>
      </c>
      <c r="BF1" t="s">
        <v>45</v>
      </c>
      <c r="BG1" t="s">
        <v>46</v>
      </c>
    </row>
    <row r="2" spans="1:69" ht="18" customHeight="1" x14ac:dyDescent="0.3">
      <c r="A2">
        <v>0</v>
      </c>
      <c r="B2" t="s">
        <v>36</v>
      </c>
      <c r="G2">
        <v>0</v>
      </c>
      <c r="H2" t="s">
        <v>77</v>
      </c>
      <c r="I2" t="s">
        <v>75</v>
      </c>
      <c r="J2" s="13" t="s">
        <v>438</v>
      </c>
      <c r="K2" t="s">
        <v>78</v>
      </c>
      <c r="AF2" t="str">
        <f>IF(W2="","",CONCATENATE(#REF!,X2,#REF!,W2))</f>
        <v/>
      </c>
      <c r="AG2" t="str">
        <f>IF(Y2="","",CONCATENATE(#REF!,Z2,#REF!,Y2))</f>
        <v/>
      </c>
      <c r="AI2" t="str">
        <f>+IF(AND(Q2&lt;&gt;"",U2=""),CONCATENATE(#REF!,htmlchar(#REF!),#REF!),"")</f>
        <v/>
      </c>
    </row>
    <row r="3" spans="1:69" ht="18" customHeight="1" x14ac:dyDescent="0.3">
      <c r="A3">
        <v>1</v>
      </c>
      <c r="B3" t="s">
        <v>76</v>
      </c>
      <c r="C3">
        <v>1</v>
      </c>
      <c r="D3" t="s">
        <v>731</v>
      </c>
      <c r="F3" s="17"/>
      <c r="G3">
        <v>1</v>
      </c>
      <c r="H3" t="s">
        <v>732</v>
      </c>
      <c r="I3" t="s">
        <v>75</v>
      </c>
      <c r="L3" s="13" t="s">
        <v>737</v>
      </c>
      <c r="M3" s="13"/>
      <c r="O3" s="2"/>
    </row>
    <row r="4" spans="1:69" ht="18" customHeight="1" x14ac:dyDescent="0.3">
      <c r="A4">
        <v>1</v>
      </c>
      <c r="B4" t="s">
        <v>76</v>
      </c>
      <c r="C4">
        <v>1</v>
      </c>
      <c r="F4" s="17"/>
      <c r="G4">
        <f>SUM(G3,1)</f>
        <v>2</v>
      </c>
      <c r="H4" t="s">
        <v>733</v>
      </c>
      <c r="I4" t="s">
        <v>75</v>
      </c>
      <c r="L4" s="13" t="s">
        <v>738</v>
      </c>
      <c r="M4" s="13"/>
      <c r="O4" s="2"/>
    </row>
    <row r="5" spans="1:69" ht="18" customHeight="1" x14ac:dyDescent="0.3">
      <c r="A5">
        <v>1</v>
      </c>
      <c r="B5" t="s">
        <v>76</v>
      </c>
      <c r="C5">
        <v>2</v>
      </c>
      <c r="D5" t="s">
        <v>718</v>
      </c>
      <c r="E5" t="s">
        <v>20</v>
      </c>
      <c r="F5" s="17"/>
      <c r="G5">
        <f t="shared" ref="G5:G33" si="0">SUM(G4,1)</f>
        <v>3</v>
      </c>
      <c r="H5" t="s">
        <v>734</v>
      </c>
      <c r="I5" t="s">
        <v>75</v>
      </c>
      <c r="K5" t="s">
        <v>78</v>
      </c>
      <c r="L5" s="13"/>
      <c r="M5" s="13" t="s">
        <v>739</v>
      </c>
      <c r="O5" s="2"/>
    </row>
    <row r="6" spans="1:69" ht="18" customHeight="1" x14ac:dyDescent="0.3">
      <c r="A6">
        <v>1</v>
      </c>
      <c r="B6" t="s">
        <v>76</v>
      </c>
      <c r="C6">
        <v>2</v>
      </c>
      <c r="G6">
        <f t="shared" si="0"/>
        <v>4</v>
      </c>
      <c r="H6" t="s">
        <v>79</v>
      </c>
      <c r="I6" t="s">
        <v>75</v>
      </c>
      <c r="K6" t="s">
        <v>80</v>
      </c>
      <c r="L6" s="13"/>
      <c r="M6" s="13" t="s">
        <v>740</v>
      </c>
      <c r="N6">
        <v>1</v>
      </c>
      <c r="O6" s="2" t="s">
        <v>601</v>
      </c>
      <c r="Q6" s="13" t="s">
        <v>424</v>
      </c>
      <c r="R6">
        <v>4</v>
      </c>
      <c r="S6" s="13" t="s">
        <v>425</v>
      </c>
      <c r="T6" s="13"/>
      <c r="U6" s="13" t="s">
        <v>426</v>
      </c>
      <c r="V6" t="s">
        <v>736</v>
      </c>
      <c r="W6" s="13" t="s">
        <v>427</v>
      </c>
      <c r="X6" t="s">
        <v>736</v>
      </c>
      <c r="Y6" s="13" t="s">
        <v>735</v>
      </c>
    </row>
    <row r="7" spans="1:69" ht="18" customHeight="1" x14ac:dyDescent="0.3">
      <c r="A7">
        <v>1</v>
      </c>
      <c r="B7" t="s">
        <v>76</v>
      </c>
      <c r="C7">
        <v>2</v>
      </c>
      <c r="G7">
        <f t="shared" si="0"/>
        <v>5</v>
      </c>
      <c r="H7" t="s">
        <v>743</v>
      </c>
      <c r="I7" t="s">
        <v>75</v>
      </c>
      <c r="L7" s="21" t="s">
        <v>744</v>
      </c>
      <c r="M7" s="13"/>
      <c r="N7">
        <v>1</v>
      </c>
      <c r="O7" s="2"/>
      <c r="Q7" s="13"/>
      <c r="S7" s="13"/>
      <c r="U7" s="13"/>
      <c r="W7" s="13"/>
      <c r="Y7" s="13"/>
    </row>
    <row r="8" spans="1:69" ht="18" customHeight="1" x14ac:dyDescent="0.3">
      <c r="A8">
        <v>1</v>
      </c>
      <c r="B8" t="s">
        <v>76</v>
      </c>
      <c r="C8">
        <v>2</v>
      </c>
      <c r="G8">
        <f t="shared" si="0"/>
        <v>6</v>
      </c>
      <c r="H8" t="s">
        <v>81</v>
      </c>
      <c r="I8" t="s">
        <v>75</v>
      </c>
      <c r="K8" t="s">
        <v>82</v>
      </c>
      <c r="L8" s="13"/>
      <c r="M8" s="13" t="s">
        <v>742</v>
      </c>
      <c r="N8">
        <v>1</v>
      </c>
      <c r="O8" s="2" t="s">
        <v>602</v>
      </c>
    </row>
    <row r="9" spans="1:69" ht="18" customHeight="1" x14ac:dyDescent="0.3">
      <c r="A9">
        <v>1</v>
      </c>
      <c r="B9" t="s">
        <v>76</v>
      </c>
      <c r="C9">
        <v>2</v>
      </c>
      <c r="G9">
        <f t="shared" si="0"/>
        <v>7</v>
      </c>
      <c r="H9" t="s">
        <v>83</v>
      </c>
      <c r="I9" t="s">
        <v>75</v>
      </c>
      <c r="K9" t="s">
        <v>84</v>
      </c>
      <c r="L9" s="13"/>
      <c r="M9" s="21" t="s">
        <v>745</v>
      </c>
      <c r="N9">
        <v>1</v>
      </c>
      <c r="O9" t="s">
        <v>603</v>
      </c>
      <c r="Q9" s="13" t="s">
        <v>571</v>
      </c>
      <c r="R9">
        <v>3</v>
      </c>
      <c r="S9" s="13">
        <v>4</v>
      </c>
      <c r="T9" s="13" t="s">
        <v>747</v>
      </c>
      <c r="U9" s="13">
        <v>0</v>
      </c>
      <c r="V9" t="s">
        <v>573</v>
      </c>
      <c r="W9" s="13">
        <v>1</v>
      </c>
      <c r="X9" t="s">
        <v>573</v>
      </c>
      <c r="Y9" s="13">
        <v>3</v>
      </c>
      <c r="Z9" t="s">
        <v>572</v>
      </c>
    </row>
    <row r="10" spans="1:69" ht="18" customHeight="1" x14ac:dyDescent="0.3">
      <c r="A10">
        <v>1</v>
      </c>
      <c r="B10" t="s">
        <v>76</v>
      </c>
      <c r="C10">
        <v>2</v>
      </c>
      <c r="G10">
        <f t="shared" si="0"/>
        <v>8</v>
      </c>
      <c r="H10" t="s">
        <v>85</v>
      </c>
      <c r="I10" t="s">
        <v>75</v>
      </c>
      <c r="K10" t="s">
        <v>86</v>
      </c>
      <c r="L10" s="13"/>
      <c r="M10" s="13" t="s">
        <v>748</v>
      </c>
      <c r="N10">
        <v>1</v>
      </c>
      <c r="O10" t="s">
        <v>604</v>
      </c>
    </row>
    <row r="11" spans="1:69" ht="18" customHeight="1" x14ac:dyDescent="0.3">
      <c r="A11">
        <v>1</v>
      </c>
      <c r="B11" t="s">
        <v>76</v>
      </c>
      <c r="C11">
        <v>2</v>
      </c>
      <c r="G11">
        <f t="shared" si="0"/>
        <v>9</v>
      </c>
      <c r="H11" t="s">
        <v>87</v>
      </c>
      <c r="I11" t="s">
        <v>75</v>
      </c>
      <c r="K11" t="s">
        <v>88</v>
      </c>
      <c r="L11" s="13"/>
      <c r="M11" s="13" t="s">
        <v>749</v>
      </c>
      <c r="N11">
        <v>1</v>
      </c>
      <c r="O11" t="s">
        <v>605</v>
      </c>
      <c r="Q11" s="13" t="s">
        <v>423</v>
      </c>
      <c r="R11">
        <v>3</v>
      </c>
      <c r="S11" s="13" t="s">
        <v>750</v>
      </c>
      <c r="T11" s="13" t="s">
        <v>754</v>
      </c>
      <c r="U11" s="13" t="s">
        <v>751</v>
      </c>
      <c r="V11" t="s">
        <v>573</v>
      </c>
      <c r="W11" s="13" t="s">
        <v>752</v>
      </c>
      <c r="X11" t="s">
        <v>4</v>
      </c>
      <c r="Y11" s="13" t="s">
        <v>753</v>
      </c>
      <c r="Z11" t="s">
        <v>573</v>
      </c>
    </row>
    <row r="12" spans="1:69" ht="18" customHeight="1" x14ac:dyDescent="0.3">
      <c r="A12">
        <v>1</v>
      </c>
      <c r="B12" t="s">
        <v>76</v>
      </c>
      <c r="C12">
        <v>3</v>
      </c>
      <c r="D12" t="s">
        <v>719</v>
      </c>
      <c r="E12" t="s">
        <v>20</v>
      </c>
      <c r="F12" s="17"/>
      <c r="G12">
        <f t="shared" si="0"/>
        <v>10</v>
      </c>
      <c r="H12" t="s">
        <v>734</v>
      </c>
      <c r="I12" t="s">
        <v>75</v>
      </c>
      <c r="K12" t="s">
        <v>89</v>
      </c>
      <c r="L12" s="13"/>
      <c r="M12" s="13"/>
    </row>
    <row r="13" spans="1:69" ht="18" customHeight="1" x14ac:dyDescent="0.3">
      <c r="A13">
        <v>1</v>
      </c>
      <c r="B13" t="s">
        <v>76</v>
      </c>
      <c r="C13">
        <v>3</v>
      </c>
      <c r="G13">
        <f t="shared" si="0"/>
        <v>11</v>
      </c>
      <c r="H13" t="s">
        <v>90</v>
      </c>
      <c r="I13" t="s">
        <v>75</v>
      </c>
      <c r="K13" t="s">
        <v>91</v>
      </c>
      <c r="L13" s="13"/>
      <c r="M13" s="21" t="s">
        <v>755</v>
      </c>
      <c r="N13">
        <v>1</v>
      </c>
      <c r="O13" t="s">
        <v>606</v>
      </c>
      <c r="Q13" s="13" t="s">
        <v>428</v>
      </c>
      <c r="R13">
        <v>4</v>
      </c>
      <c r="S13" s="13" t="s">
        <v>429</v>
      </c>
      <c r="T13" s="13" t="s">
        <v>758</v>
      </c>
      <c r="U13" s="13" t="s">
        <v>430</v>
      </c>
      <c r="V13" t="s">
        <v>759</v>
      </c>
      <c r="W13" s="13" t="s">
        <v>431</v>
      </c>
      <c r="X13" t="s">
        <v>759</v>
      </c>
      <c r="Y13" s="13" t="s">
        <v>757</v>
      </c>
      <c r="Z13" t="s">
        <v>4</v>
      </c>
    </row>
    <row r="14" spans="1:69" ht="18" customHeight="1" x14ac:dyDescent="0.3">
      <c r="A14">
        <v>1</v>
      </c>
      <c r="B14" t="s">
        <v>76</v>
      </c>
      <c r="C14">
        <v>3</v>
      </c>
      <c r="G14">
        <f t="shared" si="0"/>
        <v>12</v>
      </c>
      <c r="H14" t="s">
        <v>92</v>
      </c>
      <c r="I14" t="s">
        <v>75</v>
      </c>
      <c r="K14" t="s">
        <v>93</v>
      </c>
      <c r="L14" s="13"/>
      <c r="M14" s="13" t="s">
        <v>756</v>
      </c>
      <c r="N14">
        <v>1</v>
      </c>
      <c r="O14" t="s">
        <v>607</v>
      </c>
      <c r="P14" s="1"/>
      <c r="Q14" s="13" t="s">
        <v>760</v>
      </c>
      <c r="R14">
        <v>3</v>
      </c>
      <c r="S14" s="13" t="s">
        <v>761</v>
      </c>
      <c r="T14" s="13" t="s">
        <v>766</v>
      </c>
      <c r="U14" s="13" t="s">
        <v>763</v>
      </c>
      <c r="V14" t="s">
        <v>762</v>
      </c>
      <c r="W14" s="13" t="s">
        <v>764</v>
      </c>
      <c r="X14" t="s">
        <v>4</v>
      </c>
      <c r="Y14" s="13" t="s">
        <v>765</v>
      </c>
      <c r="Z14" t="s">
        <v>762</v>
      </c>
      <c r="BC14" s="8"/>
      <c r="BD14" s="8"/>
      <c r="BE14" s="8"/>
      <c r="BF14" s="8"/>
      <c r="BG14" s="8"/>
      <c r="BH14" s="8"/>
      <c r="BI14" s="8"/>
      <c r="BJ14" s="8"/>
      <c r="BK14" s="8"/>
      <c r="BL14" s="8"/>
      <c r="BM14" s="8"/>
      <c r="BN14" s="8"/>
      <c r="BO14" s="8"/>
      <c r="BP14" s="8"/>
      <c r="BQ14" s="8"/>
    </row>
    <row r="15" spans="1:69" ht="18" customHeight="1" x14ac:dyDescent="0.3">
      <c r="A15">
        <v>1</v>
      </c>
      <c r="B15" t="s">
        <v>76</v>
      </c>
      <c r="C15">
        <v>3</v>
      </c>
      <c r="G15">
        <f t="shared" si="0"/>
        <v>13</v>
      </c>
      <c r="H15" t="s">
        <v>94</v>
      </c>
      <c r="I15" t="s">
        <v>75</v>
      </c>
      <c r="K15" t="s">
        <v>95</v>
      </c>
      <c r="L15" s="13"/>
      <c r="M15" s="13" t="s">
        <v>767</v>
      </c>
      <c r="N15">
        <v>1</v>
      </c>
      <c r="O15" t="s">
        <v>608</v>
      </c>
      <c r="P15" s="1"/>
      <c r="BC15" s="8"/>
      <c r="BD15" s="8"/>
      <c r="BE15" s="8"/>
      <c r="BF15" s="8"/>
      <c r="BG15" s="8"/>
      <c r="BH15" s="8"/>
      <c r="BI15" s="8"/>
      <c r="BJ15" s="8"/>
      <c r="BK15" s="8"/>
      <c r="BL15" s="8"/>
      <c r="BM15" s="8"/>
      <c r="BN15" s="8"/>
      <c r="BO15" s="8"/>
      <c r="BP15" s="8"/>
      <c r="BQ15" s="8"/>
    </row>
    <row r="16" spans="1:69" ht="18" customHeight="1" x14ac:dyDescent="0.3">
      <c r="A16">
        <v>1</v>
      </c>
      <c r="B16" t="s">
        <v>76</v>
      </c>
      <c r="C16">
        <v>3</v>
      </c>
      <c r="G16">
        <f t="shared" si="0"/>
        <v>14</v>
      </c>
      <c r="H16" t="s">
        <v>96</v>
      </c>
      <c r="I16" t="s">
        <v>75</v>
      </c>
      <c r="K16" t="s">
        <v>97</v>
      </c>
      <c r="L16" s="13"/>
      <c r="M16" s="13" t="s">
        <v>768</v>
      </c>
      <c r="N16">
        <v>1</v>
      </c>
      <c r="O16" s="2" t="s">
        <v>609</v>
      </c>
      <c r="Q16" s="22" t="s">
        <v>432</v>
      </c>
      <c r="R16" s="8">
        <v>2</v>
      </c>
      <c r="S16" s="13" t="s">
        <v>433</v>
      </c>
      <c r="T16" s="22" t="s">
        <v>770</v>
      </c>
      <c r="U16" s="22" t="s">
        <v>434</v>
      </c>
      <c r="V16" s="8" t="s">
        <v>4</v>
      </c>
      <c r="W16" s="22" t="s">
        <v>435</v>
      </c>
      <c r="X16" s="8" t="s">
        <v>769</v>
      </c>
      <c r="Y16" s="22" t="s">
        <v>436</v>
      </c>
      <c r="Z16" s="8" t="s">
        <v>769</v>
      </c>
      <c r="AB16" s="8"/>
      <c r="AC16" s="8"/>
      <c r="AD16" s="8"/>
      <c r="AE16" s="8"/>
      <c r="AF16" s="8"/>
      <c r="AG16" s="8"/>
      <c r="AH16" s="8"/>
      <c r="AI16" s="8"/>
      <c r="AJ16" s="8"/>
      <c r="AK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row>
    <row r="17" spans="1:69" ht="18" customHeight="1" x14ac:dyDescent="0.3">
      <c r="A17">
        <v>1</v>
      </c>
      <c r="B17" t="s">
        <v>76</v>
      </c>
      <c r="C17">
        <v>4</v>
      </c>
      <c r="D17" t="s">
        <v>98</v>
      </c>
      <c r="E17" t="s">
        <v>20</v>
      </c>
      <c r="F17" s="17"/>
      <c r="G17">
        <f t="shared" si="0"/>
        <v>15</v>
      </c>
      <c r="H17" t="s">
        <v>734</v>
      </c>
      <c r="I17" t="s">
        <v>75</v>
      </c>
      <c r="K17" t="s">
        <v>99</v>
      </c>
      <c r="L17" s="13"/>
      <c r="M17" s="13"/>
      <c r="Q17" s="8"/>
      <c r="R17" s="8"/>
      <c r="T17" s="8"/>
      <c r="U17" s="8"/>
      <c r="V17" s="8"/>
      <c r="W17" s="8"/>
      <c r="X17" s="8"/>
      <c r="Y17" s="8"/>
      <c r="Z17" s="8"/>
      <c r="AB17" s="8"/>
      <c r="AC17" s="8"/>
      <c r="AD17" s="8"/>
      <c r="AE17" s="8"/>
      <c r="AF17" s="8"/>
      <c r="AG17" s="8"/>
      <c r="AH17" s="8"/>
      <c r="AI17" s="8"/>
      <c r="AJ17" s="8"/>
      <c r="AK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row>
    <row r="18" spans="1:69" ht="18" customHeight="1" x14ac:dyDescent="0.3">
      <c r="A18">
        <v>1</v>
      </c>
      <c r="B18" t="s">
        <v>76</v>
      </c>
      <c r="C18">
        <v>4</v>
      </c>
      <c r="F18" s="17"/>
      <c r="G18">
        <f t="shared" si="0"/>
        <v>16</v>
      </c>
      <c r="H18" t="s">
        <v>100</v>
      </c>
      <c r="I18" t="s">
        <v>75</v>
      </c>
      <c r="K18" t="s">
        <v>101</v>
      </c>
      <c r="L18" s="13"/>
      <c r="M18" s="13" t="s">
        <v>776</v>
      </c>
      <c r="N18">
        <v>1</v>
      </c>
      <c r="O18" t="s">
        <v>610</v>
      </c>
      <c r="Q18" s="8"/>
      <c r="R18" s="8"/>
      <c r="T18" s="8"/>
      <c r="U18" s="8"/>
      <c r="V18" s="8"/>
      <c r="W18" s="8"/>
      <c r="X18" s="8"/>
      <c r="Y18" s="8"/>
      <c r="Z18" s="8"/>
      <c r="AB18" s="8"/>
      <c r="AC18" s="8"/>
      <c r="AD18" s="8"/>
      <c r="AE18" s="8"/>
      <c r="AF18" s="8"/>
      <c r="AG18" s="8"/>
      <c r="AH18" s="8"/>
      <c r="AI18" s="8"/>
      <c r="AJ18" s="8"/>
      <c r="AK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row>
    <row r="19" spans="1:69" ht="18" customHeight="1" x14ac:dyDescent="0.3">
      <c r="A19">
        <v>1</v>
      </c>
      <c r="B19" t="s">
        <v>76</v>
      </c>
      <c r="C19">
        <v>4</v>
      </c>
      <c r="F19" s="17"/>
      <c r="G19">
        <f t="shared" si="0"/>
        <v>17</v>
      </c>
      <c r="H19" t="s">
        <v>102</v>
      </c>
      <c r="I19" t="s">
        <v>75</v>
      </c>
      <c r="K19" t="s">
        <v>103</v>
      </c>
      <c r="L19" s="13"/>
      <c r="M19" s="21" t="s">
        <v>777</v>
      </c>
      <c r="N19">
        <v>1</v>
      </c>
      <c r="O19" t="s">
        <v>611</v>
      </c>
      <c r="Q19" s="22" t="s">
        <v>574</v>
      </c>
      <c r="R19" s="8">
        <v>4</v>
      </c>
      <c r="S19" s="13" t="s">
        <v>771</v>
      </c>
      <c r="T19" s="22" t="s">
        <v>775</v>
      </c>
      <c r="U19" s="22" t="s">
        <v>772</v>
      </c>
      <c r="V19" s="8" t="s">
        <v>769</v>
      </c>
      <c r="W19" s="22" t="s">
        <v>773</v>
      </c>
      <c r="X19" s="8" t="s">
        <v>769</v>
      </c>
      <c r="Y19" s="22" t="s">
        <v>774</v>
      </c>
      <c r="Z19" s="8" t="s">
        <v>4</v>
      </c>
      <c r="AB19" s="22" t="s">
        <v>778</v>
      </c>
      <c r="AC19" s="8">
        <v>4</v>
      </c>
      <c r="AD19" s="22" t="s">
        <v>779</v>
      </c>
      <c r="AE19" s="22" t="s">
        <v>781</v>
      </c>
      <c r="AF19" s="22" t="s">
        <v>782</v>
      </c>
      <c r="AG19" s="8" t="s">
        <v>780</v>
      </c>
      <c r="AH19" s="22" t="s">
        <v>783</v>
      </c>
      <c r="AI19" s="8" t="s">
        <v>780</v>
      </c>
      <c r="AJ19" s="22" t="s">
        <v>784</v>
      </c>
      <c r="AK19" s="8" t="s">
        <v>4</v>
      </c>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row>
    <row r="20" spans="1:69" ht="18" customHeight="1" x14ac:dyDescent="0.3">
      <c r="A20">
        <v>1</v>
      </c>
      <c r="B20" t="s">
        <v>76</v>
      </c>
      <c r="C20">
        <v>4</v>
      </c>
      <c r="F20" s="17"/>
      <c r="G20">
        <f t="shared" si="0"/>
        <v>18</v>
      </c>
      <c r="H20" t="s">
        <v>106</v>
      </c>
      <c r="I20" t="s">
        <v>75</v>
      </c>
      <c r="K20" t="s">
        <v>107</v>
      </c>
      <c r="L20" s="13"/>
      <c r="M20" s="13" t="s">
        <v>785</v>
      </c>
      <c r="N20">
        <v>1</v>
      </c>
      <c r="O20" t="s">
        <v>613</v>
      </c>
      <c r="Q20" s="22" t="s">
        <v>437</v>
      </c>
      <c r="R20" s="8">
        <v>4</v>
      </c>
      <c r="S20" s="13" t="s">
        <v>787</v>
      </c>
      <c r="T20" s="22" t="s">
        <v>786</v>
      </c>
      <c r="U20" s="22" t="s">
        <v>788</v>
      </c>
      <c r="V20" s="8" t="s">
        <v>769</v>
      </c>
      <c r="W20" s="22" t="s">
        <v>789</v>
      </c>
      <c r="X20" s="8" t="s">
        <v>769</v>
      </c>
      <c r="Y20" s="22" t="s">
        <v>790</v>
      </c>
      <c r="Z20" s="8" t="s">
        <v>4</v>
      </c>
      <c r="AB20" s="8"/>
      <c r="AC20" s="8"/>
      <c r="AD20" s="8"/>
      <c r="AE20" s="8"/>
      <c r="AF20" s="8"/>
      <c r="AG20" s="8"/>
      <c r="AH20" s="8"/>
      <c r="AI20" s="8"/>
      <c r="AJ20" s="8"/>
      <c r="AK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row>
    <row r="21" spans="1:69" ht="18" customHeight="1" x14ac:dyDescent="0.3">
      <c r="A21">
        <v>1</v>
      </c>
      <c r="B21" t="s">
        <v>76</v>
      </c>
      <c r="C21">
        <v>4</v>
      </c>
      <c r="F21" s="17"/>
      <c r="G21">
        <f>SUM(G20,1)</f>
        <v>19</v>
      </c>
      <c r="H21" t="s">
        <v>104</v>
      </c>
      <c r="I21" t="s">
        <v>75</v>
      </c>
      <c r="K21" t="s">
        <v>105</v>
      </c>
      <c r="L21" s="13"/>
      <c r="M21" s="13" t="s">
        <v>791</v>
      </c>
      <c r="N21">
        <v>1</v>
      </c>
      <c r="O21" t="s">
        <v>612</v>
      </c>
      <c r="Q21" s="22" t="s">
        <v>799</v>
      </c>
      <c r="R21" s="8">
        <v>4</v>
      </c>
      <c r="S21" s="13" t="s">
        <v>792</v>
      </c>
      <c r="T21" s="22" t="s">
        <v>793</v>
      </c>
      <c r="U21" s="22" t="s">
        <v>795</v>
      </c>
      <c r="V21" s="8" t="s">
        <v>794</v>
      </c>
      <c r="W21" s="22" t="s">
        <v>796</v>
      </c>
      <c r="X21" s="8" t="s">
        <v>794</v>
      </c>
      <c r="Y21" s="22" t="s">
        <v>797</v>
      </c>
      <c r="Z21" s="8" t="s">
        <v>4</v>
      </c>
      <c r="AB21" s="22" t="s">
        <v>800</v>
      </c>
      <c r="AC21" s="8">
        <v>4</v>
      </c>
      <c r="AD21" s="22" t="s">
        <v>801</v>
      </c>
      <c r="AE21" s="22" t="s">
        <v>793</v>
      </c>
      <c r="AF21" s="22" t="s">
        <v>802</v>
      </c>
      <c r="AG21" s="8" t="s">
        <v>805</v>
      </c>
      <c r="AH21" s="22" t="s">
        <v>803</v>
      </c>
      <c r="AI21" s="8" t="s">
        <v>805</v>
      </c>
      <c r="AJ21" s="22" t="s">
        <v>804</v>
      </c>
      <c r="AK21" s="8" t="s">
        <v>4</v>
      </c>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row>
    <row r="22" spans="1:69" ht="18" customHeight="1" x14ac:dyDescent="0.3">
      <c r="A22">
        <v>1</v>
      </c>
      <c r="B22" t="s">
        <v>76</v>
      </c>
      <c r="C22">
        <v>4</v>
      </c>
      <c r="G22">
        <f t="shared" si="0"/>
        <v>20</v>
      </c>
      <c r="H22" t="s">
        <v>108</v>
      </c>
      <c r="I22" t="s">
        <v>75</v>
      </c>
      <c r="K22" t="s">
        <v>109</v>
      </c>
      <c r="L22" s="13"/>
      <c r="M22" s="13" t="s">
        <v>798</v>
      </c>
      <c r="N22">
        <v>1</v>
      </c>
      <c r="O22" s="2" t="s">
        <v>614</v>
      </c>
      <c r="Q22" s="13" t="s">
        <v>806</v>
      </c>
      <c r="R22" s="8">
        <v>1</v>
      </c>
      <c r="S22" s="14" t="s">
        <v>807</v>
      </c>
      <c r="T22" s="22" t="s">
        <v>808</v>
      </c>
      <c r="U22" s="14" t="s">
        <v>822</v>
      </c>
      <c r="V22" s="8" t="s">
        <v>809</v>
      </c>
      <c r="W22" s="14" t="s">
        <v>823</v>
      </c>
      <c r="X22" t="s">
        <v>809</v>
      </c>
      <c r="Y22" s="14" t="s">
        <v>824</v>
      </c>
      <c r="Z22" t="s">
        <v>809</v>
      </c>
      <c r="AB22" s="8"/>
      <c r="AC22" s="8"/>
      <c r="AD22" s="8"/>
      <c r="AE22" s="8"/>
      <c r="AF22" s="8"/>
      <c r="AG22" s="8"/>
      <c r="AH22" s="8"/>
      <c r="AI22" s="8"/>
      <c r="AJ22" s="8"/>
      <c r="AK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row>
    <row r="23" spans="1:69" ht="18" customHeight="1" x14ac:dyDescent="0.3">
      <c r="A23">
        <v>1</v>
      </c>
      <c r="B23" t="s">
        <v>76</v>
      </c>
      <c r="C23">
        <v>5</v>
      </c>
      <c r="D23" t="s">
        <v>810</v>
      </c>
      <c r="F23" s="17"/>
      <c r="G23">
        <f t="shared" si="0"/>
        <v>21</v>
      </c>
      <c r="H23" t="s">
        <v>810</v>
      </c>
      <c r="I23" t="s">
        <v>75</v>
      </c>
      <c r="L23" s="13" t="s">
        <v>813</v>
      </c>
      <c r="M23" s="13"/>
      <c r="O23" s="2"/>
    </row>
    <row r="24" spans="1:69" ht="18" customHeight="1" x14ac:dyDescent="0.3">
      <c r="A24">
        <v>1</v>
      </c>
      <c r="B24" t="s">
        <v>76</v>
      </c>
      <c r="C24">
        <v>5</v>
      </c>
      <c r="F24" s="17"/>
      <c r="G24">
        <f t="shared" si="0"/>
        <v>22</v>
      </c>
      <c r="H24" t="s">
        <v>811</v>
      </c>
      <c r="I24" t="s">
        <v>75</v>
      </c>
      <c r="L24" s="13" t="s">
        <v>812</v>
      </c>
      <c r="M24" s="13"/>
      <c r="O24" s="2"/>
    </row>
    <row r="25" spans="1:69" ht="18" customHeight="1" x14ac:dyDescent="0.3">
      <c r="A25">
        <v>1</v>
      </c>
      <c r="B25" t="s">
        <v>76</v>
      </c>
      <c r="C25">
        <v>6</v>
      </c>
      <c r="D25" t="s">
        <v>720</v>
      </c>
      <c r="E25" t="s">
        <v>1143</v>
      </c>
      <c r="F25" s="17"/>
      <c r="G25">
        <f t="shared" si="0"/>
        <v>23</v>
      </c>
      <c r="H25" t="s">
        <v>110</v>
      </c>
      <c r="I25" t="s">
        <v>75</v>
      </c>
      <c r="L25" s="13" t="s">
        <v>815</v>
      </c>
      <c r="M25" s="13"/>
      <c r="N25">
        <v>1</v>
      </c>
      <c r="O25" s="2"/>
      <c r="AB25" s="8"/>
      <c r="AC25" s="8"/>
      <c r="AD25" s="8"/>
      <c r="AE25" s="8"/>
      <c r="AF25" s="8"/>
      <c r="AG25" s="8"/>
      <c r="AH25" s="8"/>
      <c r="AI25" s="8"/>
      <c r="AJ25" s="8"/>
      <c r="AK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row>
    <row r="26" spans="1:69" ht="18" customHeight="1" x14ac:dyDescent="0.3">
      <c r="A26">
        <v>1</v>
      </c>
      <c r="B26" t="s">
        <v>76</v>
      </c>
      <c r="C26">
        <v>6</v>
      </c>
      <c r="F26" s="17"/>
      <c r="G26">
        <f t="shared" si="0"/>
        <v>24</v>
      </c>
      <c r="H26" t="s">
        <v>814</v>
      </c>
      <c r="I26" t="s">
        <v>75</v>
      </c>
      <c r="K26" t="s">
        <v>111</v>
      </c>
      <c r="L26" s="13" t="s">
        <v>892</v>
      </c>
      <c r="M26" s="13"/>
      <c r="N26">
        <v>1</v>
      </c>
      <c r="O26" s="2"/>
      <c r="AB26" s="8"/>
      <c r="AC26" s="8"/>
      <c r="AD26" s="8"/>
      <c r="AE26" s="8"/>
      <c r="AF26" s="8"/>
      <c r="AG26" s="8"/>
      <c r="AH26" s="8"/>
      <c r="AI26" s="8"/>
      <c r="AJ26" s="8"/>
      <c r="AK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row>
    <row r="27" spans="1:69" ht="18" customHeight="1" x14ac:dyDescent="0.3">
      <c r="A27">
        <v>1</v>
      </c>
      <c r="B27" t="s">
        <v>76</v>
      </c>
      <c r="C27">
        <v>6</v>
      </c>
      <c r="F27" s="17"/>
      <c r="G27">
        <f t="shared" si="0"/>
        <v>25</v>
      </c>
      <c r="H27" t="s">
        <v>112</v>
      </c>
      <c r="I27" t="s">
        <v>75</v>
      </c>
      <c r="L27" s="13" t="s">
        <v>819</v>
      </c>
      <c r="M27" s="13"/>
      <c r="N27">
        <v>1</v>
      </c>
      <c r="O27" s="2"/>
      <c r="AB27" s="8"/>
      <c r="AC27" s="8"/>
      <c r="AD27" s="8"/>
      <c r="AE27" s="8"/>
      <c r="AF27" s="8"/>
      <c r="AG27" s="8"/>
      <c r="AH27" s="8"/>
      <c r="AI27" s="8"/>
      <c r="AJ27" s="8"/>
      <c r="AK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row>
    <row r="28" spans="1:69" ht="18" customHeight="1" x14ac:dyDescent="0.3">
      <c r="A28">
        <v>1</v>
      </c>
      <c r="B28" t="s">
        <v>76</v>
      </c>
      <c r="C28">
        <v>6</v>
      </c>
      <c r="G28">
        <f t="shared" si="0"/>
        <v>26</v>
      </c>
      <c r="H28" t="s">
        <v>816</v>
      </c>
      <c r="I28" t="s">
        <v>75</v>
      </c>
      <c r="K28" t="s">
        <v>113</v>
      </c>
      <c r="L28" s="13"/>
      <c r="M28" s="13"/>
      <c r="N28">
        <v>1</v>
      </c>
      <c r="O28" s="2"/>
      <c r="AB28" s="8"/>
      <c r="AC28" s="8"/>
      <c r="AD28" s="8"/>
      <c r="AE28" s="8"/>
      <c r="AF28" s="8"/>
      <c r="AG28" s="8"/>
      <c r="AH28" s="8"/>
      <c r="AI28" s="8"/>
      <c r="AJ28" s="8"/>
      <c r="AK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row>
    <row r="29" spans="1:69" ht="18" customHeight="1" x14ac:dyDescent="0.3">
      <c r="A29">
        <v>1</v>
      </c>
      <c r="B29" t="s">
        <v>76</v>
      </c>
      <c r="C29">
        <v>6</v>
      </c>
      <c r="F29" s="17"/>
      <c r="G29">
        <f t="shared" si="0"/>
        <v>27</v>
      </c>
      <c r="H29" t="s">
        <v>114</v>
      </c>
      <c r="I29" t="s">
        <v>75</v>
      </c>
      <c r="L29" s="13" t="s">
        <v>820</v>
      </c>
      <c r="M29" s="13"/>
      <c r="N29">
        <v>1</v>
      </c>
      <c r="O29" s="2"/>
      <c r="AB29" s="8"/>
      <c r="AC29" s="8"/>
      <c r="AD29" s="8"/>
      <c r="AE29" s="8"/>
      <c r="AF29" s="8"/>
      <c r="AG29" s="8"/>
      <c r="AH29" s="8"/>
      <c r="AI29" s="8"/>
      <c r="AJ29" s="8"/>
      <c r="AK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row>
    <row r="30" spans="1:69" ht="18" customHeight="1" x14ac:dyDescent="0.3">
      <c r="A30">
        <v>1</v>
      </c>
      <c r="B30" t="s">
        <v>76</v>
      </c>
      <c r="C30">
        <v>6</v>
      </c>
      <c r="G30">
        <f t="shared" si="0"/>
        <v>28</v>
      </c>
      <c r="H30" t="s">
        <v>817</v>
      </c>
      <c r="I30" t="s">
        <v>75</v>
      </c>
      <c r="K30" t="s">
        <v>115</v>
      </c>
      <c r="L30" s="13"/>
      <c r="M30" s="13"/>
      <c r="N30">
        <v>1</v>
      </c>
      <c r="AB30" s="8"/>
      <c r="AC30" s="8"/>
      <c r="AD30" s="8"/>
      <c r="AE30" s="8"/>
      <c r="AF30" s="8"/>
      <c r="AG30" s="8"/>
      <c r="AH30" s="8"/>
      <c r="AI30" s="8"/>
      <c r="AJ30" s="8"/>
      <c r="AK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row>
    <row r="31" spans="1:69" ht="18" customHeight="1" x14ac:dyDescent="0.3">
      <c r="A31">
        <v>1</v>
      </c>
      <c r="B31" t="s">
        <v>76</v>
      </c>
      <c r="C31">
        <v>6</v>
      </c>
      <c r="F31" s="17"/>
      <c r="G31">
        <f t="shared" si="0"/>
        <v>29</v>
      </c>
      <c r="H31" t="s">
        <v>116</v>
      </c>
      <c r="I31" t="s">
        <v>75</v>
      </c>
      <c r="L31" s="13" t="s">
        <v>821</v>
      </c>
      <c r="M31" s="13"/>
      <c r="N31">
        <v>1</v>
      </c>
      <c r="O31" s="2"/>
      <c r="AB31" s="8"/>
      <c r="AC31" s="8"/>
      <c r="AD31" s="8"/>
      <c r="AE31" s="8"/>
      <c r="AF31" s="8"/>
      <c r="AG31" s="8"/>
      <c r="AH31" s="8"/>
      <c r="AI31" s="8"/>
      <c r="AJ31" s="8"/>
      <c r="AK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row>
    <row r="32" spans="1:69" ht="18" customHeight="1" x14ac:dyDescent="0.3">
      <c r="A32">
        <v>1</v>
      </c>
      <c r="B32" t="s">
        <v>76</v>
      </c>
      <c r="C32">
        <v>6</v>
      </c>
      <c r="G32">
        <f t="shared" si="0"/>
        <v>30</v>
      </c>
      <c r="H32" t="s">
        <v>818</v>
      </c>
      <c r="I32" t="s">
        <v>75</v>
      </c>
      <c r="K32" t="s">
        <v>117</v>
      </c>
      <c r="L32" s="13"/>
      <c r="M32" s="13"/>
      <c r="N32">
        <v>1</v>
      </c>
      <c r="P32" s="1"/>
      <c r="AB32" s="8"/>
      <c r="AC32" s="8"/>
      <c r="AD32" s="8"/>
      <c r="AE32" s="8"/>
      <c r="AF32" s="8"/>
      <c r="AG32" s="8"/>
      <c r="AH32" s="8"/>
      <c r="AI32" s="8"/>
      <c r="AJ32" s="8"/>
      <c r="AK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row>
    <row r="33" spans="1:69" ht="18" customHeight="1" x14ac:dyDescent="0.3">
      <c r="A33">
        <v>1</v>
      </c>
      <c r="B33" t="s">
        <v>76</v>
      </c>
      <c r="C33">
        <v>7</v>
      </c>
      <c r="D33" s="1" t="s">
        <v>723</v>
      </c>
      <c r="E33" s="1"/>
      <c r="F33" s="17"/>
      <c r="G33">
        <f t="shared" si="0"/>
        <v>31</v>
      </c>
      <c r="H33" s="1" t="s">
        <v>723</v>
      </c>
      <c r="I33" t="s">
        <v>75</v>
      </c>
      <c r="K33" t="s">
        <v>118</v>
      </c>
      <c r="L33" s="13"/>
      <c r="M33" s="13"/>
      <c r="N33">
        <v>1</v>
      </c>
      <c r="AB33" s="8"/>
      <c r="AC33" s="8"/>
      <c r="AD33" s="8"/>
      <c r="AE33" s="8"/>
      <c r="AF33" s="8"/>
      <c r="AG33" s="8"/>
      <c r="AH33" s="8"/>
      <c r="AI33" s="8"/>
      <c r="AJ33" s="8"/>
      <c r="AK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row>
    <row r="34" spans="1:69" ht="15" customHeight="1" x14ac:dyDescent="0.3">
      <c r="A34">
        <v>2</v>
      </c>
      <c r="B34" t="s">
        <v>119</v>
      </c>
      <c r="C34">
        <v>1</v>
      </c>
      <c r="D34" t="s">
        <v>731</v>
      </c>
      <c r="F34" s="17"/>
      <c r="G34">
        <v>1</v>
      </c>
      <c r="H34" t="s">
        <v>732</v>
      </c>
      <c r="I34" t="s">
        <v>75</v>
      </c>
      <c r="L34" s="23" t="s">
        <v>889</v>
      </c>
      <c r="M34" s="13"/>
      <c r="Q34" s="8"/>
      <c r="R34" s="8"/>
      <c r="S34" s="8"/>
      <c r="T34" s="8"/>
      <c r="U34" s="8"/>
      <c r="V34" s="8"/>
      <c r="W34" s="8"/>
      <c r="X34" s="8"/>
      <c r="Y34" s="8"/>
      <c r="Z34" s="8"/>
      <c r="AB34" s="8"/>
      <c r="AC34" s="8"/>
      <c r="AD34" s="8"/>
      <c r="AE34" s="8"/>
      <c r="AF34" s="8"/>
      <c r="AG34" s="8"/>
      <c r="AH34" s="8"/>
      <c r="AI34" s="8"/>
      <c r="AJ34" s="8"/>
      <c r="AK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row>
    <row r="35" spans="1:69" ht="15" customHeight="1" x14ac:dyDescent="0.3">
      <c r="A35">
        <v>2</v>
      </c>
      <c r="B35" t="s">
        <v>119</v>
      </c>
      <c r="C35">
        <v>1</v>
      </c>
      <c r="G35">
        <v>2</v>
      </c>
      <c r="H35" t="s">
        <v>733</v>
      </c>
      <c r="I35" t="s">
        <v>75</v>
      </c>
      <c r="L35" s="23" t="s">
        <v>890</v>
      </c>
      <c r="M35" s="13"/>
      <c r="Q35" s="8"/>
      <c r="R35" s="8"/>
      <c r="S35" s="8"/>
      <c r="T35" s="8"/>
      <c r="U35" s="8"/>
      <c r="V35" s="8"/>
      <c r="W35" s="8"/>
      <c r="X35" s="8"/>
      <c r="Y35" s="8"/>
      <c r="Z35" s="8"/>
      <c r="AB35" s="8"/>
      <c r="AC35" s="8"/>
      <c r="AD35" s="8"/>
      <c r="AE35" s="8"/>
      <c r="AF35" s="8"/>
      <c r="AG35" s="8"/>
      <c r="AH35" s="8"/>
      <c r="AI35" s="8"/>
      <c r="AJ35" s="8"/>
      <c r="AK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row>
    <row r="36" spans="1:69" ht="15" customHeight="1" x14ac:dyDescent="0.3">
      <c r="A36">
        <v>2</v>
      </c>
      <c r="B36" t="s">
        <v>119</v>
      </c>
      <c r="C36">
        <v>2</v>
      </c>
      <c r="D36" t="s">
        <v>120</v>
      </c>
      <c r="E36" t="s">
        <v>20</v>
      </c>
      <c r="F36" s="17"/>
      <c r="G36">
        <v>3</v>
      </c>
      <c r="H36" t="s">
        <v>734</v>
      </c>
      <c r="I36" t="s">
        <v>75</v>
      </c>
      <c r="K36" t="s">
        <v>121</v>
      </c>
      <c r="L36" s="13"/>
      <c r="M36" s="23" t="s">
        <v>891</v>
      </c>
      <c r="O36" t="s">
        <v>615</v>
      </c>
      <c r="Q36" s="8"/>
      <c r="R36" s="8"/>
      <c r="S36" s="8"/>
      <c r="T36" s="8"/>
      <c r="U36" s="8"/>
      <c r="V36" s="8"/>
      <c r="W36" s="8"/>
      <c r="X36" s="8"/>
      <c r="Y36" s="8"/>
      <c r="Z36" s="8"/>
      <c r="AB36" s="8"/>
      <c r="AC36" s="8"/>
      <c r="AD36" s="8"/>
      <c r="AE36" s="8"/>
      <c r="AF36" s="8"/>
      <c r="AG36" s="8"/>
      <c r="AH36" s="8"/>
      <c r="AI36" s="8"/>
      <c r="AJ36" s="8"/>
      <c r="AK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row>
    <row r="37" spans="1:69" ht="15" customHeight="1" x14ac:dyDescent="0.3">
      <c r="A37">
        <v>2</v>
      </c>
      <c r="B37" t="s">
        <v>119</v>
      </c>
      <c r="C37">
        <v>2</v>
      </c>
      <c r="G37">
        <v>4</v>
      </c>
      <c r="H37" t="s">
        <v>122</v>
      </c>
      <c r="I37" t="s">
        <v>75</v>
      </c>
      <c r="K37" t="s">
        <v>123</v>
      </c>
      <c r="L37" s="13"/>
      <c r="M37" s="25" t="s">
        <v>1314</v>
      </c>
      <c r="N37">
        <v>1</v>
      </c>
      <c r="O37" t="s">
        <v>616</v>
      </c>
      <c r="Q37" s="24" t="s">
        <v>899</v>
      </c>
      <c r="T37" s="22"/>
      <c r="AB37" s="8"/>
      <c r="AC37" s="8"/>
      <c r="AD37" s="8"/>
      <c r="AE37" s="8"/>
      <c r="AF37" s="8"/>
      <c r="AG37" s="8"/>
      <c r="AH37" s="8"/>
      <c r="AI37" s="8"/>
      <c r="AJ37" s="8"/>
      <c r="AK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row>
    <row r="38" spans="1:69" ht="15" customHeight="1" x14ac:dyDescent="0.3">
      <c r="A38">
        <v>2</v>
      </c>
      <c r="B38" t="s">
        <v>119</v>
      </c>
      <c r="C38">
        <v>2</v>
      </c>
      <c r="G38">
        <v>5</v>
      </c>
      <c r="H38" t="s">
        <v>124</v>
      </c>
      <c r="I38" t="s">
        <v>75</v>
      </c>
      <c r="K38" t="s">
        <v>125</v>
      </c>
      <c r="L38" s="13"/>
      <c r="M38" s="25" t="s">
        <v>1315</v>
      </c>
      <c r="N38">
        <v>1</v>
      </c>
      <c r="O38" t="s">
        <v>617</v>
      </c>
      <c r="Q38" s="24" t="s">
        <v>900</v>
      </c>
      <c r="T38" s="22"/>
      <c r="AB38" s="8"/>
      <c r="AC38" s="8"/>
      <c r="AD38" s="8"/>
      <c r="AE38" s="8"/>
      <c r="AF38" s="8"/>
      <c r="AG38" s="8"/>
      <c r="AH38" s="8"/>
      <c r="AI38" s="8"/>
      <c r="AJ38" s="8"/>
      <c r="AK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row>
    <row r="39" spans="1:69" ht="15" customHeight="1" x14ac:dyDescent="0.3">
      <c r="A39">
        <v>2</v>
      </c>
      <c r="B39" t="s">
        <v>119</v>
      </c>
      <c r="C39">
        <v>2</v>
      </c>
      <c r="G39">
        <v>6</v>
      </c>
      <c r="H39" t="s">
        <v>126</v>
      </c>
      <c r="I39" t="s">
        <v>75</v>
      </c>
      <c r="K39" t="s">
        <v>127</v>
      </c>
      <c r="L39" s="13"/>
      <c r="M39" s="25" t="s">
        <v>1316</v>
      </c>
      <c r="N39">
        <v>1</v>
      </c>
      <c r="O39" t="s">
        <v>618</v>
      </c>
      <c r="Q39" s="24" t="s">
        <v>901</v>
      </c>
      <c r="T39" s="22"/>
      <c r="AB39" s="8"/>
      <c r="AC39" s="8"/>
      <c r="AD39" s="8"/>
      <c r="AE39" s="8"/>
      <c r="AF39" s="8"/>
      <c r="AG39" s="8"/>
      <c r="AH39" s="8"/>
      <c r="AI39" s="8"/>
      <c r="AJ39" s="8"/>
      <c r="AK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row>
    <row r="40" spans="1:69" ht="15" customHeight="1" x14ac:dyDescent="0.3">
      <c r="A40">
        <v>2</v>
      </c>
      <c r="B40" t="s">
        <v>119</v>
      </c>
      <c r="C40">
        <v>2</v>
      </c>
      <c r="G40">
        <v>7</v>
      </c>
      <c r="H40" t="s">
        <v>128</v>
      </c>
      <c r="I40" t="s">
        <v>75</v>
      </c>
      <c r="K40" t="s">
        <v>129</v>
      </c>
      <c r="L40" s="13"/>
      <c r="M40" s="25" t="s">
        <v>1317</v>
      </c>
      <c r="N40">
        <v>1</v>
      </c>
      <c r="O40" t="s">
        <v>619</v>
      </c>
      <c r="Q40" s="23" t="s">
        <v>902</v>
      </c>
      <c r="T40" s="22"/>
      <c r="AB40" s="13" t="s">
        <v>575</v>
      </c>
      <c r="AC40">
        <v>3</v>
      </c>
      <c r="AD40" s="13" t="s">
        <v>576</v>
      </c>
      <c r="AE40" s="22" t="s">
        <v>903</v>
      </c>
      <c r="AF40" s="13" t="s">
        <v>577</v>
      </c>
      <c r="AG40" t="s">
        <v>73</v>
      </c>
      <c r="AH40" s="13" t="s">
        <v>578</v>
      </c>
      <c r="AI40" t="s">
        <v>4</v>
      </c>
      <c r="AJ40" s="13" t="s">
        <v>579</v>
      </c>
      <c r="AK40" t="s">
        <v>73</v>
      </c>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row>
    <row r="41" spans="1:69" ht="15" customHeight="1" x14ac:dyDescent="0.3">
      <c r="A41">
        <v>2</v>
      </c>
      <c r="B41" t="s">
        <v>119</v>
      </c>
      <c r="C41">
        <v>3</v>
      </c>
      <c r="D41" t="s">
        <v>130</v>
      </c>
      <c r="E41" t="s">
        <v>20</v>
      </c>
      <c r="F41" s="17"/>
      <c r="G41">
        <v>8</v>
      </c>
      <c r="H41" t="s">
        <v>734</v>
      </c>
      <c r="I41" t="s">
        <v>75</v>
      </c>
      <c r="K41" t="s">
        <v>131</v>
      </c>
      <c r="L41" s="13"/>
      <c r="M41" s="23" t="s">
        <v>904</v>
      </c>
      <c r="O41" t="s">
        <v>620</v>
      </c>
      <c r="Q41" s="8"/>
      <c r="R41" s="8"/>
      <c r="S41" s="8"/>
      <c r="T41" s="8"/>
      <c r="U41" s="8"/>
      <c r="V41" s="8"/>
      <c r="W41" s="8"/>
      <c r="X41" s="8"/>
      <c r="Y41" s="8"/>
      <c r="Z41" s="8"/>
      <c r="AB41" s="8"/>
      <c r="AC41" s="8"/>
      <c r="AD41" s="8"/>
      <c r="AE41" s="8"/>
      <c r="AF41" s="8"/>
      <c r="AG41" s="8"/>
      <c r="AH41" s="8"/>
      <c r="AI41" s="8"/>
      <c r="AJ41" s="8"/>
      <c r="AK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row>
    <row r="42" spans="1:69" ht="15" customHeight="1" x14ac:dyDescent="0.3">
      <c r="A42">
        <v>2</v>
      </c>
      <c r="B42" t="s">
        <v>119</v>
      </c>
      <c r="C42">
        <v>3</v>
      </c>
      <c r="G42">
        <v>9</v>
      </c>
      <c r="H42" t="s">
        <v>132</v>
      </c>
      <c r="I42" t="s">
        <v>75</v>
      </c>
      <c r="K42" t="s">
        <v>133</v>
      </c>
      <c r="L42" s="13"/>
      <c r="M42" s="23" t="s">
        <v>905</v>
      </c>
      <c r="N42">
        <v>1</v>
      </c>
      <c r="O42" t="s">
        <v>621</v>
      </c>
      <c r="P42" s="1"/>
      <c r="Q42" s="13" t="s">
        <v>580</v>
      </c>
      <c r="R42">
        <v>4</v>
      </c>
      <c r="S42" s="13" t="s">
        <v>581</v>
      </c>
      <c r="T42" s="22" t="s">
        <v>906</v>
      </c>
      <c r="U42" s="13" t="s">
        <v>582</v>
      </c>
      <c r="V42" t="s">
        <v>73</v>
      </c>
      <c r="W42" s="15" t="s">
        <v>583</v>
      </c>
      <c r="X42" t="s">
        <v>73</v>
      </c>
      <c r="Y42" s="15" t="s">
        <v>584</v>
      </c>
      <c r="Z42" t="s">
        <v>4</v>
      </c>
      <c r="AB42" s="8"/>
      <c r="AC42" s="8"/>
      <c r="AD42" s="8"/>
      <c r="AE42" s="8"/>
      <c r="AF42" s="8"/>
      <c r="AG42" s="8"/>
      <c r="AH42" s="8"/>
      <c r="AI42" s="8"/>
      <c r="AJ42" s="8"/>
      <c r="AK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row>
    <row r="43" spans="1:69" ht="15" customHeight="1" x14ac:dyDescent="0.3">
      <c r="A43">
        <v>2</v>
      </c>
      <c r="B43" t="s">
        <v>119</v>
      </c>
      <c r="C43">
        <v>3</v>
      </c>
      <c r="G43">
        <v>10</v>
      </c>
      <c r="H43" t="s">
        <v>134</v>
      </c>
      <c r="I43" t="s">
        <v>75</v>
      </c>
      <c r="K43" t="s">
        <v>135</v>
      </c>
      <c r="L43" s="13"/>
      <c r="M43" s="23" t="s">
        <v>907</v>
      </c>
      <c r="N43">
        <v>1</v>
      </c>
      <c r="O43" t="s">
        <v>622</v>
      </c>
      <c r="P43" s="1"/>
      <c r="Q43" s="13" t="s">
        <v>908</v>
      </c>
      <c r="R43">
        <v>1</v>
      </c>
      <c r="S43" s="13" t="s">
        <v>909</v>
      </c>
      <c r="T43" s="13"/>
      <c r="U43" s="13" t="s">
        <v>910</v>
      </c>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row>
    <row r="44" spans="1:69" ht="15" customHeight="1" x14ac:dyDescent="0.3">
      <c r="A44">
        <v>2</v>
      </c>
      <c r="B44" t="s">
        <v>119</v>
      </c>
      <c r="C44">
        <v>3</v>
      </c>
      <c r="G44">
        <v>11</v>
      </c>
      <c r="H44" t="s">
        <v>136</v>
      </c>
      <c r="I44" t="s">
        <v>75</v>
      </c>
      <c r="K44" t="s">
        <v>137</v>
      </c>
      <c r="L44" s="13"/>
      <c r="M44" s="23" t="s">
        <v>911</v>
      </c>
      <c r="N44">
        <v>1</v>
      </c>
      <c r="O44" t="s">
        <v>623</v>
      </c>
      <c r="P44" s="1"/>
      <c r="T44" s="8"/>
      <c r="AB44" s="8"/>
      <c r="AC44" s="8"/>
      <c r="AD44" s="8"/>
      <c r="AE44" s="8"/>
      <c r="AF44" s="8"/>
      <c r="AG44" s="8"/>
      <c r="AH44" s="8"/>
      <c r="AI44" s="8"/>
      <c r="AJ44" s="8"/>
      <c r="AK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row>
    <row r="45" spans="1:69" ht="15" customHeight="1" x14ac:dyDescent="0.3">
      <c r="A45">
        <v>2</v>
      </c>
      <c r="B45" t="s">
        <v>119</v>
      </c>
      <c r="C45">
        <v>3</v>
      </c>
      <c r="G45">
        <v>12</v>
      </c>
      <c r="H45" t="s">
        <v>138</v>
      </c>
      <c r="I45" t="s">
        <v>75</v>
      </c>
      <c r="K45" t="s">
        <v>139</v>
      </c>
      <c r="L45" s="13"/>
      <c r="M45" s="23" t="s">
        <v>912</v>
      </c>
      <c r="N45">
        <v>1</v>
      </c>
      <c r="O45" t="s">
        <v>624</v>
      </c>
      <c r="P45" s="1"/>
      <c r="Q45" s="23" t="s">
        <v>920</v>
      </c>
      <c r="R45">
        <v>1</v>
      </c>
      <c r="T45" s="22"/>
      <c r="AB45" s="8"/>
      <c r="AC45" s="8"/>
      <c r="AD45" s="8"/>
      <c r="AE45" s="8"/>
      <c r="AF45" s="8"/>
      <c r="AG45" s="8"/>
      <c r="AH45" s="8"/>
      <c r="AI45" s="8"/>
      <c r="AJ45" s="8"/>
      <c r="AK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row>
    <row r="46" spans="1:69" ht="15" customHeight="1" x14ac:dyDescent="0.3">
      <c r="A46">
        <v>2</v>
      </c>
      <c r="B46" t="s">
        <v>119</v>
      </c>
      <c r="C46">
        <v>4</v>
      </c>
      <c r="D46" t="s">
        <v>140</v>
      </c>
      <c r="E46" t="s">
        <v>20</v>
      </c>
      <c r="F46" s="17"/>
      <c r="G46">
        <v>13</v>
      </c>
      <c r="H46" t="s">
        <v>734</v>
      </c>
      <c r="I46" t="s">
        <v>75</v>
      </c>
      <c r="K46" t="s">
        <v>141</v>
      </c>
      <c r="L46" s="13"/>
      <c r="M46" s="23" t="s">
        <v>913</v>
      </c>
      <c r="O46" s="2" t="s">
        <v>625</v>
      </c>
      <c r="P46" s="1"/>
      <c r="T46" s="8"/>
      <c r="AB46" s="8"/>
      <c r="AC46" s="8"/>
      <c r="AD46" s="8"/>
      <c r="AE46" s="8"/>
      <c r="AF46" s="8"/>
      <c r="AG46" s="8"/>
      <c r="AH46" s="8"/>
      <c r="AI46" s="8"/>
      <c r="AJ46" s="8"/>
      <c r="AK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row>
    <row r="47" spans="1:69" ht="15" customHeight="1" x14ac:dyDescent="0.3">
      <c r="A47">
        <v>2</v>
      </c>
      <c r="B47" t="s">
        <v>119</v>
      </c>
      <c r="C47">
        <v>4</v>
      </c>
      <c r="G47">
        <v>14</v>
      </c>
      <c r="H47" t="s">
        <v>142</v>
      </c>
      <c r="I47" t="s">
        <v>75</v>
      </c>
      <c r="K47" t="s">
        <v>143</v>
      </c>
      <c r="L47" s="13"/>
      <c r="M47" s="25" t="s">
        <v>1318</v>
      </c>
      <c r="N47">
        <v>1</v>
      </c>
      <c r="O47" s="2" t="s">
        <v>626</v>
      </c>
      <c r="T47" s="8"/>
      <c r="AB47" s="8"/>
      <c r="AC47" s="8"/>
      <c r="AD47" s="8"/>
      <c r="AE47" s="8"/>
      <c r="AF47" s="8"/>
      <c r="AG47" s="8"/>
      <c r="AH47" s="8"/>
      <c r="AI47" s="8"/>
      <c r="AJ47" s="8"/>
      <c r="AK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row>
    <row r="48" spans="1:69" ht="15" customHeight="1" x14ac:dyDescent="0.3">
      <c r="A48">
        <v>2</v>
      </c>
      <c r="B48" t="s">
        <v>119</v>
      </c>
      <c r="C48">
        <v>4</v>
      </c>
      <c r="G48">
        <v>15</v>
      </c>
      <c r="H48" t="s">
        <v>144</v>
      </c>
      <c r="I48" t="s">
        <v>75</v>
      </c>
      <c r="K48" t="s">
        <v>145</v>
      </c>
      <c r="L48" s="13"/>
      <c r="M48" s="25" t="s">
        <v>1319</v>
      </c>
      <c r="N48">
        <v>1</v>
      </c>
      <c r="O48" s="2" t="s">
        <v>627</v>
      </c>
      <c r="T48" s="8"/>
      <c r="AB48" s="8"/>
      <c r="AC48" s="8"/>
      <c r="AD48" s="8"/>
      <c r="AE48" s="8"/>
      <c r="AF48" s="8"/>
      <c r="AG48" s="8"/>
      <c r="AH48" s="8"/>
      <c r="AI48" s="8"/>
      <c r="AJ48" s="8"/>
      <c r="AK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row>
    <row r="49" spans="1:69" ht="15" customHeight="1" x14ac:dyDescent="0.3">
      <c r="A49">
        <v>2</v>
      </c>
      <c r="B49" t="s">
        <v>119</v>
      </c>
      <c r="C49">
        <v>4</v>
      </c>
      <c r="G49">
        <v>16</v>
      </c>
      <c r="H49" t="s">
        <v>146</v>
      </c>
      <c r="I49" t="s">
        <v>75</v>
      </c>
      <c r="K49" t="s">
        <v>147</v>
      </c>
      <c r="L49" s="13"/>
      <c r="M49" s="25" t="s">
        <v>1320</v>
      </c>
      <c r="N49">
        <v>1</v>
      </c>
      <c r="O49" s="2" t="s">
        <v>628</v>
      </c>
      <c r="P49" s="1"/>
      <c r="Q49" s="13" t="s">
        <v>585</v>
      </c>
      <c r="R49">
        <v>2</v>
      </c>
      <c r="S49" s="13" t="s">
        <v>586</v>
      </c>
      <c r="T49" s="13" t="s">
        <v>914</v>
      </c>
      <c r="U49" s="13" t="s">
        <v>587</v>
      </c>
      <c r="V49" t="s">
        <v>4</v>
      </c>
      <c r="W49" s="13" t="s">
        <v>915</v>
      </c>
      <c r="X49" t="s">
        <v>73</v>
      </c>
      <c r="Y49" s="13" t="s">
        <v>916</v>
      </c>
      <c r="Z49" t="s">
        <v>73</v>
      </c>
    </row>
    <row r="50" spans="1:69" ht="15" customHeight="1" x14ac:dyDescent="0.3">
      <c r="A50">
        <v>2</v>
      </c>
      <c r="B50" t="s">
        <v>119</v>
      </c>
      <c r="C50">
        <v>5</v>
      </c>
      <c r="D50" t="s">
        <v>148</v>
      </c>
      <c r="E50" t="s">
        <v>20</v>
      </c>
      <c r="F50" s="17"/>
      <c r="G50">
        <v>17</v>
      </c>
      <c r="H50" t="s">
        <v>734</v>
      </c>
      <c r="I50" t="s">
        <v>75</v>
      </c>
      <c r="K50" t="s">
        <v>149</v>
      </c>
      <c r="L50" s="13"/>
      <c r="M50" s="13"/>
      <c r="P50" s="1"/>
      <c r="T50" s="8"/>
      <c r="AB50" s="8"/>
      <c r="AC50" s="8"/>
      <c r="AD50" s="8"/>
      <c r="AE50" s="8"/>
      <c r="AF50" s="8"/>
      <c r="AG50" s="8"/>
      <c r="AH50" s="8"/>
      <c r="AI50" s="8"/>
      <c r="AJ50" s="8"/>
      <c r="AK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row>
    <row r="51" spans="1:69" ht="15" customHeight="1" x14ac:dyDescent="0.3">
      <c r="A51">
        <v>2</v>
      </c>
      <c r="B51" t="s">
        <v>119</v>
      </c>
      <c r="C51">
        <v>5</v>
      </c>
      <c r="G51">
        <v>18</v>
      </c>
      <c r="H51" t="s">
        <v>598</v>
      </c>
      <c r="I51" t="s">
        <v>75</v>
      </c>
      <c r="K51" t="s">
        <v>150</v>
      </c>
      <c r="L51" s="13"/>
      <c r="M51" s="23" t="s">
        <v>917</v>
      </c>
      <c r="N51">
        <v>1</v>
      </c>
      <c r="O51" t="s">
        <v>629</v>
      </c>
      <c r="P51" s="1"/>
      <c r="Q51" s="13" t="s">
        <v>588</v>
      </c>
      <c r="R51">
        <v>3</v>
      </c>
      <c r="S51" s="14" t="s">
        <v>589</v>
      </c>
      <c r="T51" s="13" t="s">
        <v>918</v>
      </c>
      <c r="U51" s="14" t="s">
        <v>590</v>
      </c>
      <c r="V51" t="s">
        <v>73</v>
      </c>
      <c r="W51" s="14" t="s">
        <v>591</v>
      </c>
      <c r="X51" t="s">
        <v>4</v>
      </c>
      <c r="Y51" s="14" t="s">
        <v>592</v>
      </c>
      <c r="Z51" t="s">
        <v>73</v>
      </c>
    </row>
    <row r="52" spans="1:69" ht="15" customHeight="1" x14ac:dyDescent="0.3">
      <c r="A52">
        <v>2</v>
      </c>
      <c r="B52" t="s">
        <v>119</v>
      </c>
      <c r="C52">
        <v>5</v>
      </c>
      <c r="G52">
        <v>19</v>
      </c>
      <c r="H52" t="s">
        <v>151</v>
      </c>
      <c r="I52" t="s">
        <v>75</v>
      </c>
      <c r="K52" t="s">
        <v>152</v>
      </c>
      <c r="L52" s="13"/>
      <c r="M52" s="23" t="s">
        <v>919</v>
      </c>
      <c r="N52">
        <v>1</v>
      </c>
      <c r="O52" t="s">
        <v>630</v>
      </c>
      <c r="P52" s="1"/>
    </row>
    <row r="53" spans="1:69" ht="15" customHeight="1" x14ac:dyDescent="0.3">
      <c r="A53">
        <v>2</v>
      </c>
      <c r="B53" t="s">
        <v>119</v>
      </c>
      <c r="C53">
        <v>6</v>
      </c>
      <c r="D53" t="s">
        <v>810</v>
      </c>
      <c r="F53" s="17"/>
      <c r="G53">
        <v>20</v>
      </c>
      <c r="H53" t="s">
        <v>810</v>
      </c>
      <c r="I53" t="s">
        <v>75</v>
      </c>
      <c r="L53" s="23" t="s">
        <v>1002</v>
      </c>
      <c r="M53" s="23"/>
      <c r="P53" s="1"/>
    </row>
    <row r="54" spans="1:69" ht="15" customHeight="1" x14ac:dyDescent="0.3">
      <c r="A54">
        <v>2</v>
      </c>
      <c r="B54" t="s">
        <v>119</v>
      </c>
      <c r="C54">
        <v>7</v>
      </c>
      <c r="D54" t="s">
        <v>720</v>
      </c>
      <c r="E54" t="s">
        <v>1143</v>
      </c>
      <c r="F54" s="17"/>
      <c r="G54">
        <v>21</v>
      </c>
      <c r="H54" t="s">
        <v>110</v>
      </c>
      <c r="I54" t="s">
        <v>75</v>
      </c>
      <c r="L54" s="25" t="s">
        <v>894</v>
      </c>
      <c r="M54" s="13"/>
      <c r="N54">
        <v>1</v>
      </c>
      <c r="P54" s="1"/>
      <c r="Q54" s="13"/>
      <c r="S54" s="14"/>
      <c r="U54" s="14"/>
      <c r="W54" s="14"/>
      <c r="Y54" s="14"/>
    </row>
    <row r="55" spans="1:69" ht="15" customHeight="1" x14ac:dyDescent="0.3">
      <c r="A55">
        <v>2</v>
      </c>
      <c r="B55" t="s">
        <v>119</v>
      </c>
      <c r="C55">
        <v>7</v>
      </c>
      <c r="G55">
        <v>22</v>
      </c>
      <c r="H55" t="s">
        <v>814</v>
      </c>
      <c r="I55" t="s">
        <v>75</v>
      </c>
      <c r="K55" t="s">
        <v>153</v>
      </c>
      <c r="L55" s="13"/>
      <c r="M55" s="13"/>
      <c r="N55">
        <v>1</v>
      </c>
      <c r="P55" s="1"/>
      <c r="T55" s="8"/>
      <c r="AB55" s="8"/>
      <c r="AC55" s="8"/>
      <c r="AD55" s="8"/>
      <c r="AE55" s="8"/>
      <c r="AF55" s="8"/>
      <c r="AG55" s="8"/>
      <c r="AH55" s="8"/>
      <c r="AI55" s="8"/>
      <c r="AJ55" s="8"/>
      <c r="AK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row>
    <row r="56" spans="1:69" ht="15" customHeight="1" x14ac:dyDescent="0.3">
      <c r="A56">
        <v>2</v>
      </c>
      <c r="B56" t="s">
        <v>119</v>
      </c>
      <c r="C56">
        <v>7</v>
      </c>
      <c r="G56">
        <v>23</v>
      </c>
      <c r="H56" t="s">
        <v>112</v>
      </c>
      <c r="I56" t="s">
        <v>75</v>
      </c>
      <c r="L56" s="23" t="s">
        <v>895</v>
      </c>
      <c r="M56" s="13"/>
      <c r="N56">
        <v>1</v>
      </c>
      <c r="P56" s="1"/>
      <c r="Q56" s="13"/>
      <c r="S56" s="14"/>
      <c r="U56" s="14"/>
      <c r="W56" s="14"/>
      <c r="Y56" s="14"/>
    </row>
    <row r="57" spans="1:69" ht="15" customHeight="1" x14ac:dyDescent="0.3">
      <c r="A57">
        <v>2</v>
      </c>
      <c r="B57" t="s">
        <v>119</v>
      </c>
      <c r="C57">
        <v>7</v>
      </c>
      <c r="G57">
        <v>24</v>
      </c>
      <c r="H57" t="s">
        <v>816</v>
      </c>
      <c r="I57" t="s">
        <v>75</v>
      </c>
      <c r="K57" t="s">
        <v>154</v>
      </c>
      <c r="L57" s="13"/>
      <c r="M57" s="13"/>
      <c r="N57">
        <v>1</v>
      </c>
      <c r="P57" s="1"/>
      <c r="T57" s="8"/>
      <c r="AB57" s="8"/>
      <c r="AC57" s="8"/>
      <c r="AD57" s="8"/>
      <c r="AE57" s="8"/>
      <c r="AF57" s="8"/>
      <c r="AG57" s="8"/>
      <c r="AH57" s="8"/>
      <c r="AI57" s="8"/>
      <c r="AJ57" s="8"/>
      <c r="AK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row>
    <row r="58" spans="1:69" ht="15" customHeight="1" x14ac:dyDescent="0.3">
      <c r="A58">
        <v>2</v>
      </c>
      <c r="B58" t="s">
        <v>119</v>
      </c>
      <c r="C58">
        <v>7</v>
      </c>
      <c r="G58">
        <v>25</v>
      </c>
      <c r="H58" t="s">
        <v>114</v>
      </c>
      <c r="I58" t="s">
        <v>75</v>
      </c>
      <c r="L58" s="23" t="s">
        <v>896</v>
      </c>
      <c r="M58" s="13"/>
      <c r="N58">
        <v>1</v>
      </c>
      <c r="P58" s="1"/>
      <c r="Q58" s="13"/>
      <c r="S58" s="14"/>
      <c r="U58" s="14"/>
      <c r="W58" s="14"/>
      <c r="Y58" s="14"/>
    </row>
    <row r="59" spans="1:69" ht="15" customHeight="1" x14ac:dyDescent="0.3">
      <c r="A59">
        <v>2</v>
      </c>
      <c r="B59" t="s">
        <v>119</v>
      </c>
      <c r="C59">
        <v>7</v>
      </c>
      <c r="G59">
        <v>26</v>
      </c>
      <c r="H59" t="s">
        <v>817</v>
      </c>
      <c r="I59" t="s">
        <v>75</v>
      </c>
      <c r="K59" t="s">
        <v>155</v>
      </c>
      <c r="L59" s="13"/>
      <c r="M59" s="13"/>
      <c r="N59">
        <v>1</v>
      </c>
      <c r="P59" s="1"/>
      <c r="Q59" s="8"/>
      <c r="R59" s="8"/>
      <c r="S59" s="8"/>
      <c r="T59" s="8"/>
      <c r="U59" s="8"/>
      <c r="V59" s="8"/>
      <c r="W59" s="8"/>
      <c r="X59" s="8"/>
      <c r="Y59" s="8"/>
      <c r="Z59" s="8"/>
      <c r="AB59" s="8"/>
      <c r="AC59" s="8"/>
      <c r="AD59" s="8"/>
      <c r="AE59" s="8"/>
      <c r="AF59" s="8"/>
      <c r="AG59" s="8"/>
      <c r="AH59" s="8"/>
      <c r="AI59" s="8"/>
      <c r="AJ59" s="8"/>
      <c r="AK59" s="8"/>
      <c r="AM59" s="8"/>
      <c r="AN59" s="8"/>
      <c r="AO59" s="8"/>
      <c r="AP59" s="8"/>
      <c r="AQ59" s="8"/>
      <c r="AR59" s="8"/>
      <c r="AS59" s="8"/>
      <c r="AT59" s="8"/>
      <c r="AU59" s="8"/>
      <c r="AV59" s="8"/>
      <c r="AW59" s="8"/>
      <c r="AX59" s="8"/>
      <c r="AY59" s="8"/>
      <c r="AZ59" s="8"/>
      <c r="BA59" s="8"/>
      <c r="BB59" s="8"/>
      <c r="BC59" s="8"/>
      <c r="BD59" s="8"/>
      <c r="BE59" s="8"/>
      <c r="BF59" s="8"/>
      <c r="BG59" s="8"/>
      <c r="BH59" s="8"/>
      <c r="BI59" s="8"/>
      <c r="BJ59" s="8"/>
      <c r="BK59" s="8"/>
      <c r="BL59" s="8"/>
      <c r="BM59" s="8"/>
      <c r="BN59" s="8"/>
      <c r="BO59" s="8"/>
      <c r="BP59" s="8"/>
      <c r="BQ59" s="8"/>
    </row>
    <row r="60" spans="1:69" ht="15" customHeight="1" x14ac:dyDescent="0.3">
      <c r="A60">
        <v>2</v>
      </c>
      <c r="B60" t="s">
        <v>119</v>
      </c>
      <c r="C60">
        <v>7</v>
      </c>
      <c r="G60">
        <v>27</v>
      </c>
      <c r="H60" t="s">
        <v>116</v>
      </c>
      <c r="I60" t="s">
        <v>75</v>
      </c>
      <c r="L60" s="23" t="s">
        <v>897</v>
      </c>
      <c r="M60" s="13"/>
      <c r="N60">
        <v>1</v>
      </c>
      <c r="P60" s="1"/>
      <c r="Q60" s="13"/>
      <c r="S60" s="14"/>
      <c r="U60" s="14"/>
      <c r="W60" s="14"/>
      <c r="Y60" s="14"/>
    </row>
    <row r="61" spans="1:69" ht="15" customHeight="1" x14ac:dyDescent="0.3">
      <c r="A61">
        <v>2</v>
      </c>
      <c r="B61" t="s">
        <v>119</v>
      </c>
      <c r="C61">
        <v>7</v>
      </c>
      <c r="G61">
        <v>28</v>
      </c>
      <c r="H61" t="s">
        <v>818</v>
      </c>
      <c r="I61" t="s">
        <v>75</v>
      </c>
      <c r="K61" t="s">
        <v>156</v>
      </c>
      <c r="L61" s="13"/>
      <c r="M61" s="13"/>
      <c r="N61">
        <v>1</v>
      </c>
      <c r="P61" s="1"/>
      <c r="Q61" s="8"/>
      <c r="R61" s="8"/>
      <c r="S61" s="8"/>
      <c r="T61" s="8"/>
      <c r="U61" s="8"/>
      <c r="V61" s="8"/>
      <c r="W61" s="8"/>
      <c r="X61" s="8"/>
      <c r="Y61" s="8"/>
      <c r="Z61" s="8"/>
      <c r="AB61" s="8"/>
      <c r="AC61" s="8"/>
      <c r="AD61" s="8"/>
      <c r="AE61" s="8"/>
      <c r="AF61" s="8"/>
      <c r="AG61" s="8"/>
      <c r="AH61" s="8"/>
      <c r="AI61" s="8"/>
      <c r="AJ61" s="8"/>
      <c r="AK61" s="8"/>
      <c r="AM61" s="8"/>
      <c r="AN61" s="8"/>
      <c r="AO61" s="8"/>
      <c r="AP61" s="8"/>
      <c r="AQ61" s="8"/>
      <c r="AR61" s="8"/>
      <c r="AS61" s="8"/>
      <c r="AT61" s="8"/>
      <c r="AU61" s="8"/>
      <c r="AV61" s="8"/>
      <c r="AW61" s="8"/>
      <c r="AX61" s="8"/>
      <c r="AY61" s="8"/>
      <c r="AZ61" s="8"/>
      <c r="BA61" s="8"/>
      <c r="BB61" s="8"/>
      <c r="BC61" s="8"/>
      <c r="BD61" s="8"/>
      <c r="BE61" s="8"/>
      <c r="BF61" s="8"/>
      <c r="BG61" s="8"/>
      <c r="BH61" s="8"/>
      <c r="BI61" s="8"/>
      <c r="BJ61" s="8"/>
      <c r="BK61" s="8"/>
      <c r="BL61" s="8"/>
      <c r="BM61" s="8"/>
      <c r="BN61" s="8"/>
      <c r="BO61" s="8"/>
      <c r="BP61" s="8"/>
      <c r="BQ61" s="8"/>
    </row>
    <row r="62" spans="1:69" ht="15" customHeight="1" x14ac:dyDescent="0.3">
      <c r="A62">
        <v>2</v>
      </c>
      <c r="B62" t="s">
        <v>119</v>
      </c>
      <c r="C62">
        <v>7</v>
      </c>
      <c r="G62">
        <v>29</v>
      </c>
      <c r="H62" t="s">
        <v>157</v>
      </c>
      <c r="I62" t="s">
        <v>75</v>
      </c>
      <c r="L62" s="23" t="s">
        <v>898</v>
      </c>
      <c r="M62" s="13"/>
      <c r="N62">
        <v>1</v>
      </c>
      <c r="P62" s="1"/>
      <c r="Q62" s="13"/>
      <c r="S62" s="14"/>
      <c r="U62" s="14"/>
      <c r="W62" s="14"/>
      <c r="Y62" s="14"/>
    </row>
    <row r="63" spans="1:69" ht="15" customHeight="1" x14ac:dyDescent="0.3">
      <c r="A63">
        <v>2</v>
      </c>
      <c r="B63" t="s">
        <v>119</v>
      </c>
      <c r="C63">
        <v>7</v>
      </c>
      <c r="G63">
        <v>30</v>
      </c>
      <c r="H63" t="s">
        <v>893</v>
      </c>
      <c r="I63" t="s">
        <v>75</v>
      </c>
      <c r="K63" t="s">
        <v>158</v>
      </c>
      <c r="L63" s="13"/>
      <c r="M63" s="13"/>
      <c r="N63">
        <v>1</v>
      </c>
      <c r="T63" s="8"/>
      <c r="AB63" s="8"/>
      <c r="AC63" s="8"/>
      <c r="AD63" s="8"/>
      <c r="AE63" s="8"/>
      <c r="AF63" s="8"/>
      <c r="AG63" s="8"/>
      <c r="AH63" s="8"/>
      <c r="AI63" s="8"/>
      <c r="AJ63" s="8"/>
      <c r="AK63" s="8"/>
      <c r="AM63" s="8"/>
      <c r="AN63" s="8"/>
      <c r="AO63" s="8"/>
      <c r="AP63" s="8"/>
      <c r="AQ63" s="8"/>
      <c r="AR63" s="8"/>
      <c r="AS63" s="8"/>
      <c r="AT63" s="8"/>
      <c r="AU63" s="8"/>
      <c r="AV63" s="8"/>
      <c r="AW63" s="8"/>
      <c r="AX63" s="8"/>
      <c r="AY63" s="8"/>
      <c r="AZ63" s="8"/>
      <c r="BA63" s="8"/>
      <c r="BB63" s="8"/>
      <c r="BC63" s="8"/>
      <c r="BD63" s="8"/>
      <c r="BE63" s="8"/>
      <c r="BF63" s="8"/>
      <c r="BG63" s="8"/>
      <c r="BH63" s="8"/>
      <c r="BI63" s="8"/>
      <c r="BJ63" s="8"/>
      <c r="BK63" s="8"/>
      <c r="BL63" s="8"/>
      <c r="BM63" s="8"/>
      <c r="BN63" s="8"/>
      <c r="BO63" s="8"/>
      <c r="BP63" s="8"/>
      <c r="BQ63" s="8"/>
    </row>
    <row r="64" spans="1:69" ht="15" customHeight="1" x14ac:dyDescent="0.3">
      <c r="A64">
        <v>2</v>
      </c>
      <c r="B64" t="s">
        <v>119</v>
      </c>
      <c r="C64">
        <v>8</v>
      </c>
      <c r="D64" t="s">
        <v>723</v>
      </c>
      <c r="F64" s="17"/>
      <c r="G64">
        <v>31</v>
      </c>
      <c r="H64" t="s">
        <v>723</v>
      </c>
      <c r="I64" t="s">
        <v>75</v>
      </c>
      <c r="K64" t="s">
        <v>159</v>
      </c>
      <c r="L64" s="13"/>
      <c r="M64" s="13"/>
      <c r="N64">
        <v>1</v>
      </c>
      <c r="P64" s="1"/>
      <c r="T64" s="8"/>
      <c r="AB64" s="8"/>
      <c r="AC64" s="8"/>
      <c r="AD64" s="8"/>
      <c r="AE64" s="8"/>
      <c r="AF64" s="8"/>
      <c r="AG64" s="8"/>
      <c r="AH64" s="8"/>
      <c r="AI64" s="8"/>
      <c r="AJ64" s="8"/>
      <c r="AK64" s="8"/>
      <c r="AM64" s="8"/>
      <c r="AN64" s="8"/>
      <c r="AO64" s="8"/>
      <c r="AP64" s="8"/>
      <c r="AQ64" s="8"/>
      <c r="AR64" s="8"/>
      <c r="AS64" s="8"/>
      <c r="AT64" s="8"/>
      <c r="AU64" s="8"/>
      <c r="AV64" s="8"/>
      <c r="AW64" s="8"/>
      <c r="AX64" s="8"/>
      <c r="AY64" s="8"/>
      <c r="AZ64" s="8"/>
      <c r="BA64" s="8"/>
      <c r="BB64" s="8"/>
      <c r="BC64" s="8"/>
      <c r="BD64" s="8"/>
      <c r="BE64" s="8"/>
      <c r="BF64" s="8"/>
      <c r="BG64" s="8"/>
      <c r="BH64" s="8"/>
      <c r="BI64" s="8"/>
      <c r="BJ64" s="8"/>
      <c r="BK64" s="8"/>
      <c r="BL64" s="8"/>
      <c r="BM64" s="8"/>
      <c r="BN64" s="8"/>
      <c r="BO64" s="8"/>
      <c r="BP64" s="8"/>
      <c r="BQ64" s="8"/>
    </row>
    <row r="65" spans="1:69" ht="15" customHeight="1" x14ac:dyDescent="0.3">
      <c r="A65">
        <v>3</v>
      </c>
      <c r="B65" t="s">
        <v>160</v>
      </c>
      <c r="C65">
        <v>1</v>
      </c>
      <c r="D65" t="s">
        <v>731</v>
      </c>
      <c r="F65" s="17"/>
      <c r="G65">
        <v>1</v>
      </c>
      <c r="H65" t="s">
        <v>732</v>
      </c>
      <c r="I65" t="s">
        <v>75</v>
      </c>
      <c r="L65" s="23" t="s">
        <v>980</v>
      </c>
      <c r="M65" s="13"/>
      <c r="P65" s="1"/>
      <c r="T65" s="8"/>
      <c r="AB65" s="8"/>
      <c r="AC65" s="8"/>
      <c r="AD65" s="8"/>
      <c r="AE65" s="8"/>
      <c r="AF65" s="8"/>
      <c r="AG65" s="8"/>
      <c r="AH65" s="8"/>
      <c r="AI65" s="8"/>
      <c r="AJ65" s="8"/>
      <c r="AK65" s="8"/>
      <c r="AM65" s="8"/>
      <c r="AN65" s="8"/>
      <c r="AO65" s="8"/>
      <c r="AP65" s="8"/>
      <c r="AQ65" s="8"/>
      <c r="AR65" s="8"/>
      <c r="AS65" s="8"/>
      <c r="AT65" s="8"/>
      <c r="AU65" s="8"/>
      <c r="AV65" s="8"/>
      <c r="AW65" s="8"/>
      <c r="AX65" s="8"/>
      <c r="AY65" s="8"/>
      <c r="AZ65" s="8"/>
      <c r="BA65" s="8"/>
      <c r="BB65" s="8"/>
      <c r="BC65" s="8"/>
      <c r="BD65" s="8"/>
      <c r="BE65" s="8"/>
      <c r="BF65" s="8"/>
      <c r="BG65" s="8"/>
      <c r="BH65" s="8"/>
      <c r="BI65" s="8"/>
      <c r="BJ65" s="8"/>
      <c r="BK65" s="8"/>
      <c r="BL65" s="8"/>
      <c r="BM65" s="8"/>
      <c r="BN65" s="8"/>
      <c r="BO65" s="8"/>
      <c r="BP65" s="8"/>
      <c r="BQ65" s="8"/>
    </row>
    <row r="66" spans="1:69" ht="15" customHeight="1" x14ac:dyDescent="0.3">
      <c r="A66">
        <v>3</v>
      </c>
      <c r="B66" t="s">
        <v>160</v>
      </c>
      <c r="C66">
        <v>1</v>
      </c>
      <c r="G66">
        <v>2</v>
      </c>
      <c r="H66" t="s">
        <v>733</v>
      </c>
      <c r="I66" t="s">
        <v>75</v>
      </c>
      <c r="L66" s="25" t="s">
        <v>981</v>
      </c>
      <c r="M66" s="13"/>
      <c r="P66" s="1"/>
      <c r="T66" s="8"/>
      <c r="AB66" s="8"/>
      <c r="AC66" s="8"/>
      <c r="AD66" s="8"/>
      <c r="AE66" s="8"/>
      <c r="AF66" s="8"/>
      <c r="AG66" s="8"/>
      <c r="AH66" s="8"/>
      <c r="AI66" s="8"/>
      <c r="AJ66" s="8"/>
      <c r="AK66" s="8"/>
      <c r="AM66" s="8"/>
      <c r="AN66" s="8"/>
      <c r="AO66" s="8"/>
      <c r="AP66" s="8"/>
      <c r="AQ66" s="8"/>
      <c r="AR66" s="8"/>
      <c r="AS66" s="8"/>
      <c r="AT66" s="8"/>
      <c r="AU66" s="8"/>
      <c r="AV66" s="8"/>
      <c r="AW66" s="8"/>
      <c r="AX66" s="8"/>
      <c r="AY66" s="8"/>
      <c r="AZ66" s="8"/>
      <c r="BA66" s="8"/>
      <c r="BB66" s="8"/>
      <c r="BC66" s="8"/>
      <c r="BD66" s="8"/>
      <c r="BE66" s="8"/>
      <c r="BF66" s="8"/>
      <c r="BG66" s="8"/>
      <c r="BH66" s="8"/>
      <c r="BI66" s="8"/>
      <c r="BJ66" s="8"/>
      <c r="BK66" s="8"/>
      <c r="BL66" s="8"/>
      <c r="BM66" s="8"/>
      <c r="BN66" s="8"/>
      <c r="BO66" s="8"/>
      <c r="BP66" s="8"/>
      <c r="BQ66" s="8"/>
    </row>
    <row r="67" spans="1:69" ht="15" customHeight="1" x14ac:dyDescent="0.3">
      <c r="A67">
        <v>3</v>
      </c>
      <c r="B67" t="s">
        <v>160</v>
      </c>
      <c r="C67">
        <v>2</v>
      </c>
      <c r="D67" t="s">
        <v>161</v>
      </c>
      <c r="E67" t="s">
        <v>20</v>
      </c>
      <c r="F67" s="17"/>
      <c r="G67">
        <v>3</v>
      </c>
      <c r="H67" t="s">
        <v>734</v>
      </c>
      <c r="I67" t="s">
        <v>75</v>
      </c>
      <c r="K67" t="s">
        <v>162</v>
      </c>
      <c r="L67" s="13"/>
      <c r="M67" s="13"/>
      <c r="O67" s="2" t="s">
        <v>631</v>
      </c>
      <c r="T67" s="8"/>
      <c r="AB67" s="8"/>
      <c r="AC67" s="8"/>
      <c r="AD67" s="8"/>
      <c r="AE67" s="8"/>
      <c r="AF67" s="8"/>
      <c r="AG67" s="8"/>
      <c r="AH67" s="8"/>
      <c r="AI67" s="8"/>
      <c r="AJ67" s="8"/>
      <c r="AK67" s="8"/>
      <c r="AM67" s="8"/>
      <c r="AN67" s="8"/>
      <c r="AO67" s="8"/>
      <c r="AP67" s="8"/>
      <c r="AQ67" s="8"/>
      <c r="AR67" s="8"/>
      <c r="AS67" s="8"/>
      <c r="AT67" s="8"/>
      <c r="AU67" s="8"/>
      <c r="AV67" s="8"/>
      <c r="AW67" s="8"/>
      <c r="AX67" s="8"/>
      <c r="AY67" s="8"/>
      <c r="AZ67" s="8"/>
      <c r="BA67" s="8"/>
      <c r="BB67" s="8"/>
      <c r="BC67" s="8"/>
      <c r="BD67" s="8"/>
      <c r="BE67" s="8"/>
      <c r="BF67" s="8"/>
      <c r="BG67" s="8"/>
      <c r="BH67" s="8"/>
      <c r="BI67" s="8"/>
      <c r="BJ67" s="8"/>
      <c r="BK67" s="8"/>
      <c r="BL67" s="8"/>
      <c r="BM67" s="8"/>
      <c r="BN67" s="8"/>
      <c r="BO67" s="8"/>
      <c r="BP67" s="8"/>
      <c r="BQ67" s="8"/>
    </row>
    <row r="68" spans="1:69" ht="15" customHeight="1" x14ac:dyDescent="0.3">
      <c r="A68">
        <v>3</v>
      </c>
      <c r="B68" t="s">
        <v>160</v>
      </c>
      <c r="C68">
        <v>2</v>
      </c>
      <c r="G68">
        <v>4</v>
      </c>
      <c r="H68" t="s">
        <v>163</v>
      </c>
      <c r="I68" t="s">
        <v>75</v>
      </c>
      <c r="K68" t="s">
        <v>164</v>
      </c>
      <c r="L68" s="13"/>
      <c r="M68" s="25" t="s">
        <v>1321</v>
      </c>
      <c r="N68">
        <v>1</v>
      </c>
      <c r="O68" t="s">
        <v>632</v>
      </c>
      <c r="Q68" s="13" t="s">
        <v>1018</v>
      </c>
      <c r="R68">
        <v>2</v>
      </c>
      <c r="S68" s="19" t="s">
        <v>1019</v>
      </c>
      <c r="T68" s="22" t="s">
        <v>1023</v>
      </c>
      <c r="U68" s="20" t="s">
        <v>1020</v>
      </c>
      <c r="V68" t="s">
        <v>4</v>
      </c>
      <c r="W68" s="19" t="s">
        <v>1021</v>
      </c>
      <c r="X68" t="s">
        <v>73</v>
      </c>
      <c r="Y68" s="14" t="s">
        <v>1022</v>
      </c>
      <c r="Z68" t="s">
        <v>73</v>
      </c>
      <c r="AB68" s="8"/>
      <c r="AC68" s="8"/>
      <c r="AD68" s="8"/>
      <c r="AE68" s="8"/>
      <c r="AF68" s="8"/>
      <c r="AG68" s="8"/>
      <c r="AH68" s="8"/>
      <c r="AI68" s="8"/>
      <c r="AJ68" s="8"/>
      <c r="AK68" s="8"/>
      <c r="AM68" s="8"/>
      <c r="AN68" s="8"/>
      <c r="AO68" s="8"/>
      <c r="AP68" s="8"/>
      <c r="AQ68" s="8"/>
      <c r="AR68" s="8"/>
      <c r="AS68" s="8"/>
      <c r="AT68" s="8"/>
      <c r="AU68" s="8"/>
      <c r="AV68" s="8"/>
      <c r="AW68" s="8"/>
      <c r="AX68" s="8"/>
      <c r="AY68" s="8"/>
      <c r="AZ68" s="8"/>
      <c r="BA68" s="8"/>
      <c r="BB68" s="8"/>
      <c r="BC68" s="8"/>
      <c r="BD68" s="8"/>
      <c r="BE68" s="8"/>
      <c r="BF68" s="8"/>
      <c r="BG68" s="8"/>
      <c r="BH68" s="8"/>
      <c r="BI68" s="8"/>
      <c r="BJ68" s="8"/>
      <c r="BK68" s="8"/>
      <c r="BL68" s="8"/>
      <c r="BM68" s="8"/>
      <c r="BN68" s="8"/>
      <c r="BO68" s="8"/>
      <c r="BP68" s="8"/>
      <c r="BQ68" s="8"/>
    </row>
    <row r="69" spans="1:69" ht="15" customHeight="1" x14ac:dyDescent="0.3">
      <c r="A69">
        <v>3</v>
      </c>
      <c r="B69" t="s">
        <v>160</v>
      </c>
      <c r="C69">
        <v>2</v>
      </c>
      <c r="G69">
        <v>5</v>
      </c>
      <c r="H69" t="s">
        <v>165</v>
      </c>
      <c r="I69" t="s">
        <v>75</v>
      </c>
      <c r="K69" t="s">
        <v>166</v>
      </c>
      <c r="L69" s="13"/>
      <c r="M69" s="25" t="s">
        <v>1322</v>
      </c>
      <c r="N69">
        <v>1</v>
      </c>
      <c r="O69" t="s">
        <v>633</v>
      </c>
      <c r="Q69" s="13" t="s">
        <v>1004</v>
      </c>
      <c r="R69">
        <v>4</v>
      </c>
      <c r="S69" s="13" t="s">
        <v>1005</v>
      </c>
      <c r="T69" s="22" t="s">
        <v>1008</v>
      </c>
      <c r="U69" s="13" t="s">
        <v>1006</v>
      </c>
      <c r="V69" t="s">
        <v>73</v>
      </c>
      <c r="W69" s="13" t="s">
        <v>1007</v>
      </c>
      <c r="X69" t="s">
        <v>73</v>
      </c>
      <c r="Y69" s="13" t="s">
        <v>1087</v>
      </c>
      <c r="Z69" t="s">
        <v>4</v>
      </c>
      <c r="AB69" s="8"/>
      <c r="AC69" s="8"/>
      <c r="AD69" s="8"/>
      <c r="AE69" s="8"/>
      <c r="AF69" s="8"/>
      <c r="AG69" s="8"/>
      <c r="AH69" s="8"/>
      <c r="AI69" s="8"/>
      <c r="AJ69" s="8"/>
      <c r="AK69" s="8"/>
      <c r="AM69" s="8"/>
      <c r="AN69" s="8"/>
      <c r="AO69" s="8"/>
      <c r="AP69" s="8"/>
      <c r="AQ69" s="8"/>
      <c r="AR69" s="8"/>
      <c r="AS69" s="8"/>
      <c r="AT69" s="8"/>
      <c r="AU69" s="8"/>
      <c r="AV69" s="8"/>
      <c r="AW69" s="8"/>
      <c r="AX69" s="8"/>
      <c r="AY69" s="8"/>
      <c r="AZ69" s="8"/>
      <c r="BA69" s="8"/>
      <c r="BB69" s="8"/>
      <c r="BC69" s="8"/>
      <c r="BD69" s="8"/>
      <c r="BE69" s="8"/>
      <c r="BF69" s="8"/>
      <c r="BG69" s="8"/>
      <c r="BH69" s="8"/>
      <c r="BI69" s="8"/>
      <c r="BJ69" s="8"/>
      <c r="BK69" s="8"/>
      <c r="BL69" s="8"/>
      <c r="BM69" s="8"/>
      <c r="BN69" s="8"/>
      <c r="BO69" s="8"/>
      <c r="BP69" s="8"/>
      <c r="BQ69" s="8"/>
    </row>
    <row r="70" spans="1:69" ht="15" customHeight="1" x14ac:dyDescent="0.3">
      <c r="A70">
        <v>3</v>
      </c>
      <c r="B70" t="s">
        <v>160</v>
      </c>
      <c r="C70">
        <v>2</v>
      </c>
      <c r="G70">
        <v>6</v>
      </c>
      <c r="H70" t="s">
        <v>167</v>
      </c>
      <c r="I70" t="s">
        <v>75</v>
      </c>
      <c r="K70" t="s">
        <v>168</v>
      </c>
      <c r="L70" s="13"/>
      <c r="M70" s="25" t="s">
        <v>1323</v>
      </c>
      <c r="N70">
        <v>1</v>
      </c>
      <c r="O70" t="s">
        <v>634</v>
      </c>
      <c r="T70" s="8"/>
      <c r="AB70" s="8"/>
      <c r="AC70" s="8"/>
      <c r="AD70" s="8"/>
      <c r="AE70" s="8"/>
      <c r="AF70" s="8"/>
      <c r="AG70" s="8"/>
      <c r="AH70" s="8"/>
      <c r="AI70" s="8"/>
      <c r="AJ70" s="8"/>
      <c r="AK70" s="8"/>
      <c r="AM70" s="8"/>
      <c r="AN70" s="8"/>
      <c r="AO70" s="8"/>
      <c r="AP70" s="8"/>
      <c r="AQ70" s="8"/>
      <c r="AR70" s="8"/>
      <c r="AS70" s="8"/>
      <c r="AT70" s="8"/>
      <c r="AU70" s="8"/>
      <c r="AV70" s="8"/>
      <c r="AW70" s="8"/>
      <c r="AX70" s="8"/>
      <c r="AY70" s="8"/>
      <c r="AZ70" s="8"/>
      <c r="BA70" s="8"/>
      <c r="BB70" s="8"/>
      <c r="BC70" s="8"/>
      <c r="BD70" s="8"/>
      <c r="BE70" s="8"/>
      <c r="BF70" s="8"/>
      <c r="BG70" s="8"/>
      <c r="BH70" s="8"/>
      <c r="BI70" s="8"/>
      <c r="BJ70" s="8"/>
      <c r="BK70" s="8"/>
      <c r="BL70" s="8"/>
      <c r="BM70" s="8"/>
      <c r="BN70" s="8"/>
      <c r="BO70" s="8"/>
      <c r="BP70" s="8"/>
      <c r="BQ70" s="8"/>
    </row>
    <row r="71" spans="1:69" ht="15" customHeight="1" x14ac:dyDescent="0.3">
      <c r="A71">
        <v>3</v>
      </c>
      <c r="B71" t="s">
        <v>160</v>
      </c>
      <c r="C71">
        <v>2</v>
      </c>
      <c r="G71">
        <v>7</v>
      </c>
      <c r="H71" t="s">
        <v>169</v>
      </c>
      <c r="I71" t="s">
        <v>75</v>
      </c>
      <c r="K71" t="s">
        <v>170</v>
      </c>
      <c r="L71" s="13"/>
      <c r="M71" s="25" t="s">
        <v>1324</v>
      </c>
      <c r="N71">
        <v>1</v>
      </c>
      <c r="O71" t="s">
        <v>635</v>
      </c>
      <c r="Q71" s="13" t="s">
        <v>1009</v>
      </c>
      <c r="R71">
        <v>1</v>
      </c>
      <c r="S71" s="13" t="s">
        <v>1010</v>
      </c>
      <c r="T71" s="22" t="s">
        <v>1014</v>
      </c>
      <c r="U71" s="13" t="s">
        <v>1011</v>
      </c>
      <c r="V71" t="s">
        <v>73</v>
      </c>
      <c r="W71" s="13" t="s">
        <v>1012</v>
      </c>
      <c r="X71" t="s">
        <v>73</v>
      </c>
      <c r="Y71" s="13" t="s">
        <v>1013</v>
      </c>
      <c r="Z71" t="s">
        <v>73</v>
      </c>
      <c r="AB71" s="8"/>
      <c r="AC71" s="8"/>
      <c r="AD71" s="8"/>
      <c r="AE71" s="8"/>
      <c r="AF71" s="8"/>
      <c r="AG71" s="8"/>
      <c r="AH71" s="8"/>
      <c r="AI71" s="8"/>
      <c r="AJ71" s="8"/>
      <c r="AK71" s="8"/>
      <c r="AM71" s="8"/>
      <c r="AN71" s="8"/>
      <c r="AO71" s="8"/>
      <c r="AP71" s="8"/>
      <c r="AQ71" s="8"/>
      <c r="AR71" s="8"/>
      <c r="AS71" s="8"/>
      <c r="AT71" s="8"/>
      <c r="AU71" s="8"/>
      <c r="AV71" s="8"/>
      <c r="AW71" s="8"/>
      <c r="AX71" s="8"/>
      <c r="AY71" s="8"/>
      <c r="AZ71" s="8"/>
      <c r="BA71" s="8"/>
      <c r="BB71" s="8"/>
      <c r="BC71" s="8"/>
      <c r="BD71" s="8"/>
      <c r="BE71" s="8"/>
      <c r="BF71" s="8"/>
      <c r="BG71" s="8"/>
      <c r="BH71" s="8"/>
      <c r="BI71" s="8"/>
      <c r="BJ71" s="8"/>
      <c r="BK71" s="8"/>
      <c r="BL71" s="8"/>
      <c r="BM71" s="8"/>
      <c r="BN71" s="8"/>
      <c r="BO71" s="8"/>
      <c r="BP71" s="8"/>
      <c r="BQ71" s="8"/>
    </row>
    <row r="72" spans="1:69" ht="15" customHeight="1" x14ac:dyDescent="0.3">
      <c r="A72">
        <v>3</v>
      </c>
      <c r="B72" t="s">
        <v>160</v>
      </c>
      <c r="C72">
        <v>3</v>
      </c>
      <c r="D72" t="s">
        <v>171</v>
      </c>
      <c r="E72" t="s">
        <v>20</v>
      </c>
      <c r="F72" s="17"/>
      <c r="G72">
        <v>8</v>
      </c>
      <c r="H72" t="s">
        <v>734</v>
      </c>
      <c r="I72" t="s">
        <v>75</v>
      </c>
      <c r="K72" t="s">
        <v>172</v>
      </c>
      <c r="L72" s="13"/>
      <c r="M72" s="13"/>
      <c r="T72" s="8"/>
      <c r="AB72" s="8"/>
      <c r="AC72" s="8"/>
      <c r="AD72" s="8"/>
      <c r="AE72" s="8"/>
      <c r="AF72" s="8"/>
      <c r="AG72" s="8"/>
      <c r="AH72" s="8"/>
      <c r="AI72" s="8"/>
      <c r="AJ72" s="8"/>
      <c r="AK72" s="8"/>
      <c r="AM72" s="8"/>
      <c r="AN72" s="8"/>
      <c r="AO72" s="8"/>
      <c r="AP72" s="8"/>
      <c r="AQ72" s="8"/>
      <c r="AR72" s="8"/>
      <c r="AS72" s="8"/>
      <c r="AT72" s="8"/>
      <c r="AU72" s="8"/>
      <c r="AV72" s="8"/>
      <c r="AW72" s="8"/>
      <c r="AX72" s="8"/>
      <c r="AY72" s="8"/>
      <c r="AZ72" s="8"/>
      <c r="BA72" s="8"/>
      <c r="BB72" s="8"/>
      <c r="BC72" s="8"/>
      <c r="BD72" s="8"/>
      <c r="BE72" s="8"/>
      <c r="BF72" s="8"/>
      <c r="BG72" s="8"/>
      <c r="BH72" s="8"/>
      <c r="BI72" s="8"/>
      <c r="BJ72" s="8"/>
      <c r="BK72" s="8"/>
      <c r="BL72" s="8"/>
      <c r="BM72" s="8"/>
      <c r="BN72" s="8"/>
      <c r="BO72" s="8"/>
      <c r="BP72" s="8"/>
      <c r="BQ72" s="8"/>
    </row>
    <row r="73" spans="1:69" ht="15" customHeight="1" x14ac:dyDescent="0.3">
      <c r="A73">
        <v>3</v>
      </c>
      <c r="B73" t="s">
        <v>160</v>
      </c>
      <c r="C73">
        <v>3</v>
      </c>
      <c r="G73">
        <v>9</v>
      </c>
      <c r="H73" t="s">
        <v>173</v>
      </c>
      <c r="I73" t="s">
        <v>75</v>
      </c>
      <c r="K73" t="s">
        <v>174</v>
      </c>
      <c r="L73" s="13"/>
      <c r="M73" s="25" t="s">
        <v>1325</v>
      </c>
      <c r="N73">
        <v>1</v>
      </c>
      <c r="O73" t="s">
        <v>636</v>
      </c>
      <c r="T73" s="8"/>
      <c r="AB73" s="8"/>
      <c r="AC73" s="8"/>
      <c r="AD73" s="8"/>
      <c r="AE73" s="8"/>
      <c r="AF73" s="8"/>
      <c r="AG73" s="8"/>
      <c r="AH73" s="8"/>
      <c r="AI73" s="8"/>
      <c r="AJ73" s="8"/>
      <c r="AK73" s="8"/>
      <c r="AM73" s="8"/>
      <c r="AN73" s="8"/>
      <c r="AO73" s="8"/>
      <c r="AP73" s="8"/>
      <c r="AQ73" s="8"/>
      <c r="AR73" s="8"/>
      <c r="AS73" s="8"/>
      <c r="AT73" s="8"/>
      <c r="AU73" s="8"/>
      <c r="AV73" s="8"/>
      <c r="AW73" s="8"/>
      <c r="AX73" s="8"/>
      <c r="AY73" s="8"/>
      <c r="AZ73" s="8"/>
      <c r="BA73" s="8"/>
      <c r="BB73" s="8"/>
      <c r="BC73" s="8"/>
      <c r="BD73" s="8"/>
      <c r="BE73" s="8"/>
      <c r="BF73" s="8"/>
      <c r="BG73" s="8"/>
      <c r="BH73" s="8"/>
      <c r="BI73" s="8"/>
      <c r="BJ73" s="8"/>
      <c r="BK73" s="8"/>
      <c r="BL73" s="8"/>
      <c r="BM73" s="8"/>
      <c r="BN73" s="8"/>
      <c r="BO73" s="8"/>
      <c r="BP73" s="8"/>
      <c r="BQ73" s="8"/>
    </row>
    <row r="74" spans="1:69" ht="15" customHeight="1" x14ac:dyDescent="0.3">
      <c r="A74">
        <v>3</v>
      </c>
      <c r="B74" t="s">
        <v>160</v>
      </c>
      <c r="C74">
        <v>3</v>
      </c>
      <c r="G74">
        <v>10</v>
      </c>
      <c r="H74" t="s">
        <v>982</v>
      </c>
      <c r="I74" t="s">
        <v>75</v>
      </c>
      <c r="K74" t="s">
        <v>175</v>
      </c>
      <c r="L74" s="13"/>
      <c r="M74" s="25" t="s">
        <v>1326</v>
      </c>
      <c r="N74">
        <v>1</v>
      </c>
      <c r="O74" s="2" t="s">
        <v>637</v>
      </c>
      <c r="P74" s="1"/>
      <c r="T74" s="8"/>
      <c r="AB74" s="8"/>
      <c r="AC74" s="8"/>
      <c r="AD74" s="8"/>
      <c r="AE74" s="8"/>
      <c r="AF74" s="8"/>
      <c r="AG74" s="8"/>
      <c r="AH74" s="8"/>
      <c r="AI74" s="8"/>
      <c r="AJ74" s="8"/>
      <c r="AK74" s="8"/>
      <c r="AM74" s="8"/>
      <c r="AN74" s="8"/>
      <c r="AO74" s="8"/>
      <c r="AP74" s="8"/>
      <c r="AQ74" s="8"/>
      <c r="AR74" s="8"/>
      <c r="AS74" s="8"/>
      <c r="AT74" s="8"/>
      <c r="AU74" s="8"/>
      <c r="AV74" s="8"/>
      <c r="AW74" s="8"/>
      <c r="AX74" s="8"/>
      <c r="AY74" s="8"/>
      <c r="AZ74" s="8"/>
      <c r="BA74" s="8"/>
      <c r="BB74" s="8"/>
      <c r="BC74" s="8"/>
      <c r="BD74" s="8"/>
      <c r="BE74" s="8"/>
      <c r="BF74" s="8"/>
      <c r="BG74" s="8"/>
      <c r="BH74" s="8"/>
      <c r="BI74" s="8"/>
      <c r="BJ74" s="8"/>
      <c r="BK74" s="8"/>
      <c r="BL74" s="8"/>
      <c r="BM74" s="8"/>
      <c r="BN74" s="8"/>
      <c r="BO74" s="8"/>
      <c r="BP74" s="8"/>
      <c r="BQ74" s="8"/>
    </row>
    <row r="75" spans="1:69" ht="15" customHeight="1" x14ac:dyDescent="0.3">
      <c r="A75">
        <v>3</v>
      </c>
      <c r="B75" t="s">
        <v>160</v>
      </c>
      <c r="C75">
        <v>3</v>
      </c>
      <c r="G75">
        <v>11</v>
      </c>
      <c r="H75" t="s">
        <v>176</v>
      </c>
      <c r="I75" t="s">
        <v>75</v>
      </c>
      <c r="K75" t="s">
        <v>177</v>
      </c>
      <c r="L75" s="13"/>
      <c r="M75" s="25" t="s">
        <v>1327</v>
      </c>
      <c r="N75">
        <v>1</v>
      </c>
      <c r="O75" t="s">
        <v>638</v>
      </c>
      <c r="P75" s="1"/>
      <c r="T75" s="8"/>
      <c r="AB75" s="8"/>
      <c r="AC75" s="8"/>
      <c r="AD75" s="8"/>
      <c r="AE75" s="8"/>
      <c r="AF75" s="8"/>
      <c r="AG75" s="8"/>
      <c r="AH75" s="8"/>
      <c r="AI75" s="8"/>
      <c r="AJ75" s="8"/>
      <c r="AK75" s="8"/>
      <c r="AM75" s="8"/>
      <c r="AN75" s="8"/>
      <c r="AO75" s="8"/>
      <c r="AP75" s="8"/>
      <c r="AQ75" s="8"/>
      <c r="AR75" s="8"/>
      <c r="AS75" s="8"/>
      <c r="AT75" s="8"/>
      <c r="AU75" s="8"/>
      <c r="AV75" s="8"/>
      <c r="AW75" s="8"/>
      <c r="AX75" s="8"/>
      <c r="AY75" s="8"/>
      <c r="AZ75" s="8"/>
      <c r="BA75" s="8"/>
      <c r="BB75" s="8"/>
      <c r="BC75" s="8"/>
      <c r="BD75" s="8"/>
      <c r="BE75" s="8"/>
      <c r="BF75" s="8"/>
      <c r="BG75" s="8"/>
      <c r="BH75" s="8"/>
      <c r="BI75" s="8"/>
      <c r="BJ75" s="8"/>
      <c r="BK75" s="8"/>
      <c r="BL75" s="8"/>
      <c r="BM75" s="8"/>
      <c r="BN75" s="8"/>
      <c r="BO75" s="8"/>
      <c r="BP75" s="8"/>
      <c r="BQ75" s="8"/>
    </row>
    <row r="76" spans="1:69" ht="15" customHeight="1" x14ac:dyDescent="0.3">
      <c r="A76">
        <v>3</v>
      </c>
      <c r="B76" t="s">
        <v>160</v>
      </c>
      <c r="C76">
        <v>3</v>
      </c>
      <c r="G76">
        <v>12</v>
      </c>
      <c r="H76" t="s">
        <v>178</v>
      </c>
      <c r="I76" t="s">
        <v>75</v>
      </c>
      <c r="K76" t="s">
        <v>179</v>
      </c>
      <c r="L76" s="13"/>
      <c r="M76" s="23" t="s">
        <v>983</v>
      </c>
      <c r="N76">
        <v>1</v>
      </c>
      <c r="O76" t="s">
        <v>639</v>
      </c>
      <c r="P76" s="1"/>
      <c r="Q76" s="23" t="s">
        <v>1092</v>
      </c>
      <c r="R76">
        <v>4</v>
      </c>
      <c r="S76" s="13" t="s">
        <v>1093</v>
      </c>
      <c r="T76" s="22" t="s">
        <v>1015</v>
      </c>
      <c r="U76" s="13" t="s">
        <v>1094</v>
      </c>
      <c r="V76" t="s">
        <v>73</v>
      </c>
      <c r="W76" s="13" t="s">
        <v>1095</v>
      </c>
      <c r="X76" t="s">
        <v>73</v>
      </c>
      <c r="Y76" s="13" t="s">
        <v>1096</v>
      </c>
      <c r="Z76" t="s">
        <v>4</v>
      </c>
      <c r="AB76" s="8"/>
      <c r="AC76" s="8"/>
      <c r="AD76" s="8"/>
      <c r="AE76" s="8"/>
      <c r="AF76" s="8"/>
      <c r="AG76" s="8"/>
      <c r="AH76" s="8"/>
      <c r="AI76" s="8"/>
      <c r="AJ76" s="8"/>
      <c r="AK76" s="8"/>
      <c r="AM76" s="8"/>
      <c r="AN76" s="8"/>
      <c r="AO76" s="8"/>
      <c r="AP76" s="8"/>
      <c r="AQ76" s="8"/>
      <c r="AR76" s="11"/>
      <c r="AS76" s="8"/>
      <c r="AT76" s="8"/>
      <c r="AU76" s="8"/>
      <c r="AV76" s="8"/>
      <c r="AW76" s="8"/>
      <c r="AX76" s="8"/>
      <c r="AY76" s="8"/>
      <c r="AZ76" s="8"/>
      <c r="BA76" s="8"/>
      <c r="BB76" s="8"/>
      <c r="BC76" s="8"/>
      <c r="BD76" s="8"/>
      <c r="BE76" s="8"/>
      <c r="BF76" s="8"/>
      <c r="BG76" s="8"/>
      <c r="BH76" s="8"/>
      <c r="BI76" s="8"/>
      <c r="BJ76" s="8"/>
      <c r="BK76" s="8"/>
      <c r="BL76" s="8"/>
      <c r="BM76" s="8"/>
      <c r="BN76" s="8"/>
      <c r="BO76" s="8"/>
      <c r="BP76" s="8"/>
      <c r="BQ76" s="8"/>
    </row>
    <row r="77" spans="1:69" ht="15" customHeight="1" x14ac:dyDescent="0.3">
      <c r="A77">
        <v>3</v>
      </c>
      <c r="B77" t="s">
        <v>160</v>
      </c>
      <c r="C77">
        <v>4</v>
      </c>
      <c r="D77" t="s">
        <v>180</v>
      </c>
      <c r="E77" t="s">
        <v>20</v>
      </c>
      <c r="F77" s="17"/>
      <c r="G77">
        <v>13</v>
      </c>
      <c r="H77" t="s">
        <v>734</v>
      </c>
      <c r="I77" t="s">
        <v>75</v>
      </c>
      <c r="K77" t="s">
        <v>181</v>
      </c>
      <c r="L77" s="13"/>
      <c r="M77" s="13"/>
      <c r="O77" s="2"/>
      <c r="P77" s="1"/>
      <c r="T77" s="8"/>
      <c r="AB77" s="8"/>
      <c r="AC77" s="8"/>
      <c r="AD77" s="8"/>
      <c r="AE77" s="8"/>
      <c r="AF77" s="8"/>
      <c r="AG77" s="8"/>
      <c r="AH77" s="8"/>
      <c r="AI77" s="8"/>
      <c r="AJ77" s="8"/>
      <c r="AK77" s="8"/>
      <c r="AM77" s="8"/>
      <c r="AN77" s="8"/>
      <c r="AO77" s="8"/>
      <c r="AP77" s="8"/>
      <c r="AQ77" s="8"/>
      <c r="AR77" s="8"/>
      <c r="AS77" s="8"/>
      <c r="AT77" s="8"/>
      <c r="AU77" s="8"/>
      <c r="AV77" s="8"/>
      <c r="AW77" s="8"/>
      <c r="AX77" s="8"/>
      <c r="AY77" s="8"/>
      <c r="AZ77" s="8"/>
      <c r="BA77" s="8"/>
      <c r="BB77" s="8"/>
      <c r="BC77" s="8"/>
      <c r="BD77" s="8"/>
      <c r="BE77" s="8"/>
      <c r="BF77" s="8"/>
      <c r="BG77" s="8"/>
      <c r="BH77" s="8"/>
      <c r="BI77" s="8"/>
      <c r="BJ77" s="8"/>
      <c r="BK77" s="8"/>
      <c r="BL77" s="8"/>
      <c r="BM77" s="8"/>
      <c r="BN77" s="8"/>
      <c r="BO77" s="8"/>
      <c r="BP77" s="8"/>
      <c r="BQ77" s="8"/>
    </row>
    <row r="78" spans="1:69" ht="15" customHeight="1" x14ac:dyDescent="0.3">
      <c r="A78">
        <v>3</v>
      </c>
      <c r="B78" t="s">
        <v>160</v>
      </c>
      <c r="C78">
        <v>4</v>
      </c>
      <c r="G78">
        <v>14</v>
      </c>
      <c r="H78" t="s">
        <v>182</v>
      </c>
      <c r="I78" t="s">
        <v>75</v>
      </c>
      <c r="K78" t="s">
        <v>183</v>
      </c>
      <c r="L78" s="13"/>
      <c r="M78" s="23" t="s">
        <v>984</v>
      </c>
      <c r="N78">
        <v>1</v>
      </c>
      <c r="O78" t="s">
        <v>640</v>
      </c>
      <c r="P78" s="1"/>
      <c r="Q78" s="8"/>
      <c r="R78" s="8"/>
      <c r="S78" s="8"/>
      <c r="T78" s="8"/>
      <c r="U78" s="8"/>
      <c r="V78" s="8"/>
      <c r="W78" s="8"/>
      <c r="X78" s="8"/>
      <c r="Y78" s="8"/>
      <c r="Z78" s="8"/>
      <c r="AB78" s="8"/>
      <c r="AC78" s="8"/>
      <c r="AD78" s="8"/>
      <c r="AE78" s="8"/>
      <c r="AF78" s="8"/>
      <c r="AG78" s="8"/>
      <c r="AH78" s="8"/>
      <c r="AI78" s="8"/>
      <c r="AJ78" s="8"/>
      <c r="AK78" s="8"/>
      <c r="AM78" s="8"/>
      <c r="AN78" s="8"/>
      <c r="AO78" s="8"/>
      <c r="AP78" s="8"/>
      <c r="AQ78" s="8"/>
      <c r="AR78" s="8"/>
      <c r="AS78" s="8"/>
      <c r="AT78" s="8"/>
      <c r="AU78" s="8"/>
      <c r="AV78" s="8"/>
      <c r="AW78" s="8"/>
      <c r="AX78" s="8"/>
      <c r="AY78" s="8"/>
      <c r="AZ78" s="8"/>
      <c r="BA78" s="8"/>
      <c r="BB78" s="8"/>
      <c r="BC78" s="8"/>
      <c r="BD78" s="8"/>
      <c r="BE78" s="8"/>
      <c r="BF78" s="8"/>
      <c r="BG78" s="8"/>
      <c r="BH78" s="8"/>
      <c r="BI78" s="8"/>
      <c r="BJ78" s="8"/>
      <c r="BK78" s="8"/>
      <c r="BL78" s="8"/>
      <c r="BM78" s="8"/>
      <c r="BN78" s="8"/>
      <c r="BO78" s="8"/>
      <c r="BP78" s="9"/>
      <c r="BQ78" s="8"/>
    </row>
    <row r="79" spans="1:69" ht="15" customHeight="1" x14ac:dyDescent="0.3">
      <c r="A79">
        <v>3</v>
      </c>
      <c r="B79" t="s">
        <v>160</v>
      </c>
      <c r="C79">
        <v>4</v>
      </c>
      <c r="G79">
        <v>15</v>
      </c>
      <c r="H79" t="s">
        <v>184</v>
      </c>
      <c r="I79" t="s">
        <v>75</v>
      </c>
      <c r="K79" t="s">
        <v>185</v>
      </c>
      <c r="L79" s="13"/>
      <c r="M79" s="25" t="s">
        <v>1328</v>
      </c>
      <c r="N79">
        <v>1</v>
      </c>
      <c r="O79" t="s">
        <v>641</v>
      </c>
      <c r="P79" s="1"/>
      <c r="T79" s="8"/>
      <c r="AB79" s="8"/>
      <c r="AC79" s="8"/>
      <c r="AD79" s="8"/>
      <c r="AE79" s="8"/>
      <c r="AF79" s="8"/>
      <c r="AG79" s="8"/>
      <c r="AH79" s="8"/>
      <c r="AI79" s="8"/>
      <c r="AJ79" s="8"/>
      <c r="AK79" s="8"/>
      <c r="AM79" s="8"/>
      <c r="AN79" s="8"/>
      <c r="AO79" s="8"/>
      <c r="AP79" s="8"/>
      <c r="AQ79" s="8"/>
      <c r="AR79" s="8"/>
      <c r="AS79" s="8"/>
      <c r="AT79" s="8"/>
      <c r="AU79" s="8"/>
      <c r="AV79" s="8"/>
      <c r="AW79" s="8"/>
      <c r="AX79" s="8"/>
      <c r="AY79" s="8"/>
      <c r="AZ79" s="8"/>
      <c r="BA79" s="8"/>
      <c r="BB79" s="8"/>
      <c r="BC79" s="8"/>
      <c r="BD79" s="8"/>
      <c r="BE79" s="8"/>
      <c r="BF79" s="8"/>
      <c r="BG79" s="8"/>
      <c r="BH79" s="8"/>
      <c r="BI79" s="8"/>
      <c r="BJ79" s="8"/>
      <c r="BK79" s="8"/>
      <c r="BL79" s="8"/>
      <c r="BM79" s="8"/>
      <c r="BN79" s="8"/>
      <c r="BO79" s="8"/>
      <c r="BP79" s="8"/>
      <c r="BQ79" s="8"/>
    </row>
    <row r="80" spans="1:69" ht="15" customHeight="1" x14ac:dyDescent="0.3">
      <c r="A80">
        <v>3</v>
      </c>
      <c r="B80" t="s">
        <v>160</v>
      </c>
      <c r="C80">
        <v>4</v>
      </c>
      <c r="G80">
        <v>16</v>
      </c>
      <c r="H80" t="s">
        <v>186</v>
      </c>
      <c r="I80" t="s">
        <v>75</v>
      </c>
      <c r="K80" t="s">
        <v>187</v>
      </c>
      <c r="L80" s="13"/>
      <c r="M80" s="25" t="s">
        <v>1329</v>
      </c>
      <c r="N80">
        <v>1</v>
      </c>
      <c r="O80" t="s">
        <v>642</v>
      </c>
      <c r="P80" s="1"/>
      <c r="Q80" s="13" t="s">
        <v>593</v>
      </c>
      <c r="R80">
        <v>1</v>
      </c>
      <c r="S80" s="13" t="s">
        <v>594</v>
      </c>
      <c r="T80" s="22" t="s">
        <v>1016</v>
      </c>
      <c r="U80" s="13" t="s">
        <v>595</v>
      </c>
      <c r="V80" t="s">
        <v>73</v>
      </c>
      <c r="W80" s="13" t="s">
        <v>596</v>
      </c>
      <c r="X80" t="s">
        <v>73</v>
      </c>
      <c r="Y80" s="13" t="s">
        <v>597</v>
      </c>
      <c r="Z80" t="s">
        <v>73</v>
      </c>
      <c r="AB80" s="8"/>
      <c r="AC80" s="8"/>
      <c r="AD80" s="8"/>
      <c r="AE80" s="8"/>
      <c r="AF80" s="8"/>
      <c r="AG80" s="8"/>
      <c r="AH80" s="8"/>
      <c r="AI80" s="8"/>
      <c r="AJ80" s="8"/>
      <c r="AK80" s="8"/>
      <c r="AM80" s="8"/>
      <c r="AN80" s="8"/>
      <c r="AO80" s="8"/>
      <c r="AP80" s="8"/>
      <c r="AQ80" s="8"/>
      <c r="AR80" s="8"/>
      <c r="AS80" s="8"/>
      <c r="AT80" s="8"/>
      <c r="AU80" s="8"/>
      <c r="AV80" s="8"/>
      <c r="AW80" s="8"/>
      <c r="AX80" s="8"/>
      <c r="AY80" s="8"/>
      <c r="AZ80" s="8"/>
      <c r="BA80" s="8"/>
      <c r="BB80" s="8"/>
      <c r="BC80" s="8"/>
      <c r="BD80" s="8"/>
      <c r="BE80" s="8"/>
      <c r="BF80" s="8"/>
      <c r="BG80" s="8"/>
      <c r="BH80" s="8"/>
      <c r="BI80" s="8"/>
      <c r="BJ80" s="8"/>
      <c r="BK80" s="8"/>
      <c r="BL80" s="8"/>
      <c r="BM80" s="8"/>
      <c r="BN80" s="8"/>
      <c r="BO80" s="8"/>
      <c r="BP80" s="8"/>
      <c r="BQ80" s="8"/>
    </row>
    <row r="81" spans="1:69" ht="15" customHeight="1" x14ac:dyDescent="0.3">
      <c r="A81">
        <v>3</v>
      </c>
      <c r="B81" t="s">
        <v>160</v>
      </c>
      <c r="C81">
        <v>4</v>
      </c>
      <c r="G81">
        <v>17</v>
      </c>
      <c r="H81" t="s">
        <v>188</v>
      </c>
      <c r="I81" t="s">
        <v>75</v>
      </c>
      <c r="K81" t="s">
        <v>189</v>
      </c>
      <c r="L81" s="13"/>
      <c r="M81" s="23" t="s">
        <v>985</v>
      </c>
      <c r="N81">
        <v>1</v>
      </c>
      <c r="O81" t="s">
        <v>643</v>
      </c>
      <c r="P81" s="1"/>
      <c r="AD81" s="8"/>
      <c r="AE81" s="8"/>
      <c r="AF81" s="8"/>
      <c r="AG81" s="8"/>
      <c r="AH81" s="8"/>
      <c r="AI81" s="8"/>
      <c r="AJ81" s="8"/>
      <c r="AK81" s="8"/>
      <c r="AM81" s="8"/>
      <c r="AN81" s="8"/>
      <c r="AO81" s="8"/>
      <c r="AP81" s="8"/>
      <c r="AQ81" s="8"/>
      <c r="AR81" s="8"/>
      <c r="AS81" s="8"/>
      <c r="AT81" s="8"/>
      <c r="AU81" s="8"/>
      <c r="AV81" s="8"/>
      <c r="AW81" s="8"/>
      <c r="AX81" s="8"/>
      <c r="AY81" s="8"/>
      <c r="AZ81" s="8"/>
      <c r="BA81" s="8"/>
      <c r="BB81" s="8"/>
      <c r="BC81" s="8"/>
      <c r="BD81" s="8"/>
      <c r="BE81" s="8"/>
      <c r="BF81" s="8"/>
      <c r="BG81" s="8"/>
      <c r="BH81" s="8"/>
      <c r="BI81" s="8"/>
      <c r="BJ81" s="8"/>
      <c r="BK81" s="8"/>
      <c r="BL81" s="8"/>
      <c r="BM81" s="8"/>
      <c r="BN81" s="8"/>
      <c r="BO81" s="8"/>
      <c r="BP81" s="8"/>
      <c r="BQ81" s="8"/>
    </row>
    <row r="82" spans="1:69" ht="15" customHeight="1" x14ac:dyDescent="0.3">
      <c r="A82">
        <v>3</v>
      </c>
      <c r="B82" t="s">
        <v>160</v>
      </c>
      <c r="C82">
        <v>5</v>
      </c>
      <c r="D82" t="s">
        <v>190</v>
      </c>
      <c r="E82" t="s">
        <v>20</v>
      </c>
      <c r="F82" s="17"/>
      <c r="G82">
        <v>18</v>
      </c>
      <c r="H82" t="s">
        <v>734</v>
      </c>
      <c r="I82" t="s">
        <v>75</v>
      </c>
      <c r="K82" t="s">
        <v>191</v>
      </c>
      <c r="L82" s="13"/>
      <c r="M82" s="13"/>
      <c r="P82" s="1"/>
      <c r="T82" s="8"/>
      <c r="AB82" s="8"/>
      <c r="AC82" s="8"/>
      <c r="AD82" s="8"/>
      <c r="AE82" s="8"/>
      <c r="AF82" s="8"/>
      <c r="AG82" s="8"/>
      <c r="AH82" s="8"/>
      <c r="AI82" s="8"/>
      <c r="AJ82" s="8"/>
      <c r="AK82" s="8"/>
      <c r="AM82" s="8"/>
      <c r="AN82" s="8"/>
      <c r="AO82" s="8"/>
      <c r="AP82" s="8"/>
      <c r="AQ82" s="8"/>
      <c r="AR82" s="8"/>
      <c r="AS82" s="8"/>
      <c r="AT82" s="8"/>
      <c r="AU82" s="8"/>
      <c r="AV82" s="11"/>
      <c r="AW82" s="8"/>
      <c r="AX82" s="8"/>
      <c r="AY82" s="8"/>
      <c r="AZ82" s="8"/>
      <c r="BA82" s="8"/>
      <c r="BB82" s="8"/>
      <c r="BC82" s="8"/>
      <c r="BD82" s="8"/>
      <c r="BE82" s="8"/>
      <c r="BF82" s="8"/>
      <c r="BG82" s="8"/>
      <c r="BH82" s="8"/>
      <c r="BI82" s="10"/>
      <c r="BJ82" s="10"/>
      <c r="BK82" s="10"/>
      <c r="BL82" s="10"/>
      <c r="BM82" s="10"/>
      <c r="BN82" s="10"/>
      <c r="BO82" s="10"/>
      <c r="BP82" s="10"/>
      <c r="BQ82" s="10"/>
    </row>
    <row r="83" spans="1:69" ht="15" customHeight="1" x14ac:dyDescent="0.3">
      <c r="A83">
        <v>3</v>
      </c>
      <c r="B83" t="s">
        <v>160</v>
      </c>
      <c r="C83">
        <v>5</v>
      </c>
      <c r="G83">
        <v>19</v>
      </c>
      <c r="H83" t="s">
        <v>192</v>
      </c>
      <c r="I83" t="s">
        <v>75</v>
      </c>
      <c r="K83" t="s">
        <v>193</v>
      </c>
      <c r="L83" s="13"/>
      <c r="M83" s="23" t="s">
        <v>986</v>
      </c>
      <c r="N83">
        <v>1</v>
      </c>
      <c r="O83" t="s">
        <v>644</v>
      </c>
      <c r="P83" s="1"/>
      <c r="Q83" s="13" t="s">
        <v>996</v>
      </c>
      <c r="R83">
        <v>3</v>
      </c>
      <c r="S83" s="19" t="s">
        <v>1000</v>
      </c>
      <c r="T83" s="22" t="s">
        <v>997</v>
      </c>
      <c r="U83" s="20" t="s">
        <v>999</v>
      </c>
      <c r="V83" t="s">
        <v>73</v>
      </c>
      <c r="W83" s="19" t="s">
        <v>998</v>
      </c>
      <c r="X83" t="s">
        <v>4</v>
      </c>
      <c r="Y83" s="14" t="s">
        <v>1001</v>
      </c>
      <c r="Z83" t="s">
        <v>73</v>
      </c>
      <c r="AB83" s="8"/>
      <c r="AC83" s="8"/>
      <c r="AD83" s="8"/>
      <c r="AE83" s="8"/>
      <c r="AF83" s="8"/>
      <c r="AG83" s="8"/>
      <c r="AH83" s="8"/>
      <c r="AI83" s="8"/>
      <c r="AJ83" s="8"/>
      <c r="AK83" s="8"/>
      <c r="AM83" s="8"/>
      <c r="AN83" s="8"/>
      <c r="AO83" s="8"/>
      <c r="AP83" s="8"/>
      <c r="AQ83" s="8"/>
      <c r="AR83" s="8"/>
      <c r="AS83" s="8"/>
      <c r="AT83" s="8"/>
      <c r="AU83" s="8"/>
      <c r="AV83" s="8"/>
      <c r="AW83" s="8"/>
      <c r="AX83" s="8"/>
      <c r="AY83" s="8"/>
      <c r="AZ83" s="8"/>
      <c r="BA83" s="8"/>
      <c r="BB83" s="8"/>
      <c r="BC83" s="8"/>
      <c r="BD83" s="8"/>
      <c r="BE83" s="8"/>
      <c r="BF83" s="8"/>
      <c r="BG83" s="8"/>
      <c r="BH83" s="8"/>
      <c r="BI83" s="8"/>
      <c r="BJ83" s="8"/>
      <c r="BK83" s="8"/>
      <c r="BL83" s="8"/>
      <c r="BM83" s="8"/>
      <c r="BN83" s="8"/>
      <c r="BO83" s="8"/>
      <c r="BP83" s="8"/>
      <c r="BQ83" s="8"/>
    </row>
    <row r="84" spans="1:69" ht="15" customHeight="1" x14ac:dyDescent="0.3">
      <c r="A84">
        <v>3</v>
      </c>
      <c r="B84" t="s">
        <v>160</v>
      </c>
      <c r="C84">
        <v>5</v>
      </c>
      <c r="G84">
        <v>20</v>
      </c>
      <c r="H84" t="s">
        <v>194</v>
      </c>
      <c r="I84" t="s">
        <v>75</v>
      </c>
      <c r="K84" t="s">
        <v>195</v>
      </c>
      <c r="L84" s="13"/>
      <c r="M84" s="23" t="s">
        <v>987</v>
      </c>
      <c r="N84">
        <v>1</v>
      </c>
      <c r="O84" t="s">
        <v>645</v>
      </c>
      <c r="P84" s="1"/>
      <c r="T84" s="8"/>
      <c r="AB84" s="8"/>
      <c r="AC84" s="8"/>
      <c r="AD84" s="8"/>
      <c r="AE84" s="8"/>
      <c r="AF84" s="8"/>
      <c r="AG84" s="8"/>
      <c r="AH84" s="8"/>
      <c r="AI84" s="8"/>
      <c r="AJ84" s="8"/>
      <c r="AK84" s="8"/>
      <c r="AM84" s="8"/>
      <c r="AN84" s="8"/>
      <c r="AO84" s="8"/>
      <c r="AP84" s="8"/>
      <c r="AQ84" s="8"/>
      <c r="AR84" s="8"/>
      <c r="AS84" s="8"/>
      <c r="AT84" s="8"/>
      <c r="AU84" s="8"/>
      <c r="AV84" s="8"/>
      <c r="AW84" s="8"/>
      <c r="AX84" s="8"/>
      <c r="AY84" s="8"/>
      <c r="AZ84" s="8"/>
      <c r="BA84" s="8"/>
      <c r="BB84" s="8"/>
      <c r="BC84" s="8"/>
      <c r="BD84" s="8"/>
      <c r="BE84" s="8"/>
      <c r="BF84" s="8"/>
      <c r="BG84" s="8"/>
      <c r="BH84" s="8"/>
      <c r="BI84" s="8"/>
      <c r="BJ84" s="8"/>
      <c r="BK84" s="8"/>
      <c r="BL84" s="8"/>
      <c r="BM84" s="8"/>
      <c r="BN84" s="8"/>
      <c r="BO84" s="8"/>
      <c r="BP84" s="8"/>
      <c r="BQ84" s="8"/>
    </row>
    <row r="85" spans="1:69" ht="15" customHeight="1" x14ac:dyDescent="0.3">
      <c r="A85">
        <v>3</v>
      </c>
      <c r="B85" t="s">
        <v>160</v>
      </c>
      <c r="C85">
        <v>5</v>
      </c>
      <c r="G85">
        <v>21</v>
      </c>
      <c r="H85" t="s">
        <v>196</v>
      </c>
      <c r="I85" t="s">
        <v>75</v>
      </c>
      <c r="K85" t="s">
        <v>197</v>
      </c>
      <c r="L85" s="13"/>
      <c r="M85" s="23" t="s">
        <v>988</v>
      </c>
      <c r="N85">
        <v>1</v>
      </c>
      <c r="O85" t="s">
        <v>646</v>
      </c>
      <c r="P85" s="1"/>
      <c r="Q85" s="13" t="s">
        <v>1088</v>
      </c>
      <c r="R85">
        <v>3</v>
      </c>
      <c r="S85" s="13" t="s">
        <v>1089</v>
      </c>
      <c r="T85" s="22" t="s">
        <v>1017</v>
      </c>
      <c r="U85" s="13" t="s">
        <v>1090</v>
      </c>
      <c r="V85" t="s">
        <v>73</v>
      </c>
      <c r="W85" s="13" t="s">
        <v>1091</v>
      </c>
      <c r="X85" t="s">
        <v>4</v>
      </c>
      <c r="Y85" s="13" t="s">
        <v>376</v>
      </c>
      <c r="Z85" t="s">
        <v>73</v>
      </c>
      <c r="AB85" s="8"/>
      <c r="AC85" s="8"/>
      <c r="AD85" s="8"/>
      <c r="AE85" s="8"/>
      <c r="AF85" s="8"/>
      <c r="AG85" s="8"/>
      <c r="AH85" s="8"/>
      <c r="AI85" s="8"/>
      <c r="AJ85" s="8"/>
      <c r="AK85" s="8"/>
      <c r="AM85" s="8"/>
      <c r="AN85" s="8"/>
      <c r="AO85" s="8"/>
      <c r="AP85" s="8"/>
      <c r="AQ85" s="8"/>
      <c r="AR85" s="8"/>
      <c r="AS85" s="8"/>
      <c r="AT85" s="8"/>
      <c r="AU85" s="8"/>
      <c r="AV85" s="8"/>
      <c r="AW85" s="8"/>
      <c r="AX85" s="8"/>
      <c r="AY85" s="8"/>
      <c r="AZ85" s="8"/>
      <c r="BA85" s="8"/>
      <c r="BB85" s="8"/>
      <c r="BC85" s="8"/>
      <c r="BD85" s="8"/>
      <c r="BE85" s="8"/>
      <c r="BF85" s="8"/>
      <c r="BG85" s="8"/>
      <c r="BH85" s="8"/>
      <c r="BI85" s="8"/>
      <c r="BJ85" s="8"/>
      <c r="BK85" s="8"/>
      <c r="BL85" s="8"/>
      <c r="BM85" s="8"/>
      <c r="BN85" s="8"/>
      <c r="BO85" s="8"/>
      <c r="BP85" s="8"/>
      <c r="BQ85" s="8"/>
    </row>
    <row r="86" spans="1:69" ht="15" customHeight="1" x14ac:dyDescent="0.3">
      <c r="A86">
        <v>3</v>
      </c>
      <c r="B86" t="s">
        <v>160</v>
      </c>
      <c r="C86">
        <v>6</v>
      </c>
      <c r="D86" t="s">
        <v>810</v>
      </c>
      <c r="F86" s="17"/>
      <c r="G86">
        <v>22</v>
      </c>
      <c r="H86" t="s">
        <v>810</v>
      </c>
      <c r="I86" t="s">
        <v>75</v>
      </c>
      <c r="L86" s="23" t="s">
        <v>1003</v>
      </c>
      <c r="M86" s="23"/>
      <c r="P86" s="1"/>
      <c r="Q86" s="13"/>
      <c r="S86" s="13"/>
      <c r="T86" s="8"/>
      <c r="U86" s="13"/>
      <c r="W86" s="13"/>
      <c r="Y86" s="13"/>
      <c r="AB86" s="8"/>
      <c r="AC86" s="8"/>
      <c r="AD86" s="8"/>
      <c r="AE86" s="8"/>
      <c r="AF86" s="8"/>
      <c r="AG86" s="8"/>
      <c r="AH86" s="8"/>
      <c r="AI86" s="8"/>
      <c r="AJ86" s="8"/>
      <c r="AK86" s="8"/>
      <c r="AM86" s="8"/>
      <c r="AN86" s="8"/>
      <c r="AO86" s="8"/>
      <c r="AP86" s="8"/>
      <c r="AQ86" s="8"/>
      <c r="AR86" s="8"/>
      <c r="AS86" s="8"/>
      <c r="AT86" s="8"/>
      <c r="AU86" s="8"/>
      <c r="AV86" s="8"/>
      <c r="AW86" s="8"/>
      <c r="AX86" s="8"/>
      <c r="AY86" s="8"/>
      <c r="AZ86" s="8"/>
      <c r="BA86" s="8"/>
      <c r="BB86" s="8"/>
      <c r="BC86" s="8"/>
      <c r="BD86" s="8"/>
      <c r="BE86" s="8"/>
      <c r="BF86" s="8"/>
      <c r="BG86" s="8"/>
      <c r="BH86" s="8"/>
      <c r="BI86" s="8"/>
      <c r="BJ86" s="8"/>
      <c r="BK86" s="8"/>
      <c r="BL86" s="8"/>
      <c r="BM86" s="8"/>
      <c r="BN86" s="8"/>
      <c r="BO86" s="8"/>
      <c r="BP86" s="8"/>
      <c r="BQ86" s="8"/>
    </row>
    <row r="87" spans="1:69" ht="15" customHeight="1" x14ac:dyDescent="0.3">
      <c r="A87">
        <v>3</v>
      </c>
      <c r="B87" t="s">
        <v>160</v>
      </c>
      <c r="C87">
        <v>7</v>
      </c>
      <c r="D87" t="s">
        <v>720</v>
      </c>
      <c r="E87" t="s">
        <v>1143</v>
      </c>
      <c r="F87" s="17"/>
      <c r="G87">
        <v>23</v>
      </c>
      <c r="H87" t="s">
        <v>110</v>
      </c>
      <c r="I87" t="s">
        <v>75</v>
      </c>
      <c r="L87" s="25" t="s">
        <v>989</v>
      </c>
      <c r="M87" s="13"/>
      <c r="N87">
        <v>1</v>
      </c>
      <c r="P87" s="1"/>
      <c r="AB87" s="8"/>
      <c r="AC87" s="8"/>
      <c r="AD87" s="8"/>
      <c r="AE87" s="8"/>
      <c r="AF87" s="8"/>
      <c r="AG87" s="8"/>
      <c r="AH87" s="8"/>
      <c r="AI87" s="8"/>
      <c r="AJ87" s="8"/>
      <c r="AK87" s="8"/>
      <c r="AM87" s="8"/>
      <c r="AN87" s="8"/>
      <c r="AO87" s="12"/>
      <c r="AP87" s="8"/>
      <c r="AQ87" s="12"/>
      <c r="AR87" s="8"/>
      <c r="AS87" s="12"/>
      <c r="AT87" s="8"/>
      <c r="AU87" s="12"/>
      <c r="AV87" s="8"/>
      <c r="AW87" s="8"/>
      <c r="AX87" s="8"/>
      <c r="AY87" s="8"/>
      <c r="AZ87" s="12"/>
      <c r="BA87" s="8"/>
      <c r="BB87" s="12"/>
      <c r="BC87" s="8"/>
      <c r="BD87" s="12"/>
      <c r="BE87" s="8"/>
      <c r="BF87" s="12"/>
      <c r="BG87" s="8"/>
      <c r="BH87" s="8"/>
      <c r="BI87" s="8"/>
      <c r="BJ87" s="8"/>
      <c r="BK87" s="8"/>
      <c r="BL87" s="8"/>
      <c r="BM87" s="12"/>
      <c r="BN87" s="8"/>
      <c r="BO87" s="8"/>
      <c r="BP87" s="8"/>
      <c r="BQ87" s="8"/>
    </row>
    <row r="88" spans="1:69" ht="15" customHeight="1" x14ac:dyDescent="0.3">
      <c r="A88">
        <v>3</v>
      </c>
      <c r="B88" t="s">
        <v>160</v>
      </c>
      <c r="C88">
        <v>7</v>
      </c>
      <c r="F88" s="17"/>
      <c r="G88">
        <v>24</v>
      </c>
      <c r="H88" t="s">
        <v>814</v>
      </c>
      <c r="I88" t="s">
        <v>75</v>
      </c>
      <c r="K88" t="s">
        <v>198</v>
      </c>
      <c r="L88" s="13"/>
      <c r="M88" s="13"/>
      <c r="N88">
        <v>1</v>
      </c>
      <c r="P88" s="1"/>
      <c r="T88" s="8"/>
      <c r="AB88" s="8"/>
      <c r="AC88" s="8"/>
      <c r="AD88" s="8"/>
      <c r="AE88" s="8"/>
      <c r="AF88" s="8"/>
      <c r="AG88" s="8"/>
      <c r="AH88" s="8"/>
      <c r="AI88" s="8"/>
      <c r="AJ88" s="8"/>
      <c r="AK88" s="8"/>
      <c r="AM88" s="8"/>
      <c r="AN88" s="8"/>
      <c r="AO88" s="12"/>
      <c r="AP88" s="8"/>
      <c r="AQ88" s="12"/>
      <c r="AR88" s="8"/>
      <c r="AS88" s="12"/>
      <c r="AT88" s="8"/>
      <c r="AU88" s="12"/>
      <c r="AV88" s="8"/>
      <c r="AW88" s="8"/>
      <c r="AX88" s="8"/>
      <c r="AY88" s="8"/>
      <c r="AZ88" s="12"/>
      <c r="BA88" s="8"/>
      <c r="BB88" s="12"/>
      <c r="BC88" s="8"/>
      <c r="BD88" s="12"/>
      <c r="BE88" s="8"/>
      <c r="BF88" s="12"/>
      <c r="BG88" s="8"/>
      <c r="BH88" s="8"/>
      <c r="BI88" s="8"/>
      <c r="BJ88" s="8"/>
      <c r="BK88" s="8"/>
      <c r="BL88" s="8"/>
      <c r="BM88" s="12"/>
      <c r="BN88" s="8"/>
      <c r="BO88" s="8"/>
      <c r="BP88" s="8"/>
      <c r="BQ88" s="8"/>
    </row>
    <row r="89" spans="1:69" ht="15" customHeight="1" x14ac:dyDescent="0.3">
      <c r="A89">
        <v>3</v>
      </c>
      <c r="B89" t="s">
        <v>160</v>
      </c>
      <c r="C89">
        <v>7</v>
      </c>
      <c r="G89">
        <v>25</v>
      </c>
      <c r="H89" t="s">
        <v>112</v>
      </c>
      <c r="I89" t="s">
        <v>75</v>
      </c>
      <c r="L89" s="23" t="s">
        <v>990</v>
      </c>
      <c r="M89" s="13"/>
      <c r="N89">
        <v>1</v>
      </c>
      <c r="P89" s="1"/>
      <c r="T89" s="8"/>
      <c r="AB89" s="8"/>
      <c r="AC89" s="8"/>
      <c r="AD89" s="8"/>
      <c r="AE89" s="8"/>
      <c r="AF89" s="8"/>
      <c r="AG89" s="8"/>
      <c r="AH89" s="8"/>
      <c r="AI89" s="8"/>
      <c r="AJ89" s="8"/>
      <c r="AK89" s="8"/>
      <c r="AM89" s="8"/>
      <c r="AN89" s="8"/>
      <c r="AO89" s="8"/>
      <c r="AP89" s="8"/>
      <c r="AQ89" s="8"/>
      <c r="AR89" s="8"/>
      <c r="AS89" s="8"/>
      <c r="AT89" s="8"/>
      <c r="AU89" s="8"/>
      <c r="AV89" s="8"/>
      <c r="AW89" s="8"/>
      <c r="AX89" s="8"/>
      <c r="AY89" s="8"/>
      <c r="AZ89" s="8"/>
      <c r="BA89" s="8"/>
      <c r="BB89" s="8"/>
      <c r="BC89" s="8"/>
      <c r="BD89" s="8"/>
      <c r="BE89" s="8"/>
      <c r="BF89" s="8"/>
      <c r="BG89" s="8"/>
      <c r="BH89" s="8"/>
      <c r="BI89" s="8"/>
      <c r="BJ89" s="8"/>
      <c r="BK89" s="8"/>
      <c r="BL89" s="8"/>
      <c r="BM89" s="8"/>
      <c r="BN89" s="8"/>
      <c r="BO89" s="8"/>
      <c r="BP89" s="8"/>
      <c r="BQ89" s="8"/>
    </row>
    <row r="90" spans="1:69" ht="15" customHeight="1" x14ac:dyDescent="0.3">
      <c r="A90">
        <v>3</v>
      </c>
      <c r="B90" t="s">
        <v>160</v>
      </c>
      <c r="C90">
        <v>7</v>
      </c>
      <c r="G90">
        <v>26</v>
      </c>
      <c r="H90" t="s">
        <v>816</v>
      </c>
      <c r="I90" t="s">
        <v>75</v>
      </c>
      <c r="K90" t="s">
        <v>199</v>
      </c>
      <c r="L90" s="13"/>
      <c r="M90" s="13"/>
      <c r="N90">
        <v>1</v>
      </c>
      <c r="P90" s="1"/>
      <c r="T90" s="8"/>
      <c r="AB90" s="8"/>
      <c r="AC90" s="8"/>
      <c r="AD90" s="8"/>
      <c r="AE90" s="8"/>
      <c r="AF90" s="8"/>
      <c r="AG90" s="8"/>
      <c r="AH90" s="8"/>
      <c r="AI90" s="8"/>
      <c r="AJ90" s="8"/>
      <c r="AK90" s="8"/>
      <c r="AM90" s="8"/>
      <c r="AN90" s="8"/>
      <c r="AO90" s="8"/>
      <c r="AP90" s="8"/>
      <c r="AQ90" s="8"/>
      <c r="AR90" s="8"/>
      <c r="AS90" s="8"/>
      <c r="AT90" s="8"/>
      <c r="AU90" s="8"/>
      <c r="AV90" s="8"/>
      <c r="AW90" s="8"/>
      <c r="AX90" s="8"/>
      <c r="AY90" s="8"/>
      <c r="AZ90" s="8"/>
      <c r="BA90" s="8"/>
      <c r="BB90" s="8"/>
      <c r="BC90" s="8"/>
      <c r="BD90" s="8"/>
      <c r="BE90" s="8"/>
      <c r="BF90" s="8"/>
      <c r="BG90" s="8"/>
      <c r="BH90" s="8"/>
      <c r="BI90" s="8"/>
      <c r="BJ90" s="8"/>
      <c r="BK90" s="8"/>
      <c r="BL90" s="8"/>
      <c r="BM90" s="8"/>
      <c r="BN90" s="8"/>
      <c r="BO90" s="8"/>
      <c r="BP90" s="8"/>
      <c r="BQ90" s="8"/>
    </row>
    <row r="91" spans="1:69" ht="15" customHeight="1" x14ac:dyDescent="0.3">
      <c r="A91">
        <v>3</v>
      </c>
      <c r="B91" t="s">
        <v>160</v>
      </c>
      <c r="C91">
        <v>7</v>
      </c>
      <c r="G91">
        <v>27</v>
      </c>
      <c r="H91" t="s">
        <v>114</v>
      </c>
      <c r="I91" t="s">
        <v>75</v>
      </c>
      <c r="L91" s="23" t="s">
        <v>991</v>
      </c>
      <c r="M91" s="13"/>
      <c r="N91">
        <v>1</v>
      </c>
      <c r="P91" s="1"/>
      <c r="T91" s="8"/>
      <c r="AB91" s="8"/>
      <c r="AC91" s="8"/>
      <c r="AD91" s="8"/>
      <c r="AE91" s="8"/>
      <c r="AF91" s="8"/>
      <c r="AG91" s="8"/>
      <c r="AH91" s="8"/>
      <c r="AI91" s="8"/>
      <c r="AJ91" s="8"/>
      <c r="AK91" s="8"/>
      <c r="AM91" s="8"/>
      <c r="AN91" s="8"/>
      <c r="AO91" s="8"/>
      <c r="AP91" s="8"/>
      <c r="AQ91" s="8"/>
      <c r="AR91" s="8"/>
      <c r="AS91" s="8"/>
      <c r="AT91" s="8"/>
      <c r="AU91" s="8"/>
      <c r="AV91" s="8"/>
      <c r="AW91" s="8"/>
      <c r="AX91" s="8"/>
      <c r="AY91" s="8"/>
      <c r="AZ91" s="8"/>
      <c r="BA91" s="8"/>
      <c r="BB91" s="8"/>
      <c r="BC91" s="8"/>
      <c r="BD91" s="8"/>
      <c r="BE91" s="8"/>
      <c r="BF91" s="8"/>
      <c r="BG91" s="8"/>
      <c r="BH91" s="8"/>
      <c r="BI91" s="8"/>
      <c r="BJ91" s="8"/>
      <c r="BK91" s="8"/>
      <c r="BL91" s="8"/>
      <c r="BM91" s="8"/>
      <c r="BN91" s="8"/>
      <c r="BO91" s="8"/>
      <c r="BP91" s="8"/>
      <c r="BQ91" s="8"/>
    </row>
    <row r="92" spans="1:69" ht="15" customHeight="1" x14ac:dyDescent="0.3">
      <c r="A92">
        <v>3</v>
      </c>
      <c r="B92" t="s">
        <v>160</v>
      </c>
      <c r="C92">
        <v>7</v>
      </c>
      <c r="G92">
        <v>28</v>
      </c>
      <c r="H92" t="s">
        <v>817</v>
      </c>
      <c r="I92" t="s">
        <v>75</v>
      </c>
      <c r="K92" t="s">
        <v>200</v>
      </c>
      <c r="L92" s="13"/>
      <c r="M92" s="13"/>
      <c r="N92">
        <v>1</v>
      </c>
      <c r="P92" s="1"/>
      <c r="T92" s="8"/>
      <c r="AB92" s="8"/>
      <c r="AC92" s="8"/>
      <c r="AD92" s="8"/>
      <c r="AE92" s="8"/>
      <c r="AF92" s="8"/>
      <c r="AG92" s="8"/>
      <c r="AH92" s="8"/>
      <c r="AI92" s="8"/>
      <c r="AJ92" s="8"/>
      <c r="AK92" s="8"/>
      <c r="AM92" s="8"/>
      <c r="AN92" s="8"/>
      <c r="AO92" s="8"/>
      <c r="AP92" s="8"/>
      <c r="AQ92" s="8"/>
      <c r="AR92" s="8"/>
      <c r="AS92" s="8"/>
      <c r="AT92" s="8"/>
      <c r="AU92" s="8"/>
      <c r="AV92" s="8"/>
      <c r="AW92" s="8"/>
      <c r="AX92" s="8"/>
      <c r="AY92" s="8"/>
      <c r="AZ92" s="8"/>
      <c r="BA92" s="8"/>
      <c r="BB92" s="8"/>
      <c r="BC92" s="8"/>
      <c r="BD92" s="8"/>
      <c r="BE92" s="8"/>
      <c r="BF92" s="8"/>
      <c r="BG92" s="8"/>
      <c r="BH92" s="8"/>
      <c r="BI92" s="8"/>
      <c r="BJ92" s="8"/>
      <c r="BK92" s="8"/>
      <c r="BL92" s="8"/>
      <c r="BM92" s="8"/>
      <c r="BN92" s="8"/>
      <c r="BO92" s="8"/>
      <c r="BP92" s="8"/>
      <c r="BQ92" s="8"/>
    </row>
    <row r="93" spans="1:69" ht="15" customHeight="1" x14ac:dyDescent="0.3">
      <c r="A93">
        <v>3</v>
      </c>
      <c r="B93" t="s">
        <v>160</v>
      </c>
      <c r="C93">
        <v>7</v>
      </c>
      <c r="G93">
        <v>29</v>
      </c>
      <c r="H93" t="s">
        <v>116</v>
      </c>
      <c r="I93" t="s">
        <v>75</v>
      </c>
      <c r="L93" s="23" t="s">
        <v>992</v>
      </c>
      <c r="M93" s="13"/>
      <c r="N93">
        <v>1</v>
      </c>
      <c r="P93" s="1"/>
      <c r="T93" s="8"/>
      <c r="AB93" s="8"/>
      <c r="AC93" s="8"/>
      <c r="AD93" s="8"/>
      <c r="AE93" s="8"/>
      <c r="AF93" s="8"/>
      <c r="AG93" s="8"/>
      <c r="AH93" s="8"/>
      <c r="AI93" s="8"/>
      <c r="AJ93" s="8"/>
      <c r="AK93" s="8"/>
      <c r="AM93" s="8"/>
      <c r="AN93" s="8"/>
      <c r="AO93" s="8"/>
      <c r="AP93" s="8"/>
      <c r="AQ93" s="8"/>
      <c r="AR93" s="8"/>
      <c r="AS93" s="8"/>
      <c r="AT93" s="8"/>
      <c r="AU93" s="8"/>
      <c r="AV93" s="8"/>
      <c r="AW93" s="8"/>
      <c r="AX93" s="8"/>
      <c r="AY93" s="8"/>
      <c r="AZ93" s="8"/>
      <c r="BA93" s="8"/>
      <c r="BB93" s="8"/>
      <c r="BC93" s="8"/>
      <c r="BD93" s="8"/>
      <c r="BE93" s="8"/>
      <c r="BF93" s="8"/>
      <c r="BG93" s="8"/>
      <c r="BH93" s="8"/>
      <c r="BI93" s="8"/>
      <c r="BJ93" s="8"/>
      <c r="BK93" s="8"/>
      <c r="BL93" s="8"/>
      <c r="BM93" s="8"/>
      <c r="BN93" s="8"/>
      <c r="BO93" s="8"/>
      <c r="BP93" s="8"/>
      <c r="BQ93" s="8"/>
    </row>
    <row r="94" spans="1:69" ht="15" customHeight="1" x14ac:dyDescent="0.3">
      <c r="A94">
        <v>3</v>
      </c>
      <c r="B94" t="s">
        <v>160</v>
      </c>
      <c r="C94">
        <v>7</v>
      </c>
      <c r="G94">
        <v>30</v>
      </c>
      <c r="H94" t="s">
        <v>818</v>
      </c>
      <c r="I94" t="s">
        <v>75</v>
      </c>
      <c r="K94" t="s">
        <v>201</v>
      </c>
      <c r="L94" s="13"/>
      <c r="M94" s="13"/>
      <c r="N94">
        <v>1</v>
      </c>
      <c r="P94" s="1"/>
      <c r="T94" s="8"/>
      <c r="AB94" s="8"/>
      <c r="AC94" s="8"/>
      <c r="AD94" s="8"/>
      <c r="AE94" s="8"/>
      <c r="AF94" s="8"/>
      <c r="AG94" s="8"/>
      <c r="AH94" s="8"/>
      <c r="AI94" s="8"/>
      <c r="AJ94" s="8"/>
      <c r="AK94" s="8"/>
      <c r="AM94" s="8"/>
      <c r="AN94" s="8"/>
      <c r="AO94" s="8"/>
      <c r="AP94" s="8"/>
      <c r="AQ94" s="8"/>
      <c r="AR94" s="8"/>
      <c r="AS94" s="8"/>
      <c r="AT94" s="8"/>
      <c r="AU94" s="8"/>
      <c r="AV94" s="8"/>
      <c r="AW94" s="8"/>
      <c r="AX94" s="8"/>
      <c r="AY94" s="8"/>
      <c r="AZ94" s="8"/>
      <c r="BA94" s="8"/>
      <c r="BB94" s="8"/>
      <c r="BC94" s="8"/>
      <c r="BD94" s="8"/>
      <c r="BE94" s="8"/>
      <c r="BF94" s="8"/>
      <c r="BG94" s="8"/>
      <c r="BH94" s="8"/>
      <c r="BI94" s="8"/>
      <c r="BJ94" s="8"/>
      <c r="BK94" s="8"/>
      <c r="BL94" s="8"/>
      <c r="BM94" s="8"/>
      <c r="BN94" s="8"/>
      <c r="BO94" s="8"/>
      <c r="BP94" s="8"/>
      <c r="BQ94" s="8"/>
    </row>
    <row r="95" spans="1:69" ht="15" customHeight="1" x14ac:dyDescent="0.3">
      <c r="A95">
        <v>3</v>
      </c>
      <c r="B95" t="s">
        <v>160</v>
      </c>
      <c r="C95">
        <v>7</v>
      </c>
      <c r="G95">
        <v>31</v>
      </c>
      <c r="H95" t="s">
        <v>157</v>
      </c>
      <c r="I95" t="s">
        <v>75</v>
      </c>
      <c r="L95" s="25" t="s">
        <v>993</v>
      </c>
      <c r="M95" s="13"/>
      <c r="N95">
        <v>1</v>
      </c>
      <c r="P95" s="1"/>
      <c r="T95" s="8"/>
      <c r="AB95" s="8"/>
      <c r="AC95" s="8"/>
      <c r="AD95" s="8"/>
      <c r="AE95" s="8"/>
      <c r="AF95" s="8"/>
      <c r="AG95" s="8"/>
      <c r="AH95" s="8"/>
      <c r="AI95" s="8"/>
      <c r="AJ95" s="8"/>
      <c r="AK95" s="8"/>
      <c r="AM95" s="8"/>
      <c r="AN95" s="8"/>
      <c r="AO95" s="8"/>
      <c r="AP95" s="8"/>
      <c r="AQ95" s="8"/>
      <c r="AR95" s="8"/>
      <c r="AS95" s="8"/>
      <c r="AT95" s="8"/>
      <c r="AU95" s="8"/>
      <c r="AV95" s="8"/>
      <c r="AW95" s="8"/>
      <c r="AX95" s="8"/>
      <c r="AY95" s="8"/>
      <c r="AZ95" s="8"/>
      <c r="BA95" s="8"/>
      <c r="BB95" s="8"/>
      <c r="BC95" s="8"/>
      <c r="BD95" s="8"/>
      <c r="BE95" s="8"/>
      <c r="BF95" s="8"/>
      <c r="BG95" s="8"/>
      <c r="BH95" s="8"/>
      <c r="BI95" s="8"/>
      <c r="BJ95" s="8"/>
      <c r="BK95" s="8"/>
      <c r="BL95" s="8"/>
      <c r="BM95" s="8"/>
      <c r="BN95" s="8"/>
      <c r="BO95" s="8"/>
      <c r="BP95" s="8"/>
      <c r="BQ95" s="8"/>
    </row>
    <row r="96" spans="1:69" ht="15" customHeight="1" x14ac:dyDescent="0.3">
      <c r="A96">
        <v>3</v>
      </c>
      <c r="B96" t="s">
        <v>160</v>
      </c>
      <c r="C96">
        <v>7</v>
      </c>
      <c r="G96">
        <v>32</v>
      </c>
      <c r="H96" t="s">
        <v>893</v>
      </c>
      <c r="I96" t="s">
        <v>75</v>
      </c>
      <c r="K96" t="s">
        <v>202</v>
      </c>
      <c r="L96" s="13"/>
      <c r="M96" s="13"/>
      <c r="N96">
        <v>1</v>
      </c>
      <c r="P96" s="1"/>
      <c r="T96" s="8"/>
      <c r="AB96" s="8"/>
      <c r="AC96" s="8"/>
      <c r="AD96" s="8"/>
      <c r="AE96" s="8"/>
      <c r="AF96" s="8"/>
      <c r="AG96" s="8"/>
      <c r="AH96" s="8"/>
      <c r="AI96" s="8"/>
      <c r="AJ96" s="8"/>
      <c r="AK96" s="8"/>
      <c r="AM96" s="8"/>
      <c r="AN96" s="8"/>
      <c r="AO96" s="8"/>
      <c r="AP96" s="8"/>
      <c r="AQ96" s="8"/>
      <c r="AR96" s="8"/>
      <c r="AS96" s="8"/>
      <c r="AT96" s="8"/>
      <c r="AU96" s="8"/>
      <c r="AV96" s="8"/>
      <c r="AW96" s="8"/>
      <c r="AX96" s="8"/>
      <c r="AY96" s="8"/>
      <c r="AZ96" s="8"/>
      <c r="BA96" s="8"/>
      <c r="BB96" s="8"/>
      <c r="BC96" s="8"/>
      <c r="BD96" s="8"/>
      <c r="BE96" s="8"/>
      <c r="BF96" s="8"/>
      <c r="BG96" s="8"/>
      <c r="BH96" s="8"/>
      <c r="BI96" s="8"/>
      <c r="BJ96" s="8"/>
      <c r="BK96" s="8"/>
      <c r="BL96" s="8"/>
      <c r="BM96" s="8"/>
      <c r="BN96" s="8"/>
      <c r="BO96" s="8"/>
      <c r="BP96" s="8"/>
      <c r="BQ96" s="8"/>
    </row>
    <row r="97" spans="1:69" ht="15" customHeight="1" x14ac:dyDescent="0.3">
      <c r="A97">
        <v>3</v>
      </c>
      <c r="B97" t="s">
        <v>160</v>
      </c>
      <c r="C97">
        <v>7</v>
      </c>
      <c r="G97">
        <v>33</v>
      </c>
      <c r="H97" t="s">
        <v>203</v>
      </c>
      <c r="I97" t="s">
        <v>75</v>
      </c>
      <c r="L97" s="23" t="s">
        <v>994</v>
      </c>
      <c r="M97" s="13"/>
      <c r="N97">
        <v>1</v>
      </c>
      <c r="P97" s="1"/>
      <c r="T97" s="8"/>
      <c r="AB97" s="8"/>
      <c r="AC97" s="8"/>
      <c r="AD97" s="8"/>
      <c r="AE97" s="8"/>
      <c r="AF97" s="8"/>
      <c r="AG97" s="8"/>
      <c r="AH97" s="8"/>
      <c r="AI97" s="8"/>
      <c r="AJ97" s="8"/>
      <c r="AK97" s="8"/>
      <c r="AM97" s="8"/>
      <c r="AN97" s="8"/>
      <c r="AO97" s="8"/>
      <c r="AP97" s="8"/>
      <c r="AQ97" s="8"/>
      <c r="AR97" s="8"/>
      <c r="AS97" s="8"/>
      <c r="AT97" s="8"/>
      <c r="AU97" s="8"/>
      <c r="AV97" s="8"/>
      <c r="AW97" s="8"/>
      <c r="AX97" s="8"/>
      <c r="AY97" s="8"/>
      <c r="AZ97" s="8"/>
      <c r="BA97" s="8"/>
      <c r="BB97" s="8"/>
      <c r="BC97" s="8"/>
      <c r="BD97" s="8"/>
      <c r="BE97" s="8"/>
      <c r="BF97" s="8"/>
      <c r="BG97" s="8"/>
      <c r="BH97" s="8"/>
      <c r="BI97" s="8"/>
      <c r="BJ97" s="8"/>
      <c r="BK97" s="8"/>
      <c r="BL97" s="8"/>
      <c r="BM97" s="8"/>
      <c r="BN97" s="8"/>
      <c r="BO97" s="8"/>
      <c r="BP97" s="8"/>
      <c r="BQ97" s="8"/>
    </row>
    <row r="98" spans="1:69" ht="15" customHeight="1" x14ac:dyDescent="0.3">
      <c r="A98">
        <v>3</v>
      </c>
      <c r="B98" t="s">
        <v>160</v>
      </c>
      <c r="C98">
        <v>7</v>
      </c>
      <c r="G98">
        <v>34</v>
      </c>
      <c r="H98" t="s">
        <v>978</v>
      </c>
      <c r="I98" t="s">
        <v>75</v>
      </c>
      <c r="K98" t="s">
        <v>204</v>
      </c>
      <c r="L98" s="13"/>
      <c r="M98" s="13"/>
      <c r="N98">
        <v>1</v>
      </c>
      <c r="P98" s="1"/>
      <c r="T98" s="8"/>
      <c r="AB98" s="8"/>
      <c r="AC98" s="8"/>
      <c r="AD98" s="8"/>
      <c r="AE98" s="8"/>
      <c r="AF98" s="8"/>
      <c r="AG98" s="8"/>
      <c r="AH98" s="8"/>
      <c r="AI98" s="8"/>
      <c r="AJ98" s="8"/>
      <c r="AK98" s="8"/>
      <c r="AM98" s="8"/>
      <c r="AN98" s="8"/>
      <c r="AO98" s="8"/>
      <c r="AP98" s="8"/>
      <c r="AQ98" s="8"/>
      <c r="AR98" s="8"/>
      <c r="AS98" s="8"/>
      <c r="AT98" s="8"/>
      <c r="AU98" s="8"/>
      <c r="AV98" s="8"/>
      <c r="AW98" s="8"/>
      <c r="AX98" s="8"/>
      <c r="AY98" s="8"/>
      <c r="AZ98" s="8"/>
      <c r="BA98" s="8"/>
      <c r="BB98" s="8"/>
      <c r="BC98" s="8"/>
      <c r="BD98" s="8"/>
      <c r="BE98" s="8"/>
      <c r="BF98" s="8"/>
      <c r="BG98" s="8"/>
      <c r="BH98" s="8"/>
      <c r="BI98" s="8"/>
      <c r="BJ98" s="8"/>
      <c r="BK98" s="8"/>
      <c r="BL98" s="8"/>
      <c r="BM98" s="8"/>
      <c r="BN98" s="8"/>
      <c r="BO98" s="8"/>
      <c r="BP98" s="8"/>
      <c r="BQ98" s="8"/>
    </row>
    <row r="99" spans="1:69" ht="15" customHeight="1" x14ac:dyDescent="0.3">
      <c r="A99">
        <v>3</v>
      </c>
      <c r="B99" t="s">
        <v>160</v>
      </c>
      <c r="C99">
        <v>7</v>
      </c>
      <c r="G99">
        <v>35</v>
      </c>
      <c r="H99" t="s">
        <v>205</v>
      </c>
      <c r="I99" t="s">
        <v>75</v>
      </c>
      <c r="L99" s="23" t="s">
        <v>995</v>
      </c>
      <c r="M99" s="13"/>
      <c r="N99">
        <v>1</v>
      </c>
      <c r="P99" s="1"/>
      <c r="T99" s="8"/>
      <c r="AB99" s="8"/>
      <c r="AC99" s="8"/>
      <c r="AD99" s="8"/>
      <c r="AE99" s="8"/>
      <c r="AF99" s="8"/>
      <c r="AG99" s="8"/>
      <c r="AH99" s="8"/>
      <c r="AI99" s="8"/>
      <c r="AJ99" s="8"/>
      <c r="AK99" s="8"/>
      <c r="AM99" s="8"/>
      <c r="AN99" s="8"/>
      <c r="AO99" s="8"/>
      <c r="AP99" s="8"/>
      <c r="AQ99" s="8"/>
      <c r="AR99" s="8"/>
      <c r="AS99" s="8"/>
      <c r="AT99" s="8"/>
      <c r="AU99" s="8"/>
      <c r="AV99" s="8"/>
      <c r="AW99" s="8"/>
      <c r="AX99" s="8"/>
      <c r="AY99" s="8"/>
      <c r="AZ99" s="8"/>
      <c r="BA99" s="8"/>
      <c r="BB99" s="8"/>
      <c r="BC99" s="8"/>
      <c r="BD99" s="8"/>
      <c r="BE99" s="8"/>
      <c r="BF99" s="8"/>
      <c r="BG99" s="8"/>
      <c r="BH99" s="8"/>
      <c r="BI99" s="8"/>
      <c r="BJ99" s="8"/>
      <c r="BK99" s="8"/>
      <c r="BL99" s="8"/>
      <c r="BM99" s="8"/>
      <c r="BN99" s="8"/>
      <c r="BO99" s="8"/>
      <c r="BP99" s="8"/>
      <c r="BQ99" s="8"/>
    </row>
    <row r="100" spans="1:69" ht="15" customHeight="1" x14ac:dyDescent="0.3">
      <c r="A100">
        <v>3</v>
      </c>
      <c r="B100" t="s">
        <v>160</v>
      </c>
      <c r="C100">
        <v>7</v>
      </c>
      <c r="G100">
        <v>36</v>
      </c>
      <c r="H100" t="s">
        <v>979</v>
      </c>
      <c r="I100" t="s">
        <v>75</v>
      </c>
      <c r="K100" t="s">
        <v>206</v>
      </c>
      <c r="L100" s="13"/>
      <c r="M100" s="13"/>
      <c r="N100">
        <v>1</v>
      </c>
      <c r="P100" s="1"/>
      <c r="T100" s="8"/>
      <c r="AB100" s="8"/>
      <c r="AC100" s="8"/>
      <c r="AD100" s="8"/>
      <c r="AE100" s="8"/>
      <c r="AF100" s="8"/>
      <c r="AG100" s="8"/>
      <c r="AH100" s="8"/>
      <c r="AI100" s="8"/>
      <c r="AJ100" s="8"/>
      <c r="AK100" s="8"/>
      <c r="AM100" s="8"/>
      <c r="AN100" s="8"/>
      <c r="AO100" s="8"/>
      <c r="AP100" s="8"/>
      <c r="AQ100" s="8"/>
      <c r="AR100" s="8"/>
      <c r="AS100" s="8"/>
      <c r="AT100" s="8"/>
      <c r="AU100" s="8"/>
      <c r="AV100" s="8"/>
      <c r="AW100" s="8"/>
      <c r="AX100" s="8"/>
      <c r="AY100" s="8"/>
      <c r="AZ100" s="8"/>
      <c r="BA100" s="8"/>
      <c r="BB100" s="8"/>
      <c r="BC100" s="8"/>
      <c r="BD100" s="8"/>
      <c r="BE100" s="8"/>
      <c r="BF100" s="8"/>
      <c r="BG100" s="8"/>
      <c r="BH100" s="8"/>
      <c r="BI100" s="8"/>
      <c r="BJ100" s="8"/>
      <c r="BK100" s="8"/>
      <c r="BL100" s="8"/>
      <c r="BM100" s="8"/>
      <c r="BN100" s="8"/>
      <c r="BO100" s="8"/>
      <c r="BP100" s="8"/>
      <c r="BQ100" s="8"/>
    </row>
    <row r="101" spans="1:69" ht="15" customHeight="1" x14ac:dyDescent="0.3">
      <c r="A101">
        <v>3</v>
      </c>
      <c r="B101" t="s">
        <v>160</v>
      </c>
      <c r="C101">
        <v>8</v>
      </c>
      <c r="D101" t="s">
        <v>723</v>
      </c>
      <c r="F101" s="17"/>
      <c r="G101">
        <v>37</v>
      </c>
      <c r="H101" t="s">
        <v>723</v>
      </c>
      <c r="I101" t="s">
        <v>75</v>
      </c>
      <c r="K101" t="s">
        <v>207</v>
      </c>
      <c r="L101" s="13"/>
      <c r="M101" s="13"/>
      <c r="N101">
        <v>1</v>
      </c>
      <c r="P101" s="1"/>
      <c r="Q101" s="8"/>
      <c r="R101" s="8"/>
      <c r="S101" s="8"/>
      <c r="T101" s="8"/>
      <c r="U101" s="8"/>
      <c r="V101" s="8"/>
      <c r="W101" s="8"/>
      <c r="X101" s="8"/>
      <c r="Y101" s="8"/>
      <c r="Z101" s="8"/>
      <c r="AB101" s="8"/>
      <c r="AC101" s="8"/>
      <c r="AD101" s="8"/>
      <c r="AE101" s="8"/>
      <c r="AF101" s="8"/>
      <c r="AG101" s="8"/>
      <c r="AH101" s="8"/>
      <c r="AI101" s="8"/>
      <c r="AJ101" s="8"/>
      <c r="AK101" s="8"/>
      <c r="AM101" s="8"/>
      <c r="AN101" s="8"/>
      <c r="AO101" s="8"/>
      <c r="AP101" s="8"/>
      <c r="AQ101" s="8"/>
      <c r="AR101" s="8"/>
      <c r="AS101" s="8"/>
      <c r="AT101" s="8"/>
      <c r="AU101" s="8"/>
      <c r="AV101" s="8"/>
      <c r="AW101" s="8"/>
      <c r="AX101" s="8"/>
      <c r="AY101" s="8"/>
      <c r="AZ101" s="8"/>
      <c r="BA101" s="8"/>
      <c r="BB101" s="8"/>
      <c r="BC101" s="8"/>
      <c r="BD101" s="8"/>
      <c r="BE101" s="8"/>
      <c r="BF101" s="8"/>
      <c r="BG101" s="8"/>
      <c r="BH101" s="8"/>
      <c r="BI101" s="8"/>
      <c r="BJ101" s="8"/>
      <c r="BK101" s="8"/>
      <c r="BL101" s="8"/>
      <c r="BM101" s="8"/>
      <c r="BN101" s="8"/>
      <c r="BO101" s="8"/>
      <c r="BP101" s="8"/>
      <c r="BQ101" s="8"/>
    </row>
    <row r="102" spans="1:69" ht="15" customHeight="1" x14ac:dyDescent="0.3">
      <c r="A102">
        <v>3</v>
      </c>
      <c r="B102" t="s">
        <v>160</v>
      </c>
      <c r="C102">
        <v>8</v>
      </c>
      <c r="D102" t="s">
        <v>1086</v>
      </c>
      <c r="G102">
        <v>38</v>
      </c>
      <c r="H102" t="s">
        <v>1086</v>
      </c>
      <c r="I102" t="s">
        <v>75</v>
      </c>
      <c r="K102" t="s">
        <v>208</v>
      </c>
      <c r="L102" s="13"/>
      <c r="M102" s="13"/>
      <c r="N102">
        <v>1</v>
      </c>
      <c r="P102" s="1"/>
      <c r="Q102" s="8"/>
      <c r="R102" s="8"/>
      <c r="S102" s="8"/>
      <c r="T102" s="8"/>
      <c r="U102" s="8"/>
      <c r="V102" s="8"/>
      <c r="W102" s="8"/>
      <c r="X102" s="8"/>
      <c r="Y102" s="8"/>
      <c r="Z102" s="8"/>
      <c r="AB102" s="8"/>
      <c r="AC102" s="8"/>
      <c r="AD102" s="8"/>
      <c r="AE102" s="8"/>
      <c r="AF102" s="8"/>
      <c r="AG102" s="8"/>
      <c r="AH102" s="8"/>
      <c r="AI102" s="8"/>
      <c r="AJ102" s="8"/>
      <c r="AK102" s="8"/>
      <c r="AM102" s="8"/>
      <c r="AN102" s="8"/>
      <c r="AO102" s="8"/>
      <c r="AP102" s="8"/>
      <c r="AQ102" s="8"/>
      <c r="AR102" s="8"/>
      <c r="AS102" s="8"/>
      <c r="AT102" s="8"/>
      <c r="AU102" s="8"/>
      <c r="AV102" s="8"/>
      <c r="AW102" s="8"/>
      <c r="AX102" s="8"/>
      <c r="AY102" s="8"/>
      <c r="AZ102" s="8"/>
      <c r="BA102" s="8"/>
      <c r="BB102" s="8"/>
      <c r="BC102" s="8"/>
      <c r="BD102" s="8"/>
      <c r="BE102" s="8"/>
      <c r="BF102" s="8"/>
      <c r="BG102" s="8"/>
      <c r="BH102" s="8"/>
      <c r="BI102" s="8"/>
      <c r="BJ102" s="8"/>
      <c r="BK102" s="8"/>
      <c r="BL102" s="8"/>
      <c r="BM102" s="8"/>
      <c r="BN102" s="8"/>
      <c r="BO102" s="8"/>
      <c r="BP102" s="8"/>
      <c r="BQ102" s="8"/>
    </row>
    <row r="103" spans="1:69" ht="15" customHeight="1" x14ac:dyDescent="0.3">
      <c r="A103">
        <v>4</v>
      </c>
      <c r="B103" t="s">
        <v>209</v>
      </c>
      <c r="C103">
        <v>1</v>
      </c>
      <c r="D103" t="s">
        <v>731</v>
      </c>
      <c r="F103" s="17"/>
      <c r="G103">
        <v>1</v>
      </c>
      <c r="H103" t="s">
        <v>732</v>
      </c>
      <c r="I103" t="s">
        <v>75</v>
      </c>
      <c r="L103" s="23" t="s">
        <v>1099</v>
      </c>
      <c r="M103" s="13"/>
      <c r="P103" s="1"/>
      <c r="T103" s="8"/>
      <c r="AB103" s="8"/>
      <c r="AC103" s="8"/>
      <c r="AD103" s="8"/>
      <c r="AE103" s="8"/>
      <c r="AF103" s="8"/>
      <c r="AG103" s="8"/>
      <c r="AH103" s="8"/>
      <c r="AI103" s="8"/>
      <c r="AJ103" s="8"/>
      <c r="AK103" s="8"/>
      <c r="AM103" s="8"/>
      <c r="AN103" s="8"/>
      <c r="AO103" s="8"/>
      <c r="AP103" s="8"/>
      <c r="AQ103" s="8"/>
      <c r="AR103" s="8"/>
      <c r="AS103" s="8"/>
      <c r="AT103" s="8"/>
      <c r="AU103" s="8"/>
      <c r="AV103" s="8"/>
      <c r="AW103" s="8"/>
      <c r="AX103" s="8"/>
      <c r="AY103" s="8"/>
      <c r="AZ103" s="8"/>
      <c r="BA103" s="8"/>
      <c r="BB103" s="8"/>
      <c r="BC103" s="8"/>
      <c r="BD103" s="8"/>
      <c r="BE103" s="8"/>
      <c r="BF103" s="8"/>
      <c r="BG103" s="8"/>
      <c r="BH103" s="8"/>
      <c r="BI103" s="8"/>
      <c r="BJ103" s="8"/>
      <c r="BK103" s="8"/>
      <c r="BL103" s="8"/>
      <c r="BM103" s="8"/>
      <c r="BN103" s="8"/>
      <c r="BO103" s="8"/>
      <c r="BP103" s="8"/>
      <c r="BQ103" s="8"/>
    </row>
    <row r="104" spans="1:69" ht="15" customHeight="1" x14ac:dyDescent="0.3">
      <c r="A104">
        <v>4</v>
      </c>
      <c r="B104" t="s">
        <v>209</v>
      </c>
      <c r="C104">
        <v>1</v>
      </c>
      <c r="G104">
        <v>2</v>
      </c>
      <c r="H104" t="s">
        <v>733</v>
      </c>
      <c r="I104" t="s">
        <v>75</v>
      </c>
      <c r="L104" s="25" t="s">
        <v>1100</v>
      </c>
      <c r="M104" s="13"/>
      <c r="P104" s="1"/>
      <c r="T104" s="8"/>
      <c r="AB104" s="8"/>
      <c r="AC104" s="8"/>
      <c r="AD104" s="8"/>
      <c r="AE104" s="8"/>
      <c r="AF104" s="8"/>
      <c r="AG104" s="8"/>
      <c r="AH104" s="8"/>
      <c r="AI104" s="8"/>
      <c r="AJ104" s="8"/>
      <c r="AK104" s="8"/>
      <c r="AM104" s="8"/>
      <c r="AN104" s="8"/>
      <c r="AO104" s="8"/>
      <c r="AP104" s="8"/>
      <c r="AQ104" s="8"/>
      <c r="AR104" s="8"/>
      <c r="AS104" s="8"/>
      <c r="AT104" s="8"/>
      <c r="AU104" s="8"/>
      <c r="AV104" s="8"/>
      <c r="AW104" s="8"/>
      <c r="AX104" s="8"/>
      <c r="AY104" s="8"/>
      <c r="AZ104" s="8"/>
      <c r="BA104" s="8"/>
      <c r="BB104" s="8"/>
      <c r="BC104" s="8"/>
      <c r="BD104" s="8"/>
      <c r="BE104" s="8"/>
      <c r="BF104" s="8"/>
      <c r="BG104" s="8"/>
      <c r="BH104" s="8"/>
      <c r="BI104" s="8"/>
      <c r="BJ104" s="8"/>
      <c r="BK104" s="8"/>
      <c r="BL104" s="8"/>
      <c r="BM104" s="8"/>
      <c r="BN104" s="8"/>
      <c r="BO104" s="8"/>
      <c r="BP104" s="8"/>
      <c r="BQ104" s="8"/>
    </row>
    <row r="105" spans="1:69" ht="15" customHeight="1" x14ac:dyDescent="0.3">
      <c r="A105">
        <v>4</v>
      </c>
      <c r="B105" t="s">
        <v>209</v>
      </c>
      <c r="C105">
        <v>2</v>
      </c>
      <c r="D105" t="s">
        <v>210</v>
      </c>
      <c r="E105" t="s">
        <v>20</v>
      </c>
      <c r="F105" s="17"/>
      <c r="G105">
        <v>3</v>
      </c>
      <c r="H105" t="s">
        <v>734</v>
      </c>
      <c r="I105" t="s">
        <v>75</v>
      </c>
      <c r="K105" t="s">
        <v>211</v>
      </c>
      <c r="L105" s="13"/>
      <c r="M105" s="13"/>
      <c r="O105" t="s">
        <v>647</v>
      </c>
      <c r="P105" s="1"/>
      <c r="AB105" s="8"/>
      <c r="AC105" s="8"/>
      <c r="AD105" s="8"/>
      <c r="AE105" s="8"/>
      <c r="AF105" s="8"/>
      <c r="AG105" s="8"/>
      <c r="AH105" s="8"/>
      <c r="AI105" s="8"/>
      <c r="AJ105" s="8"/>
      <c r="AK105" s="8"/>
      <c r="AM105" s="8"/>
      <c r="AN105" s="8"/>
      <c r="AO105" s="8"/>
      <c r="AP105" s="8"/>
      <c r="AQ105" s="8"/>
      <c r="AR105" s="8"/>
      <c r="AS105" s="8"/>
      <c r="AT105" s="8"/>
      <c r="AU105" s="8"/>
      <c r="AV105" s="8"/>
      <c r="AW105" s="8"/>
      <c r="AX105" s="8"/>
      <c r="AY105" s="8"/>
      <c r="AZ105" s="8"/>
      <c r="BA105" s="8"/>
      <c r="BB105" s="8"/>
      <c r="BC105" s="8"/>
      <c r="BD105" s="8"/>
      <c r="BE105" s="8"/>
      <c r="BF105" s="8"/>
      <c r="BG105" s="8"/>
      <c r="BH105" s="8"/>
      <c r="BI105" s="8"/>
      <c r="BJ105" s="8"/>
      <c r="BK105" s="8"/>
      <c r="BL105" s="8"/>
      <c r="BM105" s="8"/>
      <c r="BN105" s="8"/>
      <c r="BO105" s="8"/>
      <c r="BP105" s="8"/>
      <c r="BQ105" s="8"/>
    </row>
    <row r="106" spans="1:69" ht="15" customHeight="1" x14ac:dyDescent="0.3">
      <c r="A106">
        <v>4</v>
      </c>
      <c r="B106" t="s">
        <v>209</v>
      </c>
      <c r="C106">
        <v>2</v>
      </c>
      <c r="G106">
        <v>4</v>
      </c>
      <c r="H106" t="s">
        <v>212</v>
      </c>
      <c r="I106" t="s">
        <v>75</v>
      </c>
      <c r="K106" t="s">
        <v>213</v>
      </c>
      <c r="L106" s="13"/>
      <c r="M106" s="25" t="s">
        <v>1330</v>
      </c>
      <c r="N106">
        <v>1</v>
      </c>
      <c r="O106" t="s">
        <v>648</v>
      </c>
      <c r="P106" s="1"/>
      <c r="Q106" s="8"/>
      <c r="R106" s="8"/>
      <c r="S106" s="8"/>
      <c r="T106" s="8"/>
      <c r="U106" s="8"/>
      <c r="V106" s="8"/>
      <c r="W106" s="8"/>
      <c r="X106" s="8"/>
      <c r="Y106" s="8"/>
      <c r="Z106" s="8"/>
      <c r="AB106" s="8"/>
      <c r="AC106" s="8"/>
      <c r="AD106" s="8"/>
      <c r="AE106" s="8"/>
      <c r="AF106" s="8"/>
      <c r="AG106" s="8"/>
      <c r="AH106" s="8"/>
      <c r="AI106" s="8"/>
      <c r="AJ106" s="8"/>
      <c r="AK106" s="8"/>
      <c r="AM106" s="8"/>
      <c r="AN106" s="8"/>
      <c r="AO106" s="8"/>
      <c r="AP106" s="8"/>
      <c r="AQ106" s="8"/>
      <c r="AR106" s="8"/>
      <c r="AS106" s="8"/>
      <c r="AT106" s="8"/>
      <c r="AU106" s="8"/>
      <c r="AV106" s="8"/>
      <c r="AW106" s="8"/>
      <c r="AX106" s="8"/>
      <c r="AY106" s="8"/>
      <c r="AZ106" s="8"/>
      <c r="BA106" s="8"/>
      <c r="BB106" s="8"/>
      <c r="BC106" s="8"/>
      <c r="BD106" s="8"/>
      <c r="BE106" s="8"/>
      <c r="BF106" s="8"/>
      <c r="BG106" s="8"/>
      <c r="BH106" s="8"/>
      <c r="BI106" s="8"/>
      <c r="BJ106" s="8"/>
      <c r="BK106" s="8"/>
      <c r="BL106" s="8"/>
      <c r="BM106" s="8"/>
      <c r="BN106" s="8"/>
      <c r="BO106" s="8"/>
      <c r="BP106" s="8"/>
      <c r="BQ106" s="8"/>
    </row>
    <row r="107" spans="1:69" ht="15" customHeight="1" x14ac:dyDescent="0.3">
      <c r="A107">
        <v>4</v>
      </c>
      <c r="B107" t="s">
        <v>209</v>
      </c>
      <c r="C107">
        <v>2</v>
      </c>
      <c r="G107">
        <v>5</v>
      </c>
      <c r="H107" t="s">
        <v>214</v>
      </c>
      <c r="I107" t="s">
        <v>75</v>
      </c>
      <c r="K107" t="s">
        <v>215</v>
      </c>
      <c r="L107" s="13"/>
      <c r="M107" s="25" t="s">
        <v>1331</v>
      </c>
      <c r="N107">
        <v>1</v>
      </c>
      <c r="O107" s="2" t="s">
        <v>649</v>
      </c>
      <c r="P107" s="1"/>
      <c r="Q107" s="8"/>
      <c r="R107" s="8"/>
      <c r="S107" s="8"/>
      <c r="T107" s="8"/>
      <c r="U107" s="8"/>
      <c r="V107" s="8"/>
      <c r="W107" s="8"/>
      <c r="X107" s="8"/>
      <c r="Y107" s="8"/>
      <c r="Z107" s="8"/>
      <c r="AB107" s="8"/>
      <c r="AC107" s="8"/>
      <c r="AD107" s="8"/>
      <c r="AE107" s="8"/>
      <c r="AF107" s="8"/>
      <c r="AG107" s="8"/>
      <c r="AH107" s="8"/>
      <c r="AI107" s="8"/>
      <c r="AJ107" s="8"/>
      <c r="AK107" s="8"/>
      <c r="AM107" s="8"/>
      <c r="AN107" s="8"/>
      <c r="AO107" s="8"/>
      <c r="AP107" s="8"/>
      <c r="AQ107" s="8"/>
      <c r="AR107" s="8"/>
      <c r="AS107" s="8"/>
      <c r="AT107" s="8"/>
      <c r="AU107" s="8"/>
      <c r="AV107" s="8"/>
      <c r="AW107" s="8"/>
      <c r="AX107" s="8"/>
      <c r="AY107" s="8"/>
      <c r="AZ107" s="8"/>
      <c r="BA107" s="8"/>
      <c r="BB107" s="8"/>
      <c r="BC107" s="8"/>
      <c r="BD107" s="8"/>
      <c r="BE107" s="8"/>
      <c r="BF107" s="8"/>
      <c r="BG107" s="8"/>
      <c r="BH107" s="8"/>
      <c r="BI107" s="8"/>
      <c r="BJ107" s="8"/>
      <c r="BK107" s="8"/>
      <c r="BL107" s="8"/>
      <c r="BM107" s="8"/>
      <c r="BN107" s="8"/>
      <c r="BO107" s="8"/>
      <c r="BP107" s="8"/>
      <c r="BQ107" s="8"/>
    </row>
    <row r="108" spans="1:69" ht="15" customHeight="1" x14ac:dyDescent="0.3">
      <c r="A108">
        <v>4</v>
      </c>
      <c r="B108" t="s">
        <v>209</v>
      </c>
      <c r="C108">
        <v>2</v>
      </c>
      <c r="G108">
        <v>6</v>
      </c>
      <c r="H108" t="s">
        <v>216</v>
      </c>
      <c r="I108" t="s">
        <v>75</v>
      </c>
      <c r="K108" t="s">
        <v>217</v>
      </c>
      <c r="L108" s="13"/>
      <c r="M108" s="25" t="s">
        <v>1332</v>
      </c>
      <c r="N108">
        <v>1</v>
      </c>
      <c r="O108" s="2" t="s">
        <v>650</v>
      </c>
      <c r="P108" s="1"/>
      <c r="Q108" s="8"/>
      <c r="R108" s="8"/>
      <c r="S108" s="8"/>
      <c r="T108" s="8"/>
      <c r="U108" s="8"/>
      <c r="V108" s="8"/>
      <c r="W108" s="8"/>
      <c r="X108" s="8"/>
      <c r="Y108" s="8"/>
      <c r="Z108" s="8"/>
      <c r="AB108" s="8"/>
      <c r="AC108" s="8"/>
      <c r="AD108" s="8"/>
      <c r="AE108" s="8"/>
      <c r="AF108" s="8"/>
      <c r="AG108" s="8"/>
      <c r="AH108" s="8"/>
      <c r="AI108" s="8"/>
      <c r="AJ108" s="8"/>
      <c r="AK108" s="8"/>
      <c r="AM108" s="8"/>
      <c r="AN108" s="8"/>
      <c r="AO108" s="8"/>
      <c r="AP108" s="8"/>
      <c r="AQ108" s="8"/>
      <c r="AR108" s="8"/>
      <c r="AS108" s="8"/>
      <c r="AT108" s="8"/>
      <c r="AU108" s="8"/>
      <c r="AV108" s="8"/>
      <c r="AW108" s="8"/>
      <c r="AX108" s="8"/>
      <c r="AY108" s="8"/>
      <c r="AZ108" s="8"/>
      <c r="BA108" s="8"/>
      <c r="BB108" s="8"/>
      <c r="BC108" s="8"/>
      <c r="BD108" s="8"/>
      <c r="BE108" s="8"/>
      <c r="BF108" s="8"/>
      <c r="BG108" s="8"/>
      <c r="BH108" s="8"/>
      <c r="BI108" s="8"/>
      <c r="BJ108" s="8"/>
      <c r="BK108" s="8"/>
      <c r="BL108" s="8"/>
      <c r="BM108" s="8"/>
      <c r="BN108" s="8"/>
      <c r="BO108" s="8"/>
      <c r="BP108" s="8"/>
      <c r="BQ108" s="8"/>
    </row>
    <row r="109" spans="1:69" ht="15" customHeight="1" x14ac:dyDescent="0.3">
      <c r="A109">
        <v>4</v>
      </c>
      <c r="B109" t="s">
        <v>209</v>
      </c>
      <c r="C109">
        <v>2</v>
      </c>
      <c r="G109">
        <v>7</v>
      </c>
      <c r="H109" t="s">
        <v>218</v>
      </c>
      <c r="I109" t="s">
        <v>75</v>
      </c>
      <c r="K109" t="s">
        <v>219</v>
      </c>
      <c r="L109" s="13"/>
      <c r="M109" s="25" t="s">
        <v>1333</v>
      </c>
      <c r="N109">
        <v>1</v>
      </c>
      <c r="O109" t="s">
        <v>651</v>
      </c>
      <c r="P109" s="1"/>
      <c r="Q109" s="8"/>
      <c r="R109" s="8"/>
      <c r="S109" s="8"/>
      <c r="T109" s="8"/>
      <c r="U109" s="8"/>
      <c r="V109" s="8"/>
      <c r="W109" s="8"/>
      <c r="X109" s="8"/>
      <c r="Y109" s="8"/>
      <c r="Z109" s="8"/>
      <c r="AB109" s="8"/>
      <c r="AC109" s="8"/>
      <c r="AD109" s="8"/>
      <c r="AE109" s="8"/>
      <c r="AF109" s="8"/>
      <c r="AG109" s="8"/>
      <c r="AH109" s="8"/>
      <c r="AI109" s="8"/>
      <c r="AJ109" s="8"/>
      <c r="AK109" s="8"/>
      <c r="AM109" s="8"/>
      <c r="AN109" s="8"/>
      <c r="AO109" s="8"/>
      <c r="AP109" s="8"/>
      <c r="AQ109" s="8"/>
      <c r="AR109" s="8"/>
      <c r="AS109" s="8"/>
      <c r="AT109" s="8"/>
      <c r="AU109" s="8"/>
      <c r="AV109" s="8"/>
      <c r="AW109" s="8"/>
      <c r="AX109" s="8"/>
      <c r="AY109" s="8"/>
      <c r="AZ109" s="8"/>
      <c r="BA109" s="8"/>
      <c r="BB109" s="8"/>
      <c r="BC109" s="8"/>
      <c r="BD109" s="8"/>
      <c r="BE109" s="8"/>
      <c r="BF109" s="8"/>
      <c r="BG109" s="8"/>
      <c r="BH109" s="8"/>
      <c r="BI109" s="8"/>
      <c r="BJ109" s="8"/>
      <c r="BK109" s="8"/>
      <c r="BL109" s="8"/>
      <c r="BM109" s="8"/>
      <c r="BN109" s="8"/>
      <c r="BO109" s="8"/>
      <c r="BP109" s="8"/>
      <c r="BQ109" s="8"/>
    </row>
    <row r="110" spans="1:69" ht="15" customHeight="1" x14ac:dyDescent="0.3">
      <c r="A110">
        <v>4</v>
      </c>
      <c r="B110" t="s">
        <v>209</v>
      </c>
      <c r="C110">
        <v>2</v>
      </c>
      <c r="G110">
        <v>8</v>
      </c>
      <c r="H110" t="s">
        <v>220</v>
      </c>
      <c r="I110" t="s">
        <v>75</v>
      </c>
      <c r="K110" t="s">
        <v>221</v>
      </c>
      <c r="L110" s="13"/>
      <c r="M110" s="25" t="s">
        <v>1334</v>
      </c>
      <c r="N110">
        <v>1</v>
      </c>
      <c r="O110" s="2" t="s">
        <v>652</v>
      </c>
      <c r="P110" s="1"/>
      <c r="Q110" s="13" t="s">
        <v>387</v>
      </c>
      <c r="R110" s="8">
        <v>3</v>
      </c>
      <c r="S110" s="13" t="s">
        <v>388</v>
      </c>
      <c r="T110" s="22" t="s">
        <v>1146</v>
      </c>
      <c r="U110" s="13" t="s">
        <v>389</v>
      </c>
      <c r="V110" t="s">
        <v>73</v>
      </c>
      <c r="W110" s="13" t="s">
        <v>390</v>
      </c>
      <c r="X110" t="s">
        <v>4</v>
      </c>
      <c r="Y110" s="13" t="s">
        <v>391</v>
      </c>
      <c r="Z110" t="s">
        <v>73</v>
      </c>
      <c r="AB110" s="8"/>
      <c r="AC110" s="8"/>
      <c r="AD110" s="8"/>
      <c r="AE110" s="8"/>
      <c r="AF110" s="8"/>
      <c r="AG110" s="8"/>
      <c r="AH110" s="8"/>
      <c r="AI110" s="8"/>
      <c r="AJ110" s="8"/>
      <c r="AK110" s="8"/>
      <c r="AM110" s="8"/>
      <c r="AN110" s="8"/>
      <c r="AO110" s="8"/>
      <c r="AP110" s="8"/>
      <c r="AQ110" s="8"/>
      <c r="AR110" s="8"/>
      <c r="AS110" s="8"/>
      <c r="AT110" s="8"/>
      <c r="AU110" s="8"/>
      <c r="AV110" s="8"/>
      <c r="AW110" s="8"/>
      <c r="AX110" s="8"/>
      <c r="AY110" s="8"/>
      <c r="AZ110" s="8"/>
      <c r="BA110" s="8"/>
      <c r="BB110" s="8"/>
      <c r="BC110" s="8"/>
      <c r="BD110" s="8"/>
      <c r="BE110" s="8"/>
      <c r="BF110" s="8"/>
      <c r="BG110" s="8"/>
      <c r="BH110" s="8"/>
      <c r="BI110" s="8"/>
      <c r="BJ110" s="8"/>
      <c r="BK110" s="8"/>
      <c r="BL110" s="8"/>
      <c r="BM110" s="8"/>
      <c r="BN110" s="8"/>
      <c r="BO110" s="8"/>
      <c r="BP110" s="8"/>
      <c r="BQ110" s="8"/>
    </row>
    <row r="111" spans="1:69" ht="15" customHeight="1" x14ac:dyDescent="0.3">
      <c r="A111">
        <v>4</v>
      </c>
      <c r="B111" t="s">
        <v>209</v>
      </c>
      <c r="C111">
        <v>3</v>
      </c>
      <c r="D111" t="s">
        <v>222</v>
      </c>
      <c r="E111" t="s">
        <v>20</v>
      </c>
      <c r="F111" s="17"/>
      <c r="G111">
        <v>9</v>
      </c>
      <c r="H111" t="s">
        <v>734</v>
      </c>
      <c r="I111" t="s">
        <v>75</v>
      </c>
      <c r="K111" t="s">
        <v>223</v>
      </c>
      <c r="L111" s="13"/>
      <c r="M111" s="25" t="s">
        <v>1335</v>
      </c>
      <c r="O111" t="s">
        <v>653</v>
      </c>
      <c r="P111" s="1"/>
      <c r="T111" s="8"/>
      <c r="AB111" s="8"/>
      <c r="AC111" s="8"/>
      <c r="AD111" s="8"/>
      <c r="AE111" s="8"/>
      <c r="AF111" s="8"/>
      <c r="AG111" s="8"/>
      <c r="AH111" s="8"/>
      <c r="AI111" s="8"/>
      <c r="AJ111" s="8"/>
      <c r="AK111" s="8"/>
      <c r="AM111" s="8"/>
      <c r="AN111" s="8"/>
      <c r="AO111" s="8"/>
      <c r="AP111" s="8"/>
      <c r="AQ111" s="8"/>
      <c r="AR111" s="8"/>
      <c r="AS111" s="8"/>
      <c r="AT111" s="8"/>
      <c r="AU111" s="8"/>
      <c r="AV111" s="8"/>
      <c r="AW111" s="8"/>
      <c r="AX111" s="8"/>
      <c r="AY111" s="8"/>
      <c r="AZ111" s="8"/>
      <c r="BA111" s="8"/>
      <c r="BB111" s="8"/>
      <c r="BC111" s="8"/>
      <c r="BD111" s="8"/>
      <c r="BE111" s="8"/>
      <c r="BF111" s="8"/>
      <c r="BG111" s="8"/>
      <c r="BH111" s="8"/>
      <c r="BI111" s="8"/>
      <c r="BJ111" s="8"/>
      <c r="BK111" s="8"/>
      <c r="BL111" s="8"/>
      <c r="BM111" s="8"/>
      <c r="BN111" s="8"/>
      <c r="BO111" s="8"/>
      <c r="BP111" s="8"/>
      <c r="BQ111" s="8"/>
    </row>
    <row r="112" spans="1:69" ht="15" customHeight="1" x14ac:dyDescent="0.3">
      <c r="A112">
        <v>4</v>
      </c>
      <c r="B112" t="s">
        <v>209</v>
      </c>
      <c r="C112">
        <v>3</v>
      </c>
      <c r="E112" s="27"/>
      <c r="G112">
        <v>10</v>
      </c>
      <c r="H112" t="s">
        <v>224</v>
      </c>
      <c r="I112" t="s">
        <v>75</v>
      </c>
      <c r="K112" t="s">
        <v>225</v>
      </c>
      <c r="L112" s="13"/>
      <c r="M112" s="25" t="s">
        <v>1336</v>
      </c>
      <c r="N112">
        <v>1</v>
      </c>
      <c r="O112" t="s">
        <v>654</v>
      </c>
      <c r="P112" s="1"/>
      <c r="Q112" s="8"/>
      <c r="R112" s="8"/>
      <c r="S112" s="8"/>
      <c r="T112" s="8"/>
      <c r="U112" s="8"/>
      <c r="V112" s="8"/>
      <c r="W112" s="8"/>
      <c r="X112" s="8"/>
      <c r="Y112" s="8"/>
      <c r="Z112" s="8"/>
      <c r="AB112" s="8"/>
      <c r="AC112" s="8"/>
      <c r="AD112" s="8"/>
      <c r="AE112" s="8"/>
      <c r="AF112" s="8"/>
      <c r="AG112" s="8"/>
      <c r="AH112" s="8"/>
      <c r="AI112" s="8"/>
      <c r="AJ112" s="8"/>
      <c r="AK112" s="8"/>
      <c r="AM112" s="8"/>
      <c r="AN112" s="8"/>
      <c r="AO112" s="8"/>
      <c r="AP112" s="8"/>
      <c r="AQ112" s="8"/>
      <c r="AR112" s="8"/>
      <c r="AS112" s="8"/>
      <c r="AT112" s="8"/>
      <c r="AU112" s="8"/>
      <c r="AV112" s="8"/>
      <c r="AW112" s="8"/>
      <c r="AX112" s="8"/>
      <c r="AY112" s="8"/>
      <c r="AZ112" s="8"/>
      <c r="BA112" s="8"/>
      <c r="BB112" s="8"/>
      <c r="BC112" s="8"/>
      <c r="BD112" s="8"/>
      <c r="BE112" s="8"/>
      <c r="BF112" s="8"/>
      <c r="BG112" s="8"/>
      <c r="BH112" s="8"/>
      <c r="BI112" s="8"/>
      <c r="BJ112" s="8"/>
      <c r="BK112" s="8"/>
      <c r="BL112" s="8"/>
      <c r="BM112" s="8"/>
      <c r="BN112" s="8"/>
      <c r="BO112" s="8"/>
      <c r="BP112" s="8"/>
      <c r="BQ112" s="8"/>
    </row>
    <row r="113" spans="1:69" ht="15" customHeight="1" x14ac:dyDescent="0.3">
      <c r="A113">
        <v>4</v>
      </c>
      <c r="B113" t="s">
        <v>209</v>
      </c>
      <c r="C113">
        <v>3</v>
      </c>
      <c r="G113">
        <v>11</v>
      </c>
      <c r="H113" t="s">
        <v>226</v>
      </c>
      <c r="I113" t="s">
        <v>75</v>
      </c>
      <c r="K113" t="s">
        <v>227</v>
      </c>
      <c r="L113" s="13"/>
      <c r="M113" s="25" t="s">
        <v>1337</v>
      </c>
      <c r="N113">
        <v>1</v>
      </c>
      <c r="O113" t="s">
        <v>655</v>
      </c>
      <c r="P113" s="1"/>
      <c r="Q113" s="8"/>
      <c r="R113" s="8"/>
      <c r="S113" s="8"/>
      <c r="T113" s="8"/>
      <c r="U113" s="8"/>
      <c r="V113" s="8"/>
      <c r="W113" s="8"/>
      <c r="X113" s="8"/>
      <c r="Y113" s="8"/>
      <c r="Z113" s="8"/>
      <c r="AB113" s="8"/>
      <c r="AC113" s="8"/>
      <c r="AD113" s="8"/>
      <c r="AE113" s="8"/>
      <c r="AF113" s="8"/>
      <c r="AG113" s="8"/>
      <c r="AH113" s="8"/>
      <c r="AI113" s="8"/>
      <c r="AJ113" s="8"/>
      <c r="AK113" s="8"/>
      <c r="AM113" s="8"/>
      <c r="AN113" s="8"/>
      <c r="AO113" s="8"/>
      <c r="AP113" s="8"/>
      <c r="AQ113" s="8"/>
      <c r="AR113" s="8"/>
      <c r="AS113" s="8"/>
      <c r="AT113" s="8"/>
      <c r="AU113" s="8"/>
      <c r="AV113" s="8"/>
      <c r="AW113" s="8"/>
      <c r="AX113" s="8"/>
      <c r="AY113" s="8"/>
      <c r="AZ113" s="8"/>
      <c r="BA113" s="8"/>
      <c r="BB113" s="8"/>
      <c r="BC113" s="8"/>
      <c r="BD113" s="8"/>
      <c r="BE113" s="8"/>
      <c r="BF113" s="8"/>
      <c r="BG113" s="8"/>
      <c r="BH113" s="8"/>
      <c r="BI113" s="8"/>
      <c r="BJ113" s="8"/>
      <c r="BK113" s="8"/>
      <c r="BL113" s="8"/>
      <c r="BM113" s="8"/>
      <c r="BN113" s="8"/>
      <c r="BO113" s="8"/>
      <c r="BP113" s="8"/>
      <c r="BQ113" s="8"/>
    </row>
    <row r="114" spans="1:69" ht="15" customHeight="1" x14ac:dyDescent="0.3">
      <c r="A114">
        <v>4</v>
      </c>
      <c r="B114" t="s">
        <v>209</v>
      </c>
      <c r="C114">
        <v>3</v>
      </c>
      <c r="G114">
        <v>12</v>
      </c>
      <c r="H114" t="s">
        <v>228</v>
      </c>
      <c r="I114" t="s">
        <v>75</v>
      </c>
      <c r="K114" t="s">
        <v>229</v>
      </c>
      <c r="L114" s="13"/>
      <c r="M114" s="25" t="s">
        <v>1338</v>
      </c>
      <c r="N114">
        <v>1</v>
      </c>
      <c r="O114" t="s">
        <v>656</v>
      </c>
      <c r="P114" s="1"/>
      <c r="Q114" s="13" t="s">
        <v>377</v>
      </c>
      <c r="R114" s="8">
        <v>4</v>
      </c>
      <c r="S114" s="13" t="s">
        <v>378</v>
      </c>
      <c r="T114" s="22" t="s">
        <v>1102</v>
      </c>
      <c r="U114" s="13" t="s">
        <v>379</v>
      </c>
      <c r="V114" t="s">
        <v>73</v>
      </c>
      <c r="W114" s="13" t="s">
        <v>380</v>
      </c>
      <c r="X114" t="s">
        <v>73</v>
      </c>
      <c r="Y114" s="13" t="s">
        <v>381</v>
      </c>
      <c r="Z114" t="s">
        <v>4</v>
      </c>
      <c r="AB114" s="8"/>
      <c r="AC114" s="8"/>
      <c r="AD114" s="8"/>
      <c r="AE114" s="8"/>
      <c r="AF114" s="8"/>
      <c r="AG114" s="8"/>
      <c r="AH114" s="8"/>
      <c r="AI114" s="8"/>
      <c r="AJ114" s="8"/>
      <c r="AK114" s="8"/>
      <c r="AM114" s="8"/>
      <c r="AN114" s="8"/>
      <c r="AO114" s="8"/>
      <c r="AP114" s="8"/>
      <c r="AQ114" s="8"/>
      <c r="AR114" s="8"/>
      <c r="AS114" s="8"/>
      <c r="AT114" s="8"/>
      <c r="AU114" s="8"/>
      <c r="AV114" s="8"/>
      <c r="AW114" s="8"/>
      <c r="AX114" s="8"/>
      <c r="AY114" s="8"/>
      <c r="AZ114" s="8"/>
      <c r="BA114" s="8"/>
      <c r="BB114" s="8"/>
      <c r="BC114" s="8"/>
      <c r="BD114" s="8"/>
      <c r="BE114" s="8"/>
      <c r="BF114" s="8"/>
      <c r="BG114" s="8"/>
      <c r="BH114" s="8"/>
      <c r="BI114" s="8"/>
      <c r="BJ114" s="8"/>
      <c r="BK114" s="8"/>
      <c r="BL114" s="8"/>
      <c r="BM114" s="8"/>
      <c r="BN114" s="8"/>
      <c r="BO114" s="8"/>
      <c r="BP114" s="8"/>
      <c r="BQ114" s="8"/>
    </row>
    <row r="115" spans="1:69" ht="15" customHeight="1" x14ac:dyDescent="0.3">
      <c r="A115">
        <v>4</v>
      </c>
      <c r="B115" t="s">
        <v>209</v>
      </c>
      <c r="C115">
        <v>4</v>
      </c>
      <c r="D115" t="s">
        <v>230</v>
      </c>
      <c r="E115" t="s">
        <v>20</v>
      </c>
      <c r="F115" s="17"/>
      <c r="G115">
        <v>13</v>
      </c>
      <c r="H115" t="s">
        <v>734</v>
      </c>
      <c r="I115" t="s">
        <v>75</v>
      </c>
      <c r="K115" t="s">
        <v>231</v>
      </c>
      <c r="L115" s="13"/>
      <c r="M115" s="13"/>
      <c r="P115" s="1"/>
      <c r="T115" s="8"/>
      <c r="AB115" s="8"/>
      <c r="AC115" s="8"/>
      <c r="AD115" s="8"/>
      <c r="AE115" s="8"/>
      <c r="AF115" s="8"/>
      <c r="AG115" s="8"/>
      <c r="AH115" s="8"/>
      <c r="AI115" s="8"/>
      <c r="AJ115" s="8"/>
      <c r="AK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c r="BM115" s="8"/>
      <c r="BN115" s="8"/>
      <c r="BO115" s="8"/>
      <c r="BP115" s="8"/>
      <c r="BQ115" s="8"/>
    </row>
    <row r="116" spans="1:69" ht="15" customHeight="1" x14ac:dyDescent="0.3">
      <c r="A116">
        <v>4</v>
      </c>
      <c r="B116" t="s">
        <v>209</v>
      </c>
      <c r="C116">
        <v>4</v>
      </c>
      <c r="G116">
        <v>14</v>
      </c>
      <c r="H116" t="s">
        <v>1103</v>
      </c>
      <c r="I116" t="s">
        <v>75</v>
      </c>
      <c r="K116" t="s">
        <v>232</v>
      </c>
      <c r="L116" s="13"/>
      <c r="M116" s="25" t="s">
        <v>1339</v>
      </c>
      <c r="N116">
        <v>1</v>
      </c>
      <c r="O116" s="2" t="s">
        <v>657</v>
      </c>
      <c r="P116" s="1"/>
      <c r="Q116" s="8"/>
      <c r="R116" s="8"/>
      <c r="S116" s="8"/>
      <c r="T116" s="8"/>
      <c r="U116" s="8"/>
      <c r="V116" s="8"/>
      <c r="W116" s="8"/>
      <c r="X116" s="8"/>
      <c r="Y116" s="8"/>
      <c r="Z116" s="8"/>
      <c r="AB116" s="8"/>
      <c r="AC116" s="8"/>
      <c r="AD116" s="8"/>
      <c r="AE116" s="8"/>
      <c r="AF116" s="8"/>
      <c r="AG116" s="8"/>
      <c r="AH116" s="8"/>
      <c r="AI116" s="8"/>
      <c r="AJ116" s="8"/>
      <c r="AK116" s="8"/>
      <c r="AM116" s="8"/>
      <c r="AN116" s="8"/>
      <c r="AO116" s="8"/>
      <c r="AP116" s="8"/>
      <c r="AQ116" s="8"/>
      <c r="AR116" s="8"/>
      <c r="AS116" s="8"/>
      <c r="AT116" s="8"/>
      <c r="AU116" s="8"/>
      <c r="AV116" s="8"/>
      <c r="AW116" s="8"/>
      <c r="AX116" s="8"/>
      <c r="AY116" s="8"/>
      <c r="AZ116" s="8"/>
      <c r="BA116" s="8"/>
      <c r="BB116" s="8"/>
      <c r="BC116" s="8"/>
      <c r="BD116" s="8"/>
      <c r="BE116" s="8"/>
      <c r="BF116" s="8"/>
      <c r="BG116" s="8"/>
      <c r="BH116" s="8"/>
      <c r="BI116" s="8"/>
      <c r="BJ116" s="8"/>
      <c r="BK116" s="8"/>
      <c r="BL116" s="8"/>
      <c r="BM116" s="8"/>
      <c r="BN116" s="8"/>
      <c r="BO116" s="8"/>
      <c r="BP116" s="8"/>
      <c r="BQ116" s="8"/>
    </row>
    <row r="117" spans="1:69" ht="15" customHeight="1" x14ac:dyDescent="0.3">
      <c r="A117">
        <v>4</v>
      </c>
      <c r="B117" t="s">
        <v>209</v>
      </c>
      <c r="C117">
        <v>4</v>
      </c>
      <c r="G117">
        <v>15</v>
      </c>
      <c r="H117" t="s">
        <v>233</v>
      </c>
      <c r="I117" t="s">
        <v>75</v>
      </c>
      <c r="K117" t="s">
        <v>234</v>
      </c>
      <c r="L117" s="13"/>
      <c r="M117" s="25" t="s">
        <v>1340</v>
      </c>
      <c r="N117">
        <v>1</v>
      </c>
      <c r="O117" t="s">
        <v>658</v>
      </c>
      <c r="P117" s="1"/>
      <c r="Q117" s="8"/>
      <c r="R117" s="8"/>
      <c r="S117" s="8"/>
      <c r="T117" s="8"/>
      <c r="U117" s="8"/>
      <c r="V117" s="8"/>
      <c r="W117" s="8"/>
      <c r="X117" s="8"/>
      <c r="Y117" s="8"/>
      <c r="Z117" s="8"/>
      <c r="AB117" s="8"/>
      <c r="AC117" s="8"/>
      <c r="AD117" s="8"/>
      <c r="AE117" s="8"/>
      <c r="AF117" s="8"/>
      <c r="AG117" s="8"/>
      <c r="AH117" s="8"/>
      <c r="AI117" s="8"/>
      <c r="AJ117" s="8"/>
      <c r="AK117" s="8"/>
      <c r="AM117" s="8"/>
      <c r="AN117" s="8"/>
      <c r="AO117" s="8"/>
      <c r="AP117" s="8"/>
      <c r="AQ117" s="8"/>
      <c r="AR117" s="8"/>
      <c r="AS117" s="8"/>
      <c r="AT117" s="8"/>
      <c r="AU117" s="8"/>
      <c r="AV117" s="8"/>
      <c r="AW117" s="8"/>
      <c r="AX117" s="8"/>
      <c r="AY117" s="8"/>
      <c r="AZ117" s="8"/>
      <c r="BA117" s="8"/>
      <c r="BB117" s="8"/>
      <c r="BC117" s="8"/>
      <c r="BD117" s="8"/>
      <c r="BE117" s="8"/>
      <c r="BF117" s="8"/>
      <c r="BG117" s="8"/>
      <c r="BH117" s="8"/>
      <c r="BI117" s="8"/>
      <c r="BJ117" s="8"/>
      <c r="BK117" s="8"/>
      <c r="BL117" s="8"/>
      <c r="BM117" s="8"/>
      <c r="BN117" s="8"/>
      <c r="BO117" s="8"/>
      <c r="BP117" s="8"/>
      <c r="BQ117" s="8"/>
    </row>
    <row r="118" spans="1:69" ht="15" customHeight="1" x14ac:dyDescent="0.3">
      <c r="A118">
        <v>4</v>
      </c>
      <c r="B118" t="s">
        <v>209</v>
      </c>
      <c r="C118">
        <v>4</v>
      </c>
      <c r="G118">
        <v>16</v>
      </c>
      <c r="H118" t="s">
        <v>235</v>
      </c>
      <c r="I118" t="s">
        <v>75</v>
      </c>
      <c r="K118" t="s">
        <v>236</v>
      </c>
      <c r="L118" s="13"/>
      <c r="M118" s="25" t="s">
        <v>1341</v>
      </c>
      <c r="N118">
        <v>1</v>
      </c>
      <c r="O118" t="s">
        <v>659</v>
      </c>
      <c r="P118" s="1"/>
      <c r="Q118" s="13" t="s">
        <v>382</v>
      </c>
      <c r="R118" s="8">
        <v>2</v>
      </c>
      <c r="S118" s="13" t="s">
        <v>383</v>
      </c>
      <c r="T118" s="24" t="s">
        <v>1104</v>
      </c>
      <c r="U118" s="13" t="s">
        <v>384</v>
      </c>
      <c r="V118" t="s">
        <v>4</v>
      </c>
      <c r="W118" s="13" t="s">
        <v>385</v>
      </c>
      <c r="X118" t="s">
        <v>73</v>
      </c>
      <c r="Y118" s="13" t="s">
        <v>386</v>
      </c>
      <c r="Z118" t="s">
        <v>73</v>
      </c>
      <c r="AB118" s="8"/>
      <c r="AC118" s="8"/>
      <c r="AD118" s="8"/>
      <c r="AE118" s="8"/>
      <c r="AF118" s="8"/>
      <c r="AG118" s="8"/>
      <c r="AH118" s="8"/>
      <c r="AI118" s="8"/>
      <c r="AJ118" s="8"/>
      <c r="AK118" s="8"/>
      <c r="AM118" s="8"/>
      <c r="AN118" s="8"/>
      <c r="AO118" s="8"/>
      <c r="AP118" s="8"/>
      <c r="AQ118" s="8"/>
      <c r="AR118" s="8"/>
      <c r="AS118" s="8"/>
      <c r="AT118" s="8"/>
      <c r="AU118" s="8"/>
      <c r="AV118" s="8"/>
      <c r="AW118" s="8"/>
      <c r="AX118" s="8"/>
      <c r="AY118" s="8"/>
      <c r="AZ118" s="8"/>
      <c r="BA118" s="8"/>
      <c r="BB118" s="8"/>
      <c r="BC118" s="8"/>
      <c r="BD118" s="8"/>
      <c r="BE118" s="8"/>
      <c r="BF118" s="8"/>
      <c r="BG118" s="8"/>
      <c r="BH118" s="8"/>
      <c r="BI118" s="8"/>
      <c r="BJ118" s="8"/>
      <c r="BK118" s="8"/>
      <c r="BL118" s="8"/>
      <c r="BM118" s="8"/>
      <c r="BN118" s="8"/>
      <c r="BO118" s="8"/>
      <c r="BP118" s="8"/>
      <c r="BQ118" s="8"/>
    </row>
    <row r="119" spans="1:69" ht="15" customHeight="1" x14ac:dyDescent="0.3">
      <c r="A119">
        <v>4</v>
      </c>
      <c r="B119" t="s">
        <v>209</v>
      </c>
      <c r="C119">
        <v>5</v>
      </c>
      <c r="D119" t="s">
        <v>810</v>
      </c>
      <c r="F119" s="17"/>
      <c r="G119">
        <v>17</v>
      </c>
      <c r="H119" t="s">
        <v>810</v>
      </c>
      <c r="I119" t="s">
        <v>75</v>
      </c>
      <c r="L119" s="23" t="s">
        <v>1101</v>
      </c>
      <c r="M119" s="23"/>
      <c r="P119" s="1"/>
      <c r="Q119" s="13"/>
      <c r="S119" s="13"/>
      <c r="T119" s="8"/>
      <c r="U119" s="13"/>
      <c r="W119" s="13"/>
      <c r="Y119" s="13"/>
      <c r="AB119" s="8"/>
      <c r="AC119" s="8"/>
      <c r="AD119" s="8"/>
      <c r="AE119" s="8"/>
      <c r="AF119" s="8"/>
      <c r="AG119" s="8"/>
      <c r="AH119" s="8"/>
      <c r="AI119" s="8"/>
      <c r="AJ119" s="8"/>
      <c r="AK119" s="8"/>
      <c r="AM119" s="8"/>
      <c r="AN119" s="8"/>
      <c r="AO119" s="8"/>
      <c r="AP119" s="8"/>
      <c r="AQ119" s="8"/>
      <c r="AR119" s="8"/>
      <c r="AS119" s="8"/>
      <c r="AT119" s="8"/>
      <c r="AU119" s="8"/>
      <c r="AV119" s="8"/>
      <c r="AW119" s="8"/>
      <c r="AX119" s="8"/>
      <c r="AY119" s="8"/>
      <c r="AZ119" s="8"/>
      <c r="BA119" s="8"/>
      <c r="BB119" s="8"/>
      <c r="BC119" s="8"/>
      <c r="BD119" s="8"/>
      <c r="BE119" s="8"/>
      <c r="BF119" s="8"/>
      <c r="BG119" s="8"/>
      <c r="BH119" s="8"/>
      <c r="BI119" s="8"/>
      <c r="BJ119" s="8"/>
      <c r="BK119" s="8"/>
      <c r="BL119" s="8"/>
      <c r="BM119" s="8"/>
      <c r="BN119" s="8"/>
      <c r="BO119" s="8"/>
      <c r="BP119" s="8"/>
      <c r="BQ119" s="8"/>
    </row>
    <row r="120" spans="1:69" ht="15" customHeight="1" x14ac:dyDescent="0.3">
      <c r="A120">
        <v>4</v>
      </c>
      <c r="B120" t="s">
        <v>209</v>
      </c>
      <c r="C120">
        <v>6</v>
      </c>
      <c r="D120" t="s">
        <v>720</v>
      </c>
      <c r="E120" t="s">
        <v>1143</v>
      </c>
      <c r="F120" s="17"/>
      <c r="G120">
        <v>18</v>
      </c>
      <c r="H120" t="s">
        <v>110</v>
      </c>
      <c r="I120" t="s">
        <v>75</v>
      </c>
      <c r="L120" s="23" t="s">
        <v>1144</v>
      </c>
      <c r="M120" s="23"/>
      <c r="N120">
        <v>1</v>
      </c>
      <c r="P120" s="1"/>
      <c r="Q120" s="13"/>
      <c r="S120" s="13"/>
      <c r="T120" s="8"/>
      <c r="U120" s="13"/>
      <c r="W120" s="13"/>
      <c r="Y120" s="13"/>
      <c r="AB120" s="8"/>
      <c r="AC120" s="8"/>
      <c r="AD120" s="8"/>
      <c r="AE120" s="8"/>
      <c r="AF120" s="8"/>
      <c r="AG120" s="8"/>
      <c r="AH120" s="8"/>
      <c r="AI120" s="8"/>
      <c r="AJ120" s="8"/>
      <c r="AK120" s="8"/>
      <c r="AM120" s="8"/>
      <c r="AN120" s="8"/>
      <c r="AO120" s="8"/>
      <c r="AP120" s="8"/>
      <c r="AQ120" s="8"/>
      <c r="AR120" s="8"/>
      <c r="AS120" s="8"/>
      <c r="AT120" s="8"/>
      <c r="AU120" s="8"/>
      <c r="AV120" s="8"/>
      <c r="AW120" s="8"/>
      <c r="AX120" s="8"/>
      <c r="AY120" s="8"/>
      <c r="AZ120" s="8"/>
      <c r="BA120" s="8"/>
      <c r="BB120" s="8"/>
      <c r="BC120" s="8"/>
      <c r="BD120" s="8"/>
      <c r="BE120" s="8"/>
      <c r="BF120" s="8"/>
      <c r="BG120" s="8"/>
      <c r="BH120" s="8"/>
      <c r="BI120" s="8"/>
      <c r="BJ120" s="8"/>
      <c r="BK120" s="8"/>
      <c r="BL120" s="8"/>
      <c r="BM120" s="8"/>
      <c r="BN120" s="8"/>
      <c r="BO120" s="8"/>
      <c r="BP120" s="8"/>
      <c r="BQ120" s="8"/>
    </row>
    <row r="121" spans="1:69" ht="15" customHeight="1" x14ac:dyDescent="0.3">
      <c r="A121">
        <v>4</v>
      </c>
      <c r="B121" t="s">
        <v>209</v>
      </c>
      <c r="C121">
        <v>6</v>
      </c>
      <c r="G121">
        <v>19</v>
      </c>
      <c r="H121" t="s">
        <v>814</v>
      </c>
      <c r="I121" t="s">
        <v>75</v>
      </c>
      <c r="K121" t="s">
        <v>237</v>
      </c>
      <c r="L121" s="13"/>
      <c r="M121" s="13"/>
      <c r="N121">
        <v>1</v>
      </c>
    </row>
    <row r="122" spans="1:69" ht="15" customHeight="1" x14ac:dyDescent="0.3">
      <c r="A122">
        <v>4</v>
      </c>
      <c r="B122" t="s">
        <v>209</v>
      </c>
      <c r="C122">
        <v>6</v>
      </c>
      <c r="F122" s="17"/>
      <c r="G122">
        <v>20</v>
      </c>
      <c r="H122" t="s">
        <v>112</v>
      </c>
      <c r="I122" t="s">
        <v>75</v>
      </c>
      <c r="L122" s="23" t="s">
        <v>1105</v>
      </c>
      <c r="M122" s="13"/>
      <c r="N122">
        <v>1</v>
      </c>
    </row>
    <row r="123" spans="1:69" ht="15" customHeight="1" x14ac:dyDescent="0.3">
      <c r="A123">
        <v>4</v>
      </c>
      <c r="B123" t="s">
        <v>209</v>
      </c>
      <c r="C123">
        <v>6</v>
      </c>
      <c r="G123">
        <v>21</v>
      </c>
      <c r="H123" t="s">
        <v>816</v>
      </c>
      <c r="I123" t="s">
        <v>75</v>
      </c>
      <c r="K123" t="s">
        <v>238</v>
      </c>
      <c r="L123" s="13"/>
      <c r="M123" s="13"/>
      <c r="N123">
        <v>1</v>
      </c>
    </row>
    <row r="124" spans="1:69" ht="15" customHeight="1" x14ac:dyDescent="0.3">
      <c r="A124">
        <v>4</v>
      </c>
      <c r="B124" t="s">
        <v>209</v>
      </c>
      <c r="C124">
        <v>6</v>
      </c>
      <c r="G124">
        <v>22</v>
      </c>
      <c r="H124" t="s">
        <v>114</v>
      </c>
      <c r="I124" t="s">
        <v>75</v>
      </c>
      <c r="L124" s="25" t="s">
        <v>1145</v>
      </c>
      <c r="M124" s="13"/>
      <c r="N124">
        <v>1</v>
      </c>
    </row>
    <row r="125" spans="1:69" ht="15" customHeight="1" x14ac:dyDescent="0.3">
      <c r="A125">
        <v>4</v>
      </c>
      <c r="B125" t="s">
        <v>209</v>
      </c>
      <c r="C125">
        <v>6</v>
      </c>
      <c r="G125">
        <v>23</v>
      </c>
      <c r="H125" t="s">
        <v>817</v>
      </c>
      <c r="I125" t="s">
        <v>75</v>
      </c>
      <c r="K125" t="s">
        <v>239</v>
      </c>
      <c r="L125" s="13"/>
      <c r="M125" s="13"/>
      <c r="N125">
        <v>1</v>
      </c>
    </row>
    <row r="126" spans="1:69" ht="15" customHeight="1" x14ac:dyDescent="0.3">
      <c r="A126">
        <v>4</v>
      </c>
      <c r="B126" t="s">
        <v>209</v>
      </c>
      <c r="C126">
        <v>6</v>
      </c>
      <c r="G126">
        <v>24</v>
      </c>
      <c r="H126" t="s">
        <v>116</v>
      </c>
      <c r="I126" t="s">
        <v>75</v>
      </c>
      <c r="L126" s="23" t="s">
        <v>1106</v>
      </c>
      <c r="M126" s="13"/>
      <c r="N126">
        <v>1</v>
      </c>
    </row>
    <row r="127" spans="1:69" ht="15" customHeight="1" x14ac:dyDescent="0.3">
      <c r="A127">
        <v>4</v>
      </c>
      <c r="B127" t="s">
        <v>209</v>
      </c>
      <c r="C127">
        <v>6</v>
      </c>
      <c r="G127">
        <v>25</v>
      </c>
      <c r="H127" t="s">
        <v>818</v>
      </c>
      <c r="I127" t="s">
        <v>75</v>
      </c>
      <c r="K127" t="s">
        <v>240</v>
      </c>
      <c r="L127" s="13"/>
      <c r="M127" s="13"/>
      <c r="N127">
        <v>1</v>
      </c>
    </row>
    <row r="128" spans="1:69" ht="15" customHeight="1" x14ac:dyDescent="0.3">
      <c r="A128">
        <v>4</v>
      </c>
      <c r="B128" t="s">
        <v>209</v>
      </c>
      <c r="C128">
        <v>6</v>
      </c>
      <c r="G128">
        <v>26</v>
      </c>
      <c r="H128" t="s">
        <v>157</v>
      </c>
      <c r="I128" t="s">
        <v>75</v>
      </c>
      <c r="L128" s="23" t="s">
        <v>1107</v>
      </c>
      <c r="M128" s="13"/>
      <c r="N128">
        <v>1</v>
      </c>
    </row>
    <row r="129" spans="1:69" ht="15" customHeight="1" x14ac:dyDescent="0.3">
      <c r="A129">
        <v>4</v>
      </c>
      <c r="B129" t="s">
        <v>209</v>
      </c>
      <c r="C129">
        <v>6</v>
      </c>
      <c r="G129">
        <v>27</v>
      </c>
      <c r="H129" t="s">
        <v>893</v>
      </c>
      <c r="I129" t="s">
        <v>75</v>
      </c>
      <c r="K129" t="s">
        <v>241</v>
      </c>
      <c r="L129" s="13"/>
      <c r="M129" s="13"/>
      <c r="N129">
        <v>1</v>
      </c>
    </row>
    <row r="130" spans="1:69" ht="15" customHeight="1" x14ac:dyDescent="0.3">
      <c r="A130">
        <v>4</v>
      </c>
      <c r="B130" t="s">
        <v>209</v>
      </c>
      <c r="C130">
        <v>7</v>
      </c>
      <c r="D130" t="s">
        <v>723</v>
      </c>
      <c r="F130" s="17"/>
      <c r="G130">
        <v>28</v>
      </c>
      <c r="H130" t="s">
        <v>723</v>
      </c>
      <c r="I130" t="s">
        <v>75</v>
      </c>
      <c r="K130" t="s">
        <v>242</v>
      </c>
      <c r="L130" s="13"/>
      <c r="M130" s="13"/>
      <c r="N130">
        <v>1</v>
      </c>
    </row>
    <row r="131" spans="1:69" ht="15" customHeight="1" x14ac:dyDescent="0.3">
      <c r="A131">
        <v>5</v>
      </c>
      <c r="B131" t="s">
        <v>243</v>
      </c>
      <c r="C131">
        <v>1</v>
      </c>
      <c r="D131" t="s">
        <v>731</v>
      </c>
      <c r="F131" s="17"/>
      <c r="G131">
        <v>1</v>
      </c>
      <c r="H131" t="s">
        <v>732</v>
      </c>
      <c r="I131" t="s">
        <v>75</v>
      </c>
      <c r="L131" s="23" t="s">
        <v>1204</v>
      </c>
      <c r="M131" s="13"/>
      <c r="P131" s="1"/>
      <c r="T131" s="8"/>
      <c r="AB131" s="8"/>
      <c r="AC131" s="8"/>
      <c r="AD131" s="8"/>
      <c r="AE131" s="8"/>
      <c r="AF131" s="8"/>
      <c r="AG131" s="8"/>
      <c r="AH131" s="8"/>
      <c r="AI131" s="8"/>
      <c r="AJ131" s="8"/>
      <c r="AK131" s="8"/>
      <c r="AM131" s="8"/>
      <c r="AN131" s="8"/>
      <c r="AO131" s="8"/>
      <c r="AP131" s="8"/>
      <c r="AQ131" s="8"/>
      <c r="AR131" s="8"/>
      <c r="AS131" s="8"/>
      <c r="AT131" s="8"/>
      <c r="AU131" s="8"/>
      <c r="AV131" s="8"/>
      <c r="AW131" s="8"/>
      <c r="AX131" s="8"/>
      <c r="AY131" s="8"/>
      <c r="AZ131" s="8"/>
      <c r="BA131" s="8"/>
      <c r="BB131" s="8"/>
      <c r="BC131" s="8"/>
      <c r="BD131" s="8"/>
      <c r="BE131" s="8"/>
      <c r="BF131" s="8"/>
      <c r="BG131" s="8"/>
      <c r="BH131" s="8"/>
      <c r="BI131" s="8"/>
      <c r="BJ131" s="8"/>
      <c r="BK131" s="8"/>
      <c r="BL131" s="8"/>
      <c r="BM131" s="8"/>
      <c r="BN131" s="8"/>
      <c r="BO131" s="8"/>
      <c r="BP131" s="8"/>
      <c r="BQ131" s="8"/>
    </row>
    <row r="132" spans="1:69" ht="15" customHeight="1" x14ac:dyDescent="0.3">
      <c r="A132">
        <v>5</v>
      </c>
      <c r="B132" t="s">
        <v>243</v>
      </c>
      <c r="C132">
        <v>1</v>
      </c>
      <c r="G132">
        <v>2</v>
      </c>
      <c r="H132" t="s">
        <v>733</v>
      </c>
      <c r="I132" t="s">
        <v>75</v>
      </c>
      <c r="L132" s="25" t="s">
        <v>1205</v>
      </c>
      <c r="M132" s="13"/>
      <c r="P132" s="1"/>
      <c r="T132" s="8"/>
      <c r="AB132" s="8"/>
      <c r="AC132" s="8"/>
      <c r="AD132" s="8"/>
      <c r="AE132" s="8"/>
      <c r="AF132" s="8"/>
      <c r="AG132" s="8"/>
      <c r="AH132" s="8"/>
      <c r="AI132" s="8"/>
      <c r="AJ132" s="8"/>
      <c r="AK132" s="8"/>
      <c r="AM132" s="8"/>
      <c r="AN132" s="8"/>
      <c r="AO132" s="8"/>
      <c r="AP132" s="8"/>
      <c r="AQ132" s="8"/>
      <c r="AR132" s="8"/>
      <c r="AS132" s="8"/>
      <c r="AT132" s="8"/>
      <c r="AU132" s="8"/>
      <c r="AV132" s="8"/>
      <c r="AW132" s="8"/>
      <c r="AX132" s="8"/>
      <c r="AY132" s="8"/>
      <c r="AZ132" s="8"/>
      <c r="BA132" s="8"/>
      <c r="BB132" s="8"/>
      <c r="BC132" s="8"/>
      <c r="BD132" s="8"/>
      <c r="BE132" s="8"/>
      <c r="BF132" s="8"/>
      <c r="BG132" s="8"/>
      <c r="BH132" s="8"/>
      <c r="BI132" s="8"/>
      <c r="BJ132" s="8"/>
      <c r="BK132" s="8"/>
      <c r="BL132" s="8"/>
      <c r="BM132" s="8"/>
      <c r="BN132" s="8"/>
      <c r="BO132" s="8"/>
      <c r="BP132" s="8"/>
      <c r="BQ132" s="8"/>
    </row>
    <row r="133" spans="1:69" ht="15" customHeight="1" x14ac:dyDescent="0.3">
      <c r="A133">
        <v>5</v>
      </c>
      <c r="B133" t="s">
        <v>243</v>
      </c>
      <c r="C133">
        <v>2</v>
      </c>
      <c r="D133" t="s">
        <v>244</v>
      </c>
      <c r="E133" t="s">
        <v>20</v>
      </c>
      <c r="F133" s="17"/>
      <c r="G133">
        <v>3</v>
      </c>
      <c r="H133" t="s">
        <v>734</v>
      </c>
      <c r="I133" t="s">
        <v>75</v>
      </c>
      <c r="K133" t="s">
        <v>245</v>
      </c>
      <c r="L133" s="13"/>
      <c r="M133" s="23" t="s">
        <v>1206</v>
      </c>
      <c r="O133" t="s">
        <v>660</v>
      </c>
    </row>
    <row r="134" spans="1:69" ht="15" customHeight="1" x14ac:dyDescent="0.3">
      <c r="A134">
        <v>5</v>
      </c>
      <c r="B134" t="s">
        <v>243</v>
      </c>
      <c r="C134">
        <v>2</v>
      </c>
      <c r="G134">
        <v>4</v>
      </c>
      <c r="H134" t="s">
        <v>246</v>
      </c>
      <c r="I134" t="s">
        <v>75</v>
      </c>
      <c r="K134" t="s">
        <v>247</v>
      </c>
      <c r="L134" s="13"/>
      <c r="M134" s="25" t="s">
        <v>1342</v>
      </c>
      <c r="N134">
        <v>1</v>
      </c>
      <c r="O134" s="2" t="s">
        <v>661</v>
      </c>
      <c r="Q134" s="13" t="s">
        <v>1214</v>
      </c>
      <c r="R134">
        <v>1</v>
      </c>
      <c r="S134" s="13" t="s">
        <v>1215</v>
      </c>
      <c r="T134" s="13"/>
      <c r="U134" s="13" t="s">
        <v>1216</v>
      </c>
      <c r="W134" s="13" t="s">
        <v>1217</v>
      </c>
      <c r="Y134" s="13" t="s">
        <v>1218</v>
      </c>
    </row>
    <row r="135" spans="1:69" ht="15" customHeight="1" x14ac:dyDescent="0.3">
      <c r="A135">
        <v>5</v>
      </c>
      <c r="B135" t="s">
        <v>243</v>
      </c>
      <c r="C135">
        <v>2</v>
      </c>
      <c r="G135">
        <v>5</v>
      </c>
      <c r="H135" t="s">
        <v>248</v>
      </c>
      <c r="I135" t="s">
        <v>75</v>
      </c>
      <c r="K135" t="s">
        <v>249</v>
      </c>
      <c r="L135" s="13"/>
      <c r="M135" s="25" t="s">
        <v>1343</v>
      </c>
      <c r="N135">
        <v>1</v>
      </c>
      <c r="O135" t="s">
        <v>662</v>
      </c>
      <c r="Q135" s="13" t="s">
        <v>1219</v>
      </c>
      <c r="R135">
        <v>4</v>
      </c>
      <c r="S135" s="13" t="s">
        <v>392</v>
      </c>
      <c r="T135" s="13"/>
      <c r="U135" s="13" t="s">
        <v>279</v>
      </c>
      <c r="V135" t="s">
        <v>73</v>
      </c>
      <c r="W135" s="13" t="s">
        <v>393</v>
      </c>
      <c r="X135" t="s">
        <v>73</v>
      </c>
      <c r="Y135" s="13" t="s">
        <v>394</v>
      </c>
      <c r="Z135" t="s">
        <v>4</v>
      </c>
    </row>
    <row r="136" spans="1:69" ht="15" customHeight="1" x14ac:dyDescent="0.3">
      <c r="A136">
        <v>5</v>
      </c>
      <c r="B136" t="s">
        <v>243</v>
      </c>
      <c r="C136">
        <v>3</v>
      </c>
      <c r="D136" t="s">
        <v>721</v>
      </c>
      <c r="E136" t="s">
        <v>20</v>
      </c>
      <c r="G136">
        <v>6</v>
      </c>
      <c r="H136" t="s">
        <v>734</v>
      </c>
      <c r="I136" t="s">
        <v>75</v>
      </c>
      <c r="L136" s="23" t="s">
        <v>1207</v>
      </c>
      <c r="M136" s="23"/>
      <c r="Q136" s="13"/>
      <c r="S136" s="13"/>
      <c r="T136" s="13"/>
      <c r="U136" s="13"/>
      <c r="W136" s="13"/>
      <c r="Y136" s="13"/>
    </row>
    <row r="137" spans="1:69" ht="15" customHeight="1" x14ac:dyDescent="0.3">
      <c r="A137">
        <v>5</v>
      </c>
      <c r="B137" t="s">
        <v>243</v>
      </c>
      <c r="C137">
        <v>3</v>
      </c>
      <c r="G137">
        <v>7</v>
      </c>
      <c r="H137" t="s">
        <v>250</v>
      </c>
      <c r="I137" t="s">
        <v>75</v>
      </c>
      <c r="K137" t="s">
        <v>251</v>
      </c>
      <c r="L137" s="13"/>
      <c r="M137" s="25" t="s">
        <v>1344</v>
      </c>
      <c r="N137">
        <v>1</v>
      </c>
      <c r="O137" t="s">
        <v>663</v>
      </c>
    </row>
    <row r="138" spans="1:69" ht="15" customHeight="1" x14ac:dyDescent="0.3">
      <c r="A138">
        <v>5</v>
      </c>
      <c r="B138" t="s">
        <v>243</v>
      </c>
      <c r="C138">
        <v>3</v>
      </c>
      <c r="G138">
        <v>8</v>
      </c>
      <c r="H138" t="s">
        <v>252</v>
      </c>
      <c r="I138" t="s">
        <v>75</v>
      </c>
      <c r="K138" t="s">
        <v>253</v>
      </c>
      <c r="L138" s="13"/>
      <c r="M138" s="25" t="s">
        <v>1345</v>
      </c>
      <c r="N138">
        <v>1</v>
      </c>
      <c r="O138" t="s">
        <v>664</v>
      </c>
      <c r="Q138" s="13" t="s">
        <v>395</v>
      </c>
      <c r="R138">
        <v>3</v>
      </c>
      <c r="S138" s="13" t="s">
        <v>396</v>
      </c>
      <c r="T138" s="13"/>
      <c r="U138" s="13" t="s">
        <v>397</v>
      </c>
      <c r="V138" t="s">
        <v>73</v>
      </c>
      <c r="W138" s="13" t="s">
        <v>398</v>
      </c>
      <c r="X138" t="s">
        <v>4</v>
      </c>
      <c r="Y138" s="13" t="s">
        <v>399</v>
      </c>
      <c r="Z138" t="s">
        <v>73</v>
      </c>
    </row>
    <row r="139" spans="1:69" ht="15" customHeight="1" x14ac:dyDescent="0.3">
      <c r="A139">
        <v>5</v>
      </c>
      <c r="B139" t="s">
        <v>243</v>
      </c>
      <c r="C139">
        <v>3</v>
      </c>
      <c r="G139">
        <v>9</v>
      </c>
      <c r="H139" t="s">
        <v>254</v>
      </c>
      <c r="I139" t="s">
        <v>75</v>
      </c>
      <c r="K139" t="s">
        <v>255</v>
      </c>
      <c r="L139" s="13"/>
      <c r="M139" s="25" t="s">
        <v>1346</v>
      </c>
      <c r="N139">
        <v>1</v>
      </c>
      <c r="O139" t="s">
        <v>665</v>
      </c>
      <c r="Q139" s="13" t="s">
        <v>1225</v>
      </c>
      <c r="R139">
        <v>1</v>
      </c>
      <c r="S139" s="13" t="s">
        <v>1226</v>
      </c>
      <c r="T139" s="13"/>
      <c r="U139" s="13" t="s">
        <v>1227</v>
      </c>
      <c r="W139" s="13" t="s">
        <v>1228</v>
      </c>
      <c r="Y139" s="13" t="s">
        <v>1229</v>
      </c>
    </row>
    <row r="140" spans="1:69" ht="15" customHeight="1" x14ac:dyDescent="0.3">
      <c r="A140">
        <v>5</v>
      </c>
      <c r="B140" t="s">
        <v>243</v>
      </c>
      <c r="C140">
        <v>3</v>
      </c>
      <c r="G140">
        <v>10</v>
      </c>
      <c r="H140" t="s">
        <v>256</v>
      </c>
      <c r="I140" t="s">
        <v>75</v>
      </c>
      <c r="K140" t="s">
        <v>257</v>
      </c>
      <c r="L140" s="13"/>
      <c r="M140" s="25" t="s">
        <v>1347</v>
      </c>
      <c r="N140">
        <v>1</v>
      </c>
      <c r="O140" t="s">
        <v>666</v>
      </c>
      <c r="Q140" s="13" t="s">
        <v>1235</v>
      </c>
      <c r="R140">
        <v>1</v>
      </c>
      <c r="S140" s="13" t="s">
        <v>1236</v>
      </c>
      <c r="T140" s="13"/>
      <c r="U140" s="13" t="s">
        <v>1237</v>
      </c>
      <c r="W140" s="13" t="s">
        <v>1238</v>
      </c>
      <c r="Y140" s="13" t="s">
        <v>1239</v>
      </c>
    </row>
    <row r="141" spans="1:69" ht="15" customHeight="1" x14ac:dyDescent="0.3">
      <c r="A141">
        <v>5</v>
      </c>
      <c r="B141" t="s">
        <v>243</v>
      </c>
      <c r="C141">
        <v>4</v>
      </c>
      <c r="D141" t="s">
        <v>1208</v>
      </c>
      <c r="E141" t="s">
        <v>20</v>
      </c>
      <c r="G141">
        <v>11</v>
      </c>
      <c r="H141" t="s">
        <v>734</v>
      </c>
      <c r="I141" t="s">
        <v>75</v>
      </c>
      <c r="L141" s="23" t="s">
        <v>1209</v>
      </c>
      <c r="M141" s="23"/>
    </row>
    <row r="142" spans="1:69" ht="15" customHeight="1" x14ac:dyDescent="0.3">
      <c r="A142">
        <v>5</v>
      </c>
      <c r="B142" t="s">
        <v>243</v>
      </c>
      <c r="C142">
        <v>4</v>
      </c>
      <c r="G142">
        <v>12</v>
      </c>
      <c r="H142" t="s">
        <v>258</v>
      </c>
      <c r="I142" t="s">
        <v>75</v>
      </c>
      <c r="K142" t="s">
        <v>259</v>
      </c>
      <c r="L142" s="13"/>
      <c r="M142" s="25" t="s">
        <v>1348</v>
      </c>
      <c r="N142">
        <v>1</v>
      </c>
      <c r="O142" s="2" t="s">
        <v>667</v>
      </c>
      <c r="Q142" s="13" t="s">
        <v>1213</v>
      </c>
      <c r="R142">
        <v>2</v>
      </c>
      <c r="S142" s="13" t="s">
        <v>400</v>
      </c>
      <c r="T142" s="13"/>
      <c r="U142" s="13" t="s">
        <v>401</v>
      </c>
      <c r="V142" t="s">
        <v>4</v>
      </c>
      <c r="W142" s="13" t="s">
        <v>402</v>
      </c>
      <c r="X142" t="s">
        <v>73</v>
      </c>
      <c r="Y142" s="13" t="s">
        <v>403</v>
      </c>
      <c r="Z142" t="s">
        <v>73</v>
      </c>
    </row>
    <row r="143" spans="1:69" ht="15" customHeight="1" x14ac:dyDescent="0.3">
      <c r="A143">
        <v>5</v>
      </c>
      <c r="B143" t="s">
        <v>243</v>
      </c>
      <c r="C143">
        <v>4</v>
      </c>
      <c r="G143">
        <v>13</v>
      </c>
      <c r="H143" t="s">
        <v>260</v>
      </c>
      <c r="I143" t="s">
        <v>75</v>
      </c>
      <c r="K143" t="s">
        <v>261</v>
      </c>
      <c r="L143" s="13"/>
      <c r="M143" s="25" t="s">
        <v>1349</v>
      </c>
      <c r="N143">
        <v>1</v>
      </c>
      <c r="O143" t="s">
        <v>668</v>
      </c>
      <c r="Q143" s="13" t="s">
        <v>1220</v>
      </c>
      <c r="R143">
        <v>3</v>
      </c>
      <c r="S143" s="13" t="s">
        <v>1221</v>
      </c>
      <c r="T143" s="13"/>
      <c r="U143" s="13" t="s">
        <v>1222</v>
      </c>
      <c r="W143" s="13" t="s">
        <v>1223</v>
      </c>
      <c r="Y143" s="13" t="s">
        <v>1224</v>
      </c>
    </row>
    <row r="144" spans="1:69" ht="15" customHeight="1" x14ac:dyDescent="0.3">
      <c r="A144">
        <v>5</v>
      </c>
      <c r="B144" t="s">
        <v>243</v>
      </c>
      <c r="C144">
        <v>4</v>
      </c>
      <c r="G144">
        <v>14</v>
      </c>
      <c r="H144" t="s">
        <v>262</v>
      </c>
      <c r="I144" t="s">
        <v>75</v>
      </c>
      <c r="K144" t="s">
        <v>263</v>
      </c>
      <c r="L144" s="13"/>
      <c r="M144" s="23" t="s">
        <v>1210</v>
      </c>
      <c r="N144">
        <v>1</v>
      </c>
      <c r="O144" t="s">
        <v>669</v>
      </c>
      <c r="Q144" s="13" t="s">
        <v>1230</v>
      </c>
      <c r="R144">
        <v>4</v>
      </c>
      <c r="S144" s="13" t="s">
        <v>1231</v>
      </c>
      <c r="T144" s="13"/>
      <c r="U144" s="13" t="s">
        <v>1232</v>
      </c>
      <c r="W144" s="13" t="s">
        <v>1233</v>
      </c>
      <c r="Y144" s="13" t="s">
        <v>1234</v>
      </c>
    </row>
    <row r="145" spans="1:69" ht="15" customHeight="1" x14ac:dyDescent="0.3">
      <c r="A145">
        <v>5</v>
      </c>
      <c r="B145" t="s">
        <v>243</v>
      </c>
      <c r="C145">
        <v>4</v>
      </c>
      <c r="G145">
        <v>15</v>
      </c>
      <c r="H145" t="s">
        <v>264</v>
      </c>
      <c r="I145" t="s">
        <v>75</v>
      </c>
      <c r="K145" t="s">
        <v>265</v>
      </c>
      <c r="L145" s="13"/>
      <c r="M145" s="25" t="s">
        <v>1350</v>
      </c>
      <c r="N145">
        <v>1</v>
      </c>
    </row>
    <row r="146" spans="1:69" ht="15" customHeight="1" x14ac:dyDescent="0.3">
      <c r="A146">
        <v>5</v>
      </c>
      <c r="B146" t="s">
        <v>243</v>
      </c>
      <c r="C146">
        <v>4</v>
      </c>
      <c r="G146">
        <v>16</v>
      </c>
      <c r="H146" t="s">
        <v>266</v>
      </c>
      <c r="I146" t="s">
        <v>75</v>
      </c>
      <c r="K146" t="s">
        <v>267</v>
      </c>
      <c r="L146" s="13"/>
      <c r="M146" s="25" t="s">
        <v>1351</v>
      </c>
      <c r="N146">
        <v>1</v>
      </c>
      <c r="Q146" s="13" t="s">
        <v>1240</v>
      </c>
      <c r="R146">
        <v>1</v>
      </c>
      <c r="S146" s="13" t="s">
        <v>1241</v>
      </c>
      <c r="T146" s="13"/>
      <c r="U146" s="13" t="s">
        <v>1242</v>
      </c>
      <c r="W146" s="13" t="s">
        <v>1243</v>
      </c>
      <c r="Y146" s="13" t="s">
        <v>1244</v>
      </c>
    </row>
    <row r="147" spans="1:69" ht="15" customHeight="1" x14ac:dyDescent="0.3">
      <c r="A147">
        <v>5</v>
      </c>
      <c r="B147" t="s">
        <v>243</v>
      </c>
      <c r="C147">
        <v>5</v>
      </c>
      <c r="D147" t="s">
        <v>810</v>
      </c>
      <c r="G147">
        <v>17</v>
      </c>
      <c r="H147" t="s">
        <v>810</v>
      </c>
      <c r="I147" t="s">
        <v>75</v>
      </c>
      <c r="L147" s="23" t="s">
        <v>1211</v>
      </c>
      <c r="M147" s="23"/>
      <c r="Q147" s="13"/>
      <c r="S147" s="13"/>
      <c r="T147" s="13"/>
      <c r="U147" s="13"/>
      <c r="W147" s="13"/>
      <c r="Y147" s="13"/>
    </row>
    <row r="148" spans="1:69" ht="15" customHeight="1" x14ac:dyDescent="0.3">
      <c r="A148">
        <v>5</v>
      </c>
      <c r="B148" t="s">
        <v>243</v>
      </c>
      <c r="C148">
        <v>6</v>
      </c>
      <c r="D148" t="s">
        <v>720</v>
      </c>
      <c r="E148" t="s">
        <v>1143</v>
      </c>
      <c r="G148">
        <v>18</v>
      </c>
      <c r="H148" t="s">
        <v>110</v>
      </c>
      <c r="I148" t="s">
        <v>75</v>
      </c>
      <c r="L148" s="25" t="s">
        <v>1245</v>
      </c>
      <c r="M148" s="13"/>
      <c r="N148">
        <v>1</v>
      </c>
    </row>
    <row r="149" spans="1:69" ht="15" customHeight="1" x14ac:dyDescent="0.3">
      <c r="A149">
        <v>5</v>
      </c>
      <c r="B149" t="s">
        <v>243</v>
      </c>
      <c r="C149">
        <v>6</v>
      </c>
      <c r="G149">
        <v>19</v>
      </c>
      <c r="H149" t="s">
        <v>814</v>
      </c>
      <c r="I149" t="s">
        <v>75</v>
      </c>
      <c r="K149" t="s">
        <v>268</v>
      </c>
      <c r="L149" s="13"/>
      <c r="M149" s="13"/>
      <c r="N149">
        <v>1</v>
      </c>
    </row>
    <row r="150" spans="1:69" ht="15" customHeight="1" x14ac:dyDescent="0.3">
      <c r="A150">
        <v>5</v>
      </c>
      <c r="B150" t="s">
        <v>243</v>
      </c>
      <c r="C150">
        <v>6</v>
      </c>
      <c r="G150">
        <v>20</v>
      </c>
      <c r="H150" t="s">
        <v>112</v>
      </c>
      <c r="I150" t="s">
        <v>75</v>
      </c>
      <c r="L150" s="25" t="s">
        <v>1246</v>
      </c>
      <c r="M150" s="13"/>
      <c r="N150">
        <v>1</v>
      </c>
    </row>
    <row r="151" spans="1:69" ht="15" customHeight="1" x14ac:dyDescent="0.3">
      <c r="A151">
        <v>5</v>
      </c>
      <c r="B151" t="s">
        <v>243</v>
      </c>
      <c r="C151">
        <v>6</v>
      </c>
      <c r="G151">
        <v>21</v>
      </c>
      <c r="H151" t="s">
        <v>816</v>
      </c>
      <c r="I151" t="s">
        <v>75</v>
      </c>
      <c r="K151" t="s">
        <v>269</v>
      </c>
      <c r="L151" s="13"/>
      <c r="M151" s="13"/>
      <c r="N151">
        <v>1</v>
      </c>
    </row>
    <row r="152" spans="1:69" ht="15" customHeight="1" x14ac:dyDescent="0.3">
      <c r="A152">
        <v>5</v>
      </c>
      <c r="B152" t="s">
        <v>243</v>
      </c>
      <c r="C152">
        <v>6</v>
      </c>
      <c r="G152">
        <v>22</v>
      </c>
      <c r="H152" t="s">
        <v>114</v>
      </c>
      <c r="I152" t="s">
        <v>75</v>
      </c>
      <c r="L152" s="23" t="s">
        <v>1247</v>
      </c>
      <c r="M152" s="13"/>
      <c r="N152">
        <v>1</v>
      </c>
    </row>
    <row r="153" spans="1:69" ht="15" customHeight="1" x14ac:dyDescent="0.3">
      <c r="A153">
        <v>5</v>
      </c>
      <c r="B153" t="s">
        <v>243</v>
      </c>
      <c r="C153">
        <v>6</v>
      </c>
      <c r="G153">
        <v>23</v>
      </c>
      <c r="H153" t="s">
        <v>817</v>
      </c>
      <c r="I153" t="s">
        <v>75</v>
      </c>
      <c r="K153" t="s">
        <v>270</v>
      </c>
      <c r="L153" s="13"/>
      <c r="M153" s="13"/>
      <c r="N153">
        <v>1</v>
      </c>
    </row>
    <row r="154" spans="1:69" ht="15" customHeight="1" x14ac:dyDescent="0.3">
      <c r="A154">
        <v>5</v>
      </c>
      <c r="B154" t="s">
        <v>243</v>
      </c>
      <c r="C154">
        <v>6</v>
      </c>
      <c r="G154">
        <v>24</v>
      </c>
      <c r="H154" t="s">
        <v>116</v>
      </c>
      <c r="I154" t="s">
        <v>75</v>
      </c>
      <c r="L154" s="23" t="s">
        <v>1212</v>
      </c>
      <c r="M154" s="13"/>
      <c r="N154">
        <v>1</v>
      </c>
    </row>
    <row r="155" spans="1:69" ht="15" customHeight="1" x14ac:dyDescent="0.3">
      <c r="A155">
        <v>5</v>
      </c>
      <c r="B155" t="s">
        <v>243</v>
      </c>
      <c r="C155">
        <v>6</v>
      </c>
      <c r="G155">
        <v>25</v>
      </c>
      <c r="H155" t="s">
        <v>818</v>
      </c>
      <c r="I155" t="s">
        <v>75</v>
      </c>
      <c r="K155" t="s">
        <v>271</v>
      </c>
      <c r="L155" s="13"/>
      <c r="M155" s="13"/>
      <c r="N155">
        <v>1</v>
      </c>
    </row>
    <row r="156" spans="1:69" ht="15" customHeight="1" x14ac:dyDescent="0.3">
      <c r="A156">
        <v>5</v>
      </c>
      <c r="B156" t="s">
        <v>243</v>
      </c>
      <c r="C156">
        <v>7</v>
      </c>
      <c r="D156" t="s">
        <v>723</v>
      </c>
      <c r="G156">
        <v>26</v>
      </c>
      <c r="H156" t="s">
        <v>723</v>
      </c>
      <c r="I156" t="s">
        <v>75</v>
      </c>
      <c r="K156" t="s">
        <v>272</v>
      </c>
      <c r="L156" s="13"/>
      <c r="M156" s="13"/>
      <c r="N156">
        <v>1</v>
      </c>
    </row>
    <row r="157" spans="1:69" ht="15" customHeight="1" x14ac:dyDescent="0.3">
      <c r="A157">
        <v>6</v>
      </c>
      <c r="B157" t="s">
        <v>273</v>
      </c>
      <c r="C157">
        <v>1</v>
      </c>
      <c r="D157" t="s">
        <v>731</v>
      </c>
      <c r="F157" s="17"/>
      <c r="G157">
        <v>1</v>
      </c>
      <c r="H157" t="s">
        <v>732</v>
      </c>
      <c r="I157" t="s">
        <v>75</v>
      </c>
      <c r="L157" s="23" t="s">
        <v>1251</v>
      </c>
      <c r="M157" s="13"/>
      <c r="P157" s="1"/>
      <c r="T157" s="8"/>
      <c r="AB157" s="8"/>
      <c r="AC157" s="8"/>
      <c r="AD157" s="8"/>
      <c r="AE157" s="8"/>
      <c r="AF157" s="8"/>
      <c r="AG157" s="8"/>
      <c r="AH157" s="8"/>
      <c r="AI157" s="8"/>
      <c r="AJ157" s="8"/>
      <c r="AK157" s="8"/>
      <c r="AM157" s="8"/>
      <c r="AN157" s="8"/>
      <c r="AO157" s="8"/>
      <c r="AP157" s="8"/>
      <c r="AQ157" s="8"/>
      <c r="AR157" s="8"/>
      <c r="AS157" s="8"/>
      <c r="AT157" s="8"/>
      <c r="AU157" s="8"/>
      <c r="AV157" s="8"/>
      <c r="AW157" s="8"/>
      <c r="AX157" s="8"/>
      <c r="AY157" s="8"/>
      <c r="AZ157" s="8"/>
      <c r="BA157" s="8"/>
      <c r="BB157" s="8"/>
      <c r="BC157" s="8"/>
      <c r="BD157" s="8"/>
      <c r="BE157" s="8"/>
      <c r="BF157" s="8"/>
      <c r="BG157" s="8"/>
      <c r="BH157" s="8"/>
      <c r="BI157" s="8"/>
      <c r="BJ157" s="8"/>
      <c r="BK157" s="8"/>
      <c r="BL157" s="8"/>
      <c r="BM157" s="8"/>
      <c r="BN157" s="8"/>
      <c r="BO157" s="8"/>
      <c r="BP157" s="8"/>
      <c r="BQ157" s="8"/>
    </row>
    <row r="158" spans="1:69" ht="15" customHeight="1" x14ac:dyDescent="0.3">
      <c r="A158">
        <v>6</v>
      </c>
      <c r="B158" t="s">
        <v>273</v>
      </c>
      <c r="C158">
        <v>1</v>
      </c>
      <c r="G158">
        <v>2</v>
      </c>
      <c r="H158" t="s">
        <v>733</v>
      </c>
      <c r="I158" t="s">
        <v>75</v>
      </c>
      <c r="L158" s="23" t="s">
        <v>1313</v>
      </c>
      <c r="M158" s="13"/>
      <c r="P158" s="1"/>
      <c r="T158" s="8"/>
      <c r="AB158" s="8"/>
      <c r="AC158" s="8"/>
      <c r="AD158" s="8"/>
      <c r="AE158" s="8"/>
      <c r="AF158" s="8"/>
      <c r="AG158" s="8"/>
      <c r="AH158" s="8"/>
      <c r="AI158" s="8"/>
      <c r="AJ158" s="8"/>
      <c r="AK158" s="8"/>
      <c r="AM158" s="8"/>
      <c r="AN158" s="8"/>
      <c r="AO158" s="8"/>
      <c r="AP158" s="8"/>
      <c r="AQ158" s="8"/>
      <c r="AR158" s="8"/>
      <c r="AS158" s="8"/>
      <c r="AT158" s="8"/>
      <c r="AU158" s="8"/>
      <c r="AV158" s="8"/>
      <c r="AW158" s="8"/>
      <c r="AX158" s="8"/>
      <c r="AY158" s="8"/>
      <c r="AZ158" s="8"/>
      <c r="BA158" s="8"/>
      <c r="BB158" s="8"/>
      <c r="BC158" s="8"/>
      <c r="BD158" s="8"/>
      <c r="BE158" s="8"/>
      <c r="BF158" s="8"/>
      <c r="BG158" s="8"/>
      <c r="BH158" s="8"/>
      <c r="BI158" s="8"/>
      <c r="BJ158" s="8"/>
      <c r="BK158" s="8"/>
      <c r="BL158" s="8"/>
      <c r="BM158" s="8"/>
      <c r="BN158" s="8"/>
      <c r="BO158" s="8"/>
      <c r="BP158" s="8"/>
      <c r="BQ158" s="8"/>
    </row>
    <row r="159" spans="1:69" ht="15" customHeight="1" x14ac:dyDescent="0.3">
      <c r="A159">
        <v>6</v>
      </c>
      <c r="B159" t="s">
        <v>273</v>
      </c>
      <c r="C159">
        <v>2</v>
      </c>
      <c r="D159" t="s">
        <v>274</v>
      </c>
      <c r="E159" t="s">
        <v>20</v>
      </c>
      <c r="G159">
        <v>3</v>
      </c>
      <c r="H159" t="s">
        <v>274</v>
      </c>
      <c r="I159" t="s">
        <v>75</v>
      </c>
      <c r="K159" t="s">
        <v>275</v>
      </c>
      <c r="L159" s="13"/>
      <c r="M159" s="13"/>
      <c r="O159" t="s">
        <v>670</v>
      </c>
    </row>
    <row r="160" spans="1:69" ht="15" customHeight="1" x14ac:dyDescent="0.3">
      <c r="A160">
        <v>6</v>
      </c>
      <c r="B160" t="s">
        <v>273</v>
      </c>
      <c r="C160">
        <v>2</v>
      </c>
      <c r="G160">
        <v>4</v>
      </c>
      <c r="H160" t="s">
        <v>235</v>
      </c>
      <c r="I160" t="s">
        <v>75</v>
      </c>
      <c r="K160" t="s">
        <v>276</v>
      </c>
      <c r="L160" s="13"/>
      <c r="M160" s="23" t="s">
        <v>1352</v>
      </c>
      <c r="O160" t="s">
        <v>671</v>
      </c>
      <c r="Q160" s="13" t="s">
        <v>404</v>
      </c>
      <c r="R160">
        <v>3</v>
      </c>
      <c r="S160" s="13" t="s">
        <v>405</v>
      </c>
      <c r="T160" s="13"/>
      <c r="U160" s="13" t="s">
        <v>406</v>
      </c>
      <c r="V160" t="s">
        <v>73</v>
      </c>
      <c r="W160" s="13" t="s">
        <v>407</v>
      </c>
      <c r="X160" t="s">
        <v>4</v>
      </c>
      <c r="Y160" s="13" t="s">
        <v>408</v>
      </c>
      <c r="Z160" t="s">
        <v>73</v>
      </c>
    </row>
    <row r="161" spans="1:26" ht="15" customHeight="1" x14ac:dyDescent="0.3">
      <c r="A161">
        <v>6</v>
      </c>
      <c r="B161" t="s">
        <v>273</v>
      </c>
      <c r="C161">
        <v>2</v>
      </c>
      <c r="G161">
        <v>5</v>
      </c>
      <c r="H161" t="s">
        <v>277</v>
      </c>
      <c r="I161" t="s">
        <v>75</v>
      </c>
      <c r="K161" t="s">
        <v>278</v>
      </c>
      <c r="L161" s="13"/>
      <c r="M161" s="23" t="s">
        <v>1353</v>
      </c>
      <c r="O161" t="s">
        <v>672</v>
      </c>
      <c r="Q161" s="13" t="s">
        <v>1267</v>
      </c>
      <c r="R161">
        <v>3</v>
      </c>
      <c r="S161" s="13" t="s">
        <v>1266</v>
      </c>
      <c r="T161" s="13"/>
      <c r="U161" s="13" t="s">
        <v>1265</v>
      </c>
      <c r="V161" s="13"/>
      <c r="W161" s="13" t="s">
        <v>1264</v>
      </c>
      <c r="X161" s="13"/>
      <c r="Y161" s="13" t="s">
        <v>1263</v>
      </c>
    </row>
    <row r="162" spans="1:26" ht="15" customHeight="1" x14ac:dyDescent="0.3">
      <c r="A162">
        <v>6</v>
      </c>
      <c r="B162" t="s">
        <v>273</v>
      </c>
      <c r="C162">
        <v>2</v>
      </c>
      <c r="G162">
        <v>6</v>
      </c>
      <c r="H162" t="s">
        <v>279</v>
      </c>
      <c r="I162" t="s">
        <v>75</v>
      </c>
      <c r="K162" t="s">
        <v>280</v>
      </c>
      <c r="L162" s="13"/>
      <c r="M162" s="23" t="s">
        <v>1354</v>
      </c>
      <c r="O162" t="s">
        <v>673</v>
      </c>
      <c r="Q162" s="13" t="s">
        <v>1272</v>
      </c>
      <c r="R162">
        <v>1</v>
      </c>
      <c r="S162" s="13" t="s">
        <v>1271</v>
      </c>
      <c r="T162" s="13"/>
      <c r="U162" s="13" t="s">
        <v>1270</v>
      </c>
      <c r="V162" s="13"/>
      <c r="W162" s="13" t="s">
        <v>1269</v>
      </c>
      <c r="X162" s="13"/>
      <c r="Y162" s="13" t="s">
        <v>1268</v>
      </c>
    </row>
    <row r="163" spans="1:26" ht="15" customHeight="1" x14ac:dyDescent="0.3">
      <c r="A163">
        <v>6</v>
      </c>
      <c r="B163" t="s">
        <v>273</v>
      </c>
      <c r="C163">
        <v>2</v>
      </c>
      <c r="G163">
        <v>7</v>
      </c>
      <c r="H163" t="s">
        <v>281</v>
      </c>
      <c r="I163" t="s">
        <v>75</v>
      </c>
      <c r="K163" t="s">
        <v>282</v>
      </c>
      <c r="L163" s="13"/>
      <c r="M163" s="23" t="s">
        <v>1355</v>
      </c>
      <c r="O163" t="s">
        <v>674</v>
      </c>
      <c r="Q163" s="13" t="s">
        <v>1277</v>
      </c>
      <c r="R163">
        <v>4</v>
      </c>
      <c r="S163" s="13" t="s">
        <v>1276</v>
      </c>
      <c r="T163" s="13"/>
      <c r="U163" s="13" t="s">
        <v>1275</v>
      </c>
      <c r="V163" s="13"/>
      <c r="W163" s="13" t="s">
        <v>1274</v>
      </c>
      <c r="X163" s="13"/>
      <c r="Y163" s="13" t="s">
        <v>1273</v>
      </c>
    </row>
    <row r="164" spans="1:26" ht="15" customHeight="1" x14ac:dyDescent="0.3">
      <c r="A164">
        <v>6</v>
      </c>
      <c r="B164" t="s">
        <v>273</v>
      </c>
      <c r="C164">
        <v>2</v>
      </c>
      <c r="G164">
        <v>8</v>
      </c>
      <c r="H164" t="s">
        <v>283</v>
      </c>
      <c r="I164" t="s">
        <v>75</v>
      </c>
      <c r="K164" t="s">
        <v>284</v>
      </c>
      <c r="L164" s="13"/>
      <c r="M164" s="28" t="s">
        <v>1356</v>
      </c>
      <c r="O164" s="2" t="s">
        <v>675</v>
      </c>
      <c r="Q164" s="13" t="s">
        <v>1282</v>
      </c>
      <c r="R164">
        <v>2</v>
      </c>
      <c r="S164" s="13" t="s">
        <v>1281</v>
      </c>
      <c r="T164" s="13"/>
      <c r="U164" s="13" t="s">
        <v>1280</v>
      </c>
      <c r="V164" s="13"/>
      <c r="W164" s="13" t="s">
        <v>1279</v>
      </c>
      <c r="X164" s="13"/>
      <c r="Y164" s="13" t="s">
        <v>1278</v>
      </c>
    </row>
    <row r="165" spans="1:26" ht="15" customHeight="1" x14ac:dyDescent="0.3">
      <c r="A165">
        <v>6</v>
      </c>
      <c r="B165" t="s">
        <v>273</v>
      </c>
      <c r="C165">
        <v>3</v>
      </c>
      <c r="D165" t="s">
        <v>285</v>
      </c>
      <c r="E165" t="s">
        <v>20</v>
      </c>
      <c r="G165">
        <v>9</v>
      </c>
      <c r="H165" t="s">
        <v>285</v>
      </c>
      <c r="I165" t="s">
        <v>75</v>
      </c>
      <c r="K165" t="s">
        <v>286</v>
      </c>
      <c r="L165" s="13"/>
      <c r="M165" s="13"/>
    </row>
    <row r="166" spans="1:26" ht="15" customHeight="1" x14ac:dyDescent="0.3">
      <c r="A166">
        <v>6</v>
      </c>
      <c r="B166" t="s">
        <v>273</v>
      </c>
      <c r="C166">
        <v>3</v>
      </c>
      <c r="G166">
        <v>10</v>
      </c>
      <c r="H166" t="s">
        <v>287</v>
      </c>
      <c r="I166" t="s">
        <v>75</v>
      </c>
      <c r="K166" t="s">
        <v>288</v>
      </c>
      <c r="L166" s="13"/>
      <c r="M166" s="23" t="s">
        <v>1358</v>
      </c>
      <c r="O166" t="s">
        <v>676</v>
      </c>
      <c r="Q166" s="13" t="s">
        <v>1283</v>
      </c>
      <c r="R166">
        <v>3</v>
      </c>
      <c r="S166" s="13" t="s">
        <v>1284</v>
      </c>
      <c r="T166" s="13"/>
      <c r="U166" s="13" t="s">
        <v>1285</v>
      </c>
      <c r="V166" s="13"/>
      <c r="W166" s="13" t="s">
        <v>1286</v>
      </c>
      <c r="X166" s="13"/>
      <c r="Y166" s="13" t="s">
        <v>1287</v>
      </c>
    </row>
    <row r="167" spans="1:26" ht="15" customHeight="1" x14ac:dyDescent="0.3">
      <c r="A167">
        <v>6</v>
      </c>
      <c r="B167" t="s">
        <v>273</v>
      </c>
      <c r="C167">
        <v>3</v>
      </c>
      <c r="F167" s="27"/>
      <c r="G167">
        <v>11</v>
      </c>
      <c r="H167" t="s">
        <v>289</v>
      </c>
      <c r="I167" t="s">
        <v>75</v>
      </c>
      <c r="K167" t="s">
        <v>290</v>
      </c>
      <c r="L167" s="13"/>
      <c r="M167" s="23" t="s">
        <v>1357</v>
      </c>
      <c r="O167" t="s">
        <v>677</v>
      </c>
      <c r="Q167" s="13" t="s">
        <v>1257</v>
      </c>
      <c r="R167">
        <v>1</v>
      </c>
      <c r="S167" s="13" t="s">
        <v>1258</v>
      </c>
      <c r="T167" s="13"/>
      <c r="U167" s="13" t="s">
        <v>1259</v>
      </c>
      <c r="W167" s="13" t="s">
        <v>1260</v>
      </c>
      <c r="Y167" s="13" t="s">
        <v>1261</v>
      </c>
    </row>
    <row r="168" spans="1:26" ht="15" customHeight="1" x14ac:dyDescent="0.3">
      <c r="A168">
        <v>6</v>
      </c>
      <c r="B168" t="s">
        <v>273</v>
      </c>
      <c r="C168">
        <v>3</v>
      </c>
      <c r="G168">
        <v>12</v>
      </c>
      <c r="H168" t="s">
        <v>291</v>
      </c>
      <c r="I168" t="s">
        <v>75</v>
      </c>
      <c r="K168" t="s">
        <v>292</v>
      </c>
      <c r="L168" s="13"/>
      <c r="M168" s="23" t="s">
        <v>1359</v>
      </c>
      <c r="O168" t="s">
        <v>678</v>
      </c>
      <c r="Q168" s="13" t="s">
        <v>1292</v>
      </c>
      <c r="R168">
        <v>3</v>
      </c>
      <c r="S168" s="13" t="s">
        <v>1291</v>
      </c>
      <c r="T168" s="13"/>
      <c r="U168" s="13" t="s">
        <v>1290</v>
      </c>
      <c r="V168" s="13"/>
      <c r="W168" s="13" t="s">
        <v>1289</v>
      </c>
      <c r="X168" s="13"/>
      <c r="Y168" s="13" t="s">
        <v>1288</v>
      </c>
    </row>
    <row r="169" spans="1:26" ht="15" customHeight="1" x14ac:dyDescent="0.3">
      <c r="A169">
        <v>6</v>
      </c>
      <c r="B169" t="s">
        <v>273</v>
      </c>
      <c r="C169">
        <v>3</v>
      </c>
      <c r="G169">
        <v>13</v>
      </c>
      <c r="H169" t="s">
        <v>293</v>
      </c>
      <c r="I169" t="s">
        <v>75</v>
      </c>
      <c r="K169" t="s">
        <v>294</v>
      </c>
      <c r="L169" s="13"/>
      <c r="M169" s="23" t="s">
        <v>1360</v>
      </c>
      <c r="O169" t="s">
        <v>679</v>
      </c>
      <c r="Q169" s="13" t="s">
        <v>1297</v>
      </c>
      <c r="R169">
        <v>1</v>
      </c>
      <c r="S169" s="13" t="s">
        <v>1296</v>
      </c>
      <c r="T169" s="13"/>
      <c r="U169" s="13" t="s">
        <v>1295</v>
      </c>
      <c r="V169" s="13"/>
      <c r="W169" s="13" t="s">
        <v>1294</v>
      </c>
      <c r="X169" s="13"/>
      <c r="Y169" s="13" t="s">
        <v>1293</v>
      </c>
    </row>
    <row r="170" spans="1:26" ht="15" customHeight="1" x14ac:dyDescent="0.3">
      <c r="A170">
        <v>6</v>
      </c>
      <c r="B170" t="s">
        <v>273</v>
      </c>
      <c r="C170">
        <v>3</v>
      </c>
      <c r="G170">
        <v>14</v>
      </c>
      <c r="H170" t="s">
        <v>295</v>
      </c>
      <c r="I170" t="s">
        <v>75</v>
      </c>
      <c r="K170" t="s">
        <v>296</v>
      </c>
      <c r="L170" s="13"/>
      <c r="M170" s="23" t="s">
        <v>1361</v>
      </c>
      <c r="O170" t="s">
        <v>680</v>
      </c>
      <c r="Q170" s="13" t="s">
        <v>1312</v>
      </c>
      <c r="R170">
        <v>4</v>
      </c>
      <c r="S170" s="23" t="s">
        <v>1311</v>
      </c>
      <c r="T170" s="23"/>
      <c r="U170" s="13" t="s">
        <v>1310</v>
      </c>
      <c r="V170" s="13"/>
      <c r="W170" s="23" t="s">
        <v>1309</v>
      </c>
      <c r="X170" s="23"/>
      <c r="Y170" s="13" t="s">
        <v>1308</v>
      </c>
    </row>
    <row r="171" spans="1:26" ht="15" customHeight="1" x14ac:dyDescent="0.3">
      <c r="A171">
        <v>6</v>
      </c>
      <c r="B171" t="s">
        <v>273</v>
      </c>
      <c r="C171">
        <v>3</v>
      </c>
      <c r="G171">
        <v>15</v>
      </c>
      <c r="H171" t="s">
        <v>297</v>
      </c>
      <c r="I171" t="s">
        <v>75</v>
      </c>
      <c r="K171" t="s">
        <v>298</v>
      </c>
      <c r="L171" s="13"/>
      <c r="M171" s="23" t="s">
        <v>1362</v>
      </c>
      <c r="O171" t="s">
        <v>681</v>
      </c>
      <c r="Q171" s="13" t="s">
        <v>1302</v>
      </c>
      <c r="R171">
        <v>4</v>
      </c>
      <c r="S171" s="13" t="s">
        <v>1301</v>
      </c>
      <c r="T171" s="13"/>
      <c r="U171" s="13" t="s">
        <v>1300</v>
      </c>
      <c r="V171" s="13"/>
      <c r="W171" s="13" t="s">
        <v>1299</v>
      </c>
      <c r="X171" s="13"/>
      <c r="Y171" s="13" t="s">
        <v>1298</v>
      </c>
    </row>
    <row r="172" spans="1:26" ht="15" customHeight="1" x14ac:dyDescent="0.3">
      <c r="A172">
        <v>6</v>
      </c>
      <c r="B172" t="s">
        <v>273</v>
      </c>
      <c r="C172">
        <v>4</v>
      </c>
      <c r="D172" t="s">
        <v>299</v>
      </c>
      <c r="E172" t="s">
        <v>20</v>
      </c>
      <c r="G172">
        <v>16</v>
      </c>
      <c r="H172" t="s">
        <v>299</v>
      </c>
      <c r="I172" t="s">
        <v>75</v>
      </c>
      <c r="K172" t="s">
        <v>300</v>
      </c>
      <c r="L172" s="13"/>
      <c r="M172" s="13"/>
    </row>
    <row r="173" spans="1:26" ht="15" customHeight="1" x14ac:dyDescent="0.3">
      <c r="A173">
        <v>6</v>
      </c>
      <c r="B173" t="s">
        <v>273</v>
      </c>
      <c r="C173">
        <v>4</v>
      </c>
      <c r="G173">
        <v>17</v>
      </c>
      <c r="H173" t="s">
        <v>301</v>
      </c>
      <c r="I173" t="s">
        <v>75</v>
      </c>
      <c r="K173" t="s">
        <v>302</v>
      </c>
      <c r="L173" s="13"/>
      <c r="M173" s="23" t="s">
        <v>1363</v>
      </c>
      <c r="O173" t="s">
        <v>682</v>
      </c>
      <c r="Q173" s="13" t="s">
        <v>409</v>
      </c>
      <c r="R173">
        <v>4</v>
      </c>
      <c r="S173" s="13" t="s">
        <v>410</v>
      </c>
      <c r="T173" s="13"/>
      <c r="U173" s="13" t="s">
        <v>411</v>
      </c>
      <c r="V173" t="s">
        <v>73</v>
      </c>
      <c r="W173" s="13" t="s">
        <v>279</v>
      </c>
      <c r="X173" t="s">
        <v>73</v>
      </c>
      <c r="Y173" s="13" t="s">
        <v>412</v>
      </c>
      <c r="Z173" t="s">
        <v>4</v>
      </c>
    </row>
    <row r="174" spans="1:26" ht="15" customHeight="1" x14ac:dyDescent="0.3">
      <c r="A174">
        <v>6</v>
      </c>
      <c r="B174" t="s">
        <v>273</v>
      </c>
      <c r="C174">
        <v>4</v>
      </c>
      <c r="G174">
        <v>18</v>
      </c>
      <c r="H174" t="s">
        <v>303</v>
      </c>
      <c r="I174" t="s">
        <v>75</v>
      </c>
      <c r="K174" t="s">
        <v>304</v>
      </c>
      <c r="L174" s="13"/>
      <c r="M174" s="23" t="s">
        <v>1364</v>
      </c>
      <c r="O174" t="s">
        <v>683</v>
      </c>
      <c r="Q174" s="13" t="s">
        <v>1307</v>
      </c>
      <c r="R174">
        <v>3</v>
      </c>
      <c r="S174" s="13" t="s">
        <v>1306</v>
      </c>
      <c r="T174" s="13"/>
      <c r="U174" s="13" t="s">
        <v>1305</v>
      </c>
      <c r="V174" s="13"/>
      <c r="W174" s="13" t="s">
        <v>1304</v>
      </c>
      <c r="X174" s="13"/>
      <c r="Y174" s="13" t="s">
        <v>1303</v>
      </c>
    </row>
    <row r="175" spans="1:26" ht="15" customHeight="1" x14ac:dyDescent="0.3">
      <c r="A175">
        <v>6</v>
      </c>
      <c r="B175" t="s">
        <v>273</v>
      </c>
      <c r="C175">
        <v>5</v>
      </c>
      <c r="D175" t="s">
        <v>810</v>
      </c>
      <c r="G175">
        <v>19</v>
      </c>
      <c r="H175" t="s">
        <v>810</v>
      </c>
      <c r="I175" t="s">
        <v>75</v>
      </c>
      <c r="L175" s="23" t="s">
        <v>1252</v>
      </c>
      <c r="M175" s="23"/>
      <c r="Q175" s="13"/>
      <c r="S175" s="13"/>
      <c r="T175" s="13"/>
      <c r="U175" s="13"/>
      <c r="W175" s="13"/>
      <c r="Y175" s="13"/>
    </row>
    <row r="176" spans="1:26" ht="15" customHeight="1" x14ac:dyDescent="0.3">
      <c r="A176">
        <v>6</v>
      </c>
      <c r="B176" t="s">
        <v>273</v>
      </c>
      <c r="C176">
        <v>6</v>
      </c>
      <c r="D176" t="s">
        <v>720</v>
      </c>
      <c r="E176" t="s">
        <v>1143</v>
      </c>
      <c r="G176">
        <v>20</v>
      </c>
      <c r="H176" t="s">
        <v>110</v>
      </c>
      <c r="I176" t="s">
        <v>75</v>
      </c>
      <c r="L176" s="23" t="s">
        <v>1253</v>
      </c>
      <c r="M176" s="13"/>
    </row>
    <row r="177" spans="1:15" ht="15" customHeight="1" x14ac:dyDescent="0.3">
      <c r="A177">
        <v>6</v>
      </c>
      <c r="B177" t="s">
        <v>273</v>
      </c>
      <c r="C177">
        <v>6</v>
      </c>
      <c r="G177">
        <v>21</v>
      </c>
      <c r="H177" t="s">
        <v>814</v>
      </c>
      <c r="K177" t="s">
        <v>305</v>
      </c>
      <c r="L177" s="13"/>
      <c r="M177" s="13"/>
    </row>
    <row r="178" spans="1:15" ht="15" customHeight="1" x14ac:dyDescent="0.3">
      <c r="A178">
        <v>6</v>
      </c>
      <c r="B178" t="s">
        <v>273</v>
      </c>
      <c r="C178">
        <v>6</v>
      </c>
      <c r="G178">
        <v>22</v>
      </c>
      <c r="H178" t="s">
        <v>112</v>
      </c>
      <c r="I178" t="s">
        <v>75</v>
      </c>
      <c r="L178" s="23" t="s">
        <v>1254</v>
      </c>
      <c r="M178" s="13"/>
    </row>
    <row r="179" spans="1:15" ht="15" customHeight="1" x14ac:dyDescent="0.3">
      <c r="A179">
        <v>6</v>
      </c>
      <c r="B179" t="s">
        <v>273</v>
      </c>
      <c r="C179">
        <v>6</v>
      </c>
      <c r="G179">
        <v>23</v>
      </c>
      <c r="H179" t="s">
        <v>816</v>
      </c>
      <c r="K179" t="s">
        <v>306</v>
      </c>
      <c r="L179" s="13"/>
      <c r="M179" s="13"/>
    </row>
    <row r="180" spans="1:15" ht="15" customHeight="1" x14ac:dyDescent="0.3">
      <c r="A180">
        <v>6</v>
      </c>
      <c r="B180" t="s">
        <v>273</v>
      </c>
      <c r="C180">
        <v>6</v>
      </c>
      <c r="G180">
        <v>24</v>
      </c>
      <c r="H180" t="s">
        <v>114</v>
      </c>
      <c r="I180" t="s">
        <v>75</v>
      </c>
      <c r="L180" s="23" t="s">
        <v>1255</v>
      </c>
      <c r="M180" s="13"/>
    </row>
    <row r="181" spans="1:15" ht="15" customHeight="1" x14ac:dyDescent="0.3">
      <c r="A181">
        <v>6</v>
      </c>
      <c r="B181" t="s">
        <v>273</v>
      </c>
      <c r="C181">
        <v>6</v>
      </c>
      <c r="G181">
        <v>25</v>
      </c>
      <c r="H181" t="s">
        <v>817</v>
      </c>
      <c r="K181" t="s">
        <v>307</v>
      </c>
      <c r="L181" s="13"/>
      <c r="M181" s="13"/>
    </row>
    <row r="182" spans="1:15" ht="15" customHeight="1" x14ac:dyDescent="0.3">
      <c r="A182">
        <v>6</v>
      </c>
      <c r="B182" t="s">
        <v>273</v>
      </c>
      <c r="C182">
        <v>6</v>
      </c>
      <c r="G182">
        <v>26</v>
      </c>
      <c r="H182" t="s">
        <v>116</v>
      </c>
      <c r="I182" t="s">
        <v>75</v>
      </c>
      <c r="L182" s="23" t="s">
        <v>1262</v>
      </c>
      <c r="M182" s="13"/>
    </row>
    <row r="183" spans="1:15" ht="15" customHeight="1" x14ac:dyDescent="0.3">
      <c r="A183">
        <v>6</v>
      </c>
      <c r="B183" t="s">
        <v>273</v>
      </c>
      <c r="C183">
        <v>6</v>
      </c>
      <c r="G183">
        <v>27</v>
      </c>
      <c r="H183" t="s">
        <v>818</v>
      </c>
      <c r="K183" t="s">
        <v>308</v>
      </c>
      <c r="L183" s="13"/>
      <c r="M183" s="13"/>
    </row>
    <row r="184" spans="1:15" ht="15" customHeight="1" x14ac:dyDescent="0.3">
      <c r="A184">
        <v>6</v>
      </c>
      <c r="B184" t="s">
        <v>273</v>
      </c>
      <c r="C184">
        <v>6</v>
      </c>
      <c r="G184">
        <v>28</v>
      </c>
      <c r="H184" t="s">
        <v>157</v>
      </c>
      <c r="I184" t="s">
        <v>75</v>
      </c>
      <c r="L184" s="23" t="s">
        <v>1256</v>
      </c>
      <c r="M184" s="13"/>
    </row>
    <row r="185" spans="1:15" ht="15" customHeight="1" x14ac:dyDescent="0.3">
      <c r="A185">
        <v>6</v>
      </c>
      <c r="B185" t="s">
        <v>273</v>
      </c>
      <c r="C185">
        <v>6</v>
      </c>
      <c r="G185">
        <v>29</v>
      </c>
      <c r="H185" t="s">
        <v>893</v>
      </c>
      <c r="K185" t="s">
        <v>309</v>
      </c>
      <c r="L185" s="13"/>
      <c r="M185" s="13"/>
    </row>
    <row r="186" spans="1:15" ht="15" customHeight="1" x14ac:dyDescent="0.3">
      <c r="A186">
        <v>6</v>
      </c>
      <c r="B186" t="s">
        <v>273</v>
      </c>
      <c r="C186">
        <v>7</v>
      </c>
      <c r="D186" t="s">
        <v>723</v>
      </c>
      <c r="G186">
        <v>30</v>
      </c>
      <c r="H186" t="s">
        <v>723</v>
      </c>
      <c r="I186" t="s">
        <v>75</v>
      </c>
      <c r="K186" t="s">
        <v>310</v>
      </c>
      <c r="L186" s="13"/>
      <c r="M186" s="13"/>
    </row>
    <row r="187" spans="1:15" ht="15" customHeight="1" x14ac:dyDescent="0.3">
      <c r="A187">
        <v>7</v>
      </c>
      <c r="B187" t="s">
        <v>311</v>
      </c>
      <c r="C187">
        <v>1</v>
      </c>
      <c r="D187" t="s">
        <v>312</v>
      </c>
      <c r="G187">
        <v>1</v>
      </c>
      <c r="H187" t="s">
        <v>312</v>
      </c>
      <c r="I187" t="s">
        <v>75</v>
      </c>
      <c r="K187" t="s">
        <v>313</v>
      </c>
      <c r="L187" s="13"/>
      <c r="M187" s="13"/>
      <c r="O187" t="s">
        <v>684</v>
      </c>
    </row>
    <row r="188" spans="1:15" ht="15" customHeight="1" x14ac:dyDescent="0.3">
      <c r="A188">
        <v>7</v>
      </c>
      <c r="B188" t="s">
        <v>311</v>
      </c>
      <c r="C188">
        <v>1</v>
      </c>
      <c r="G188">
        <f t="shared" ref="G188:G223" si="1">SUM(G187,1)</f>
        <v>2</v>
      </c>
      <c r="H188" t="s">
        <v>314</v>
      </c>
      <c r="I188" t="s">
        <v>75</v>
      </c>
      <c r="K188" t="s">
        <v>315</v>
      </c>
      <c r="L188" s="13"/>
      <c r="M188" s="13"/>
      <c r="O188" t="s">
        <v>685</v>
      </c>
    </row>
    <row r="189" spans="1:15" ht="15" customHeight="1" x14ac:dyDescent="0.3">
      <c r="A189">
        <v>7</v>
      </c>
      <c r="B189" t="s">
        <v>311</v>
      </c>
      <c r="C189">
        <v>1</v>
      </c>
      <c r="G189">
        <f t="shared" si="1"/>
        <v>3</v>
      </c>
      <c r="H189" t="s">
        <v>316</v>
      </c>
      <c r="I189" t="s">
        <v>75</v>
      </c>
      <c r="K189" t="s">
        <v>317</v>
      </c>
      <c r="L189" s="13"/>
      <c r="M189" s="13"/>
      <c r="O189" t="s">
        <v>686</v>
      </c>
    </row>
    <row r="190" spans="1:15" ht="15" customHeight="1" x14ac:dyDescent="0.3">
      <c r="A190">
        <v>7</v>
      </c>
      <c r="B190" t="s">
        <v>311</v>
      </c>
      <c r="C190">
        <v>1</v>
      </c>
      <c r="G190">
        <f t="shared" si="1"/>
        <v>4</v>
      </c>
      <c r="H190" t="s">
        <v>318</v>
      </c>
      <c r="I190" t="s">
        <v>75</v>
      </c>
      <c r="K190" t="s">
        <v>319</v>
      </c>
      <c r="L190" s="13"/>
      <c r="M190" s="13"/>
      <c r="O190" t="s">
        <v>687</v>
      </c>
    </row>
    <row r="191" spans="1:15" ht="15" customHeight="1" x14ac:dyDescent="0.3">
      <c r="A191">
        <v>7</v>
      </c>
      <c r="B191" t="s">
        <v>311</v>
      </c>
      <c r="C191">
        <v>2</v>
      </c>
      <c r="D191" t="s">
        <v>320</v>
      </c>
      <c r="G191">
        <f t="shared" si="1"/>
        <v>5</v>
      </c>
      <c r="H191" t="s">
        <v>320</v>
      </c>
      <c r="I191" t="s">
        <v>75</v>
      </c>
      <c r="K191" t="s">
        <v>321</v>
      </c>
      <c r="L191" s="13"/>
      <c r="M191" s="13"/>
    </row>
    <row r="192" spans="1:15" ht="15" customHeight="1" x14ac:dyDescent="0.3">
      <c r="A192">
        <v>7</v>
      </c>
      <c r="B192" t="s">
        <v>311</v>
      </c>
      <c r="C192">
        <v>2</v>
      </c>
      <c r="G192">
        <f t="shared" si="1"/>
        <v>6</v>
      </c>
      <c r="H192" t="s">
        <v>322</v>
      </c>
      <c r="I192" t="s">
        <v>75</v>
      </c>
      <c r="K192" t="s">
        <v>323</v>
      </c>
      <c r="L192" s="13"/>
      <c r="M192" s="13"/>
      <c r="O192" t="s">
        <v>688</v>
      </c>
    </row>
    <row r="193" spans="1:26" ht="15" customHeight="1" x14ac:dyDescent="0.3">
      <c r="A193">
        <v>7</v>
      </c>
      <c r="B193" t="s">
        <v>311</v>
      </c>
      <c r="C193">
        <v>2</v>
      </c>
      <c r="G193">
        <f t="shared" si="1"/>
        <v>7</v>
      </c>
      <c r="H193" t="s">
        <v>324</v>
      </c>
      <c r="I193" t="s">
        <v>75</v>
      </c>
      <c r="K193" t="s">
        <v>325</v>
      </c>
      <c r="L193" s="13"/>
      <c r="M193" s="13"/>
      <c r="O193" t="s">
        <v>689</v>
      </c>
    </row>
    <row r="194" spans="1:26" ht="15" customHeight="1" x14ac:dyDescent="0.3">
      <c r="A194">
        <v>7</v>
      </c>
      <c r="B194" t="s">
        <v>311</v>
      </c>
      <c r="C194">
        <v>2</v>
      </c>
      <c r="G194">
        <f t="shared" si="1"/>
        <v>8</v>
      </c>
      <c r="H194" t="s">
        <v>326</v>
      </c>
      <c r="I194" t="s">
        <v>75</v>
      </c>
      <c r="K194" t="s">
        <v>327</v>
      </c>
      <c r="L194" s="13"/>
      <c r="M194" s="13"/>
      <c r="O194" t="s">
        <v>690</v>
      </c>
    </row>
    <row r="195" spans="1:26" ht="15" customHeight="1" x14ac:dyDescent="0.3">
      <c r="A195">
        <v>7</v>
      </c>
      <c r="B195" t="s">
        <v>311</v>
      </c>
      <c r="C195">
        <v>2</v>
      </c>
      <c r="G195">
        <f t="shared" si="1"/>
        <v>9</v>
      </c>
      <c r="H195" t="s">
        <v>328</v>
      </c>
      <c r="I195" t="s">
        <v>75</v>
      </c>
      <c r="K195" t="s">
        <v>329</v>
      </c>
      <c r="L195" s="13"/>
      <c r="M195" s="13"/>
      <c r="O195" t="s">
        <v>691</v>
      </c>
    </row>
    <row r="196" spans="1:26" ht="15" customHeight="1" x14ac:dyDescent="0.3">
      <c r="A196">
        <v>7</v>
      </c>
      <c r="B196" t="s">
        <v>311</v>
      </c>
      <c r="C196">
        <v>2</v>
      </c>
      <c r="G196">
        <f t="shared" si="1"/>
        <v>10</v>
      </c>
      <c r="H196" t="s">
        <v>330</v>
      </c>
      <c r="I196" t="s">
        <v>75</v>
      </c>
      <c r="K196" t="s">
        <v>331</v>
      </c>
      <c r="L196" s="13"/>
      <c r="M196" s="13"/>
      <c r="O196" t="s">
        <v>692</v>
      </c>
    </row>
    <row r="197" spans="1:26" ht="15" customHeight="1" x14ac:dyDescent="0.3">
      <c r="A197">
        <v>7</v>
      </c>
      <c r="B197" t="s">
        <v>311</v>
      </c>
      <c r="C197">
        <v>3</v>
      </c>
      <c r="D197" t="s">
        <v>332</v>
      </c>
      <c r="G197">
        <f t="shared" si="1"/>
        <v>11</v>
      </c>
      <c r="H197" t="s">
        <v>332</v>
      </c>
      <c r="I197" t="s">
        <v>75</v>
      </c>
      <c r="K197" t="s">
        <v>333</v>
      </c>
      <c r="L197" s="13"/>
      <c r="M197" s="13"/>
    </row>
    <row r="198" spans="1:26" ht="15" customHeight="1" x14ac:dyDescent="0.3">
      <c r="A198">
        <v>7</v>
      </c>
      <c r="B198" t="s">
        <v>311</v>
      </c>
      <c r="C198">
        <v>3</v>
      </c>
      <c r="G198">
        <f t="shared" si="1"/>
        <v>12</v>
      </c>
      <c r="H198" t="s">
        <v>334</v>
      </c>
      <c r="I198" t="s">
        <v>75</v>
      </c>
      <c r="K198" t="s">
        <v>335</v>
      </c>
      <c r="L198" s="13"/>
      <c r="M198" s="13"/>
      <c r="O198" t="s">
        <v>693</v>
      </c>
    </row>
    <row r="199" spans="1:26" ht="15" customHeight="1" x14ac:dyDescent="0.3">
      <c r="A199">
        <v>7</v>
      </c>
      <c r="B199" t="s">
        <v>311</v>
      </c>
      <c r="C199">
        <v>3</v>
      </c>
      <c r="G199">
        <f t="shared" si="1"/>
        <v>13</v>
      </c>
      <c r="H199" t="s">
        <v>336</v>
      </c>
      <c r="I199" t="s">
        <v>75</v>
      </c>
      <c r="K199" t="s">
        <v>337</v>
      </c>
      <c r="L199" s="13"/>
      <c r="M199" s="13"/>
      <c r="O199" t="s">
        <v>694</v>
      </c>
    </row>
    <row r="200" spans="1:26" ht="15" customHeight="1" x14ac:dyDescent="0.3">
      <c r="A200">
        <v>7</v>
      </c>
      <c r="B200" t="s">
        <v>311</v>
      </c>
      <c r="C200">
        <v>4</v>
      </c>
      <c r="D200" t="s">
        <v>720</v>
      </c>
      <c r="G200">
        <f t="shared" si="1"/>
        <v>14</v>
      </c>
      <c r="H200" t="s">
        <v>110</v>
      </c>
      <c r="I200" t="s">
        <v>75</v>
      </c>
      <c r="K200" t="s">
        <v>338</v>
      </c>
      <c r="L200" s="13"/>
      <c r="M200" s="13"/>
    </row>
    <row r="201" spans="1:26" ht="15" customHeight="1" x14ac:dyDescent="0.3">
      <c r="A201">
        <v>7</v>
      </c>
      <c r="B201" t="s">
        <v>311</v>
      </c>
      <c r="C201">
        <v>4</v>
      </c>
      <c r="G201">
        <f t="shared" si="1"/>
        <v>15</v>
      </c>
      <c r="H201" t="s">
        <v>112</v>
      </c>
      <c r="I201" t="s">
        <v>75</v>
      </c>
      <c r="K201" t="s">
        <v>339</v>
      </c>
      <c r="L201" s="13"/>
      <c r="M201" s="13"/>
    </row>
    <row r="202" spans="1:26" ht="15" customHeight="1" x14ac:dyDescent="0.3">
      <c r="A202">
        <v>7</v>
      </c>
      <c r="B202" t="s">
        <v>311</v>
      </c>
      <c r="C202">
        <v>4</v>
      </c>
      <c r="G202">
        <f t="shared" si="1"/>
        <v>16</v>
      </c>
      <c r="H202" t="s">
        <v>114</v>
      </c>
      <c r="I202" t="s">
        <v>75</v>
      </c>
      <c r="K202" t="s">
        <v>340</v>
      </c>
      <c r="L202" s="13"/>
      <c r="M202" s="13"/>
    </row>
    <row r="203" spans="1:26" ht="15" customHeight="1" x14ac:dyDescent="0.3">
      <c r="A203">
        <v>7</v>
      </c>
      <c r="B203" t="s">
        <v>311</v>
      </c>
      <c r="C203">
        <v>4</v>
      </c>
      <c r="G203">
        <f t="shared" si="1"/>
        <v>17</v>
      </c>
      <c r="H203" t="s">
        <v>116</v>
      </c>
      <c r="I203" t="s">
        <v>75</v>
      </c>
      <c r="K203" t="s">
        <v>341</v>
      </c>
      <c r="L203" s="13"/>
      <c r="M203" s="13"/>
    </row>
    <row r="204" spans="1:26" ht="15" customHeight="1" x14ac:dyDescent="0.3">
      <c r="A204">
        <v>7</v>
      </c>
      <c r="B204" t="s">
        <v>311</v>
      </c>
      <c r="C204">
        <v>4</v>
      </c>
      <c r="G204">
        <f t="shared" si="1"/>
        <v>18</v>
      </c>
      <c r="H204" t="s">
        <v>157</v>
      </c>
      <c r="I204" t="s">
        <v>75</v>
      </c>
      <c r="K204" t="s">
        <v>342</v>
      </c>
      <c r="L204" s="13"/>
      <c r="M204" s="13"/>
    </row>
    <row r="205" spans="1:26" ht="15" customHeight="1" x14ac:dyDescent="0.3">
      <c r="A205">
        <v>7</v>
      </c>
      <c r="B205" t="s">
        <v>311</v>
      </c>
      <c r="C205">
        <v>5</v>
      </c>
      <c r="D205" t="s">
        <v>723</v>
      </c>
      <c r="G205">
        <f t="shared" si="1"/>
        <v>19</v>
      </c>
      <c r="H205" t="s">
        <v>723</v>
      </c>
      <c r="I205" t="s">
        <v>75</v>
      </c>
      <c r="K205" t="s">
        <v>343</v>
      </c>
      <c r="L205" s="13"/>
      <c r="M205" s="13"/>
    </row>
    <row r="206" spans="1:26" ht="15" customHeight="1" x14ac:dyDescent="0.3">
      <c r="A206">
        <v>8</v>
      </c>
      <c r="B206" t="s">
        <v>344</v>
      </c>
      <c r="C206">
        <v>1</v>
      </c>
      <c r="D206" t="s">
        <v>345</v>
      </c>
      <c r="G206">
        <v>1</v>
      </c>
      <c r="H206" t="s">
        <v>345</v>
      </c>
      <c r="I206" t="s">
        <v>75</v>
      </c>
      <c r="K206" t="s">
        <v>346</v>
      </c>
      <c r="L206" s="13"/>
      <c r="M206" s="13"/>
      <c r="O206" s="2" t="s">
        <v>695</v>
      </c>
      <c r="Q206" s="13" t="s">
        <v>413</v>
      </c>
      <c r="R206">
        <v>4</v>
      </c>
      <c r="S206" s="13" t="s">
        <v>414</v>
      </c>
      <c r="T206" s="13"/>
      <c r="U206" s="13" t="s">
        <v>415</v>
      </c>
      <c r="V206" t="s">
        <v>73</v>
      </c>
      <c r="W206" s="13" t="s">
        <v>416</v>
      </c>
      <c r="X206" t="s">
        <v>73</v>
      </c>
      <c r="Y206" s="13" t="s">
        <v>417</v>
      </c>
      <c r="Z206" t="s">
        <v>4</v>
      </c>
    </row>
    <row r="207" spans="1:26" ht="15" customHeight="1" x14ac:dyDescent="0.3">
      <c r="A207">
        <v>8</v>
      </c>
      <c r="B207" t="s">
        <v>344</v>
      </c>
      <c r="C207">
        <v>1</v>
      </c>
      <c r="G207">
        <f t="shared" si="1"/>
        <v>2</v>
      </c>
      <c r="H207" t="s">
        <v>347</v>
      </c>
      <c r="I207" t="s">
        <v>75</v>
      </c>
      <c r="K207" t="s">
        <v>348</v>
      </c>
      <c r="L207" s="13"/>
      <c r="M207" s="13"/>
      <c r="O207" t="s">
        <v>696</v>
      </c>
      <c r="Q207" s="13" t="s">
        <v>418</v>
      </c>
      <c r="R207">
        <v>1</v>
      </c>
      <c r="S207" s="13" t="s">
        <v>419</v>
      </c>
      <c r="T207" s="13"/>
      <c r="U207" s="13" t="s">
        <v>420</v>
      </c>
      <c r="V207" t="s">
        <v>73</v>
      </c>
      <c r="W207" s="13" t="s">
        <v>421</v>
      </c>
      <c r="X207" t="s">
        <v>73</v>
      </c>
      <c r="Y207" s="13" t="s">
        <v>422</v>
      </c>
      <c r="Z207" t="s">
        <v>73</v>
      </c>
    </row>
    <row r="208" spans="1:26" ht="15" customHeight="1" x14ac:dyDescent="0.3">
      <c r="A208">
        <v>8</v>
      </c>
      <c r="B208" t="s">
        <v>344</v>
      </c>
      <c r="C208">
        <v>1</v>
      </c>
      <c r="G208">
        <f t="shared" si="1"/>
        <v>3</v>
      </c>
      <c r="H208" t="s">
        <v>349</v>
      </c>
      <c r="I208" t="s">
        <v>75</v>
      </c>
      <c r="K208" t="s">
        <v>350</v>
      </c>
      <c r="L208" s="13"/>
      <c r="M208" s="13"/>
      <c r="O208" t="s">
        <v>697</v>
      </c>
    </row>
    <row r="209" spans="1:15" ht="15" customHeight="1" x14ac:dyDescent="0.3">
      <c r="A209">
        <v>8</v>
      </c>
      <c r="B209" t="s">
        <v>344</v>
      </c>
      <c r="C209">
        <v>1</v>
      </c>
      <c r="G209">
        <f t="shared" si="1"/>
        <v>4</v>
      </c>
      <c r="H209" t="s">
        <v>351</v>
      </c>
      <c r="I209" t="s">
        <v>75</v>
      </c>
      <c r="K209" t="s">
        <v>352</v>
      </c>
      <c r="L209" s="13"/>
      <c r="M209" s="13"/>
      <c r="O209" t="s">
        <v>698</v>
      </c>
    </row>
    <row r="210" spans="1:15" ht="15" customHeight="1" x14ac:dyDescent="0.3">
      <c r="A210">
        <v>8</v>
      </c>
      <c r="B210" t="s">
        <v>344</v>
      </c>
      <c r="C210">
        <v>1</v>
      </c>
      <c r="G210">
        <f t="shared" si="1"/>
        <v>5</v>
      </c>
      <c r="H210" t="s">
        <v>353</v>
      </c>
      <c r="I210" t="s">
        <v>75</v>
      </c>
      <c r="K210" t="s">
        <v>354</v>
      </c>
      <c r="L210" s="13"/>
      <c r="M210" s="13"/>
      <c r="O210" t="s">
        <v>699</v>
      </c>
    </row>
    <row r="211" spans="1:15" ht="15" customHeight="1" x14ac:dyDescent="0.3">
      <c r="A211">
        <v>8</v>
      </c>
      <c r="B211" t="s">
        <v>344</v>
      </c>
      <c r="C211">
        <v>1</v>
      </c>
      <c r="G211">
        <f t="shared" si="1"/>
        <v>6</v>
      </c>
      <c r="H211" t="s">
        <v>355</v>
      </c>
      <c r="I211" t="s">
        <v>75</v>
      </c>
      <c r="K211" t="s">
        <v>356</v>
      </c>
      <c r="L211" s="13"/>
      <c r="M211" s="13"/>
      <c r="O211" t="s">
        <v>700</v>
      </c>
    </row>
    <row r="212" spans="1:15" ht="15" customHeight="1" x14ac:dyDescent="0.3">
      <c r="A212">
        <v>8</v>
      </c>
      <c r="B212" t="s">
        <v>344</v>
      </c>
      <c r="C212">
        <v>1</v>
      </c>
      <c r="G212">
        <f t="shared" si="1"/>
        <v>7</v>
      </c>
      <c r="H212" t="s">
        <v>357</v>
      </c>
      <c r="I212" t="s">
        <v>75</v>
      </c>
      <c r="K212" t="s">
        <v>358</v>
      </c>
      <c r="L212" s="13"/>
      <c r="M212" s="13"/>
      <c r="O212" t="s">
        <v>701</v>
      </c>
    </row>
    <row r="213" spans="1:15" ht="15" customHeight="1" x14ac:dyDescent="0.3">
      <c r="A213">
        <v>8</v>
      </c>
      <c r="B213" t="s">
        <v>344</v>
      </c>
      <c r="C213">
        <v>2</v>
      </c>
      <c r="D213" t="s">
        <v>722</v>
      </c>
      <c r="G213">
        <f t="shared" si="1"/>
        <v>8</v>
      </c>
      <c r="H213" t="s">
        <v>344</v>
      </c>
      <c r="I213" t="s">
        <v>75</v>
      </c>
      <c r="K213" t="s">
        <v>359</v>
      </c>
      <c r="L213" s="13"/>
      <c r="M213" s="13"/>
    </row>
    <row r="214" spans="1:15" ht="15" customHeight="1" x14ac:dyDescent="0.3">
      <c r="A214">
        <v>8</v>
      </c>
      <c r="B214" t="s">
        <v>344</v>
      </c>
      <c r="C214">
        <v>2</v>
      </c>
      <c r="G214">
        <f t="shared" si="1"/>
        <v>9</v>
      </c>
      <c r="H214" t="s">
        <v>360</v>
      </c>
      <c r="I214" t="s">
        <v>75</v>
      </c>
      <c r="K214" t="s">
        <v>361</v>
      </c>
      <c r="L214" s="13"/>
      <c r="M214" s="13"/>
      <c r="O214" t="s">
        <v>702</v>
      </c>
    </row>
    <row r="215" spans="1:15" ht="15" customHeight="1" x14ac:dyDescent="0.3">
      <c r="A215">
        <v>8</v>
      </c>
      <c r="B215" t="s">
        <v>344</v>
      </c>
      <c r="C215">
        <v>2</v>
      </c>
      <c r="G215">
        <f t="shared" si="1"/>
        <v>10</v>
      </c>
      <c r="H215" t="s">
        <v>362</v>
      </c>
      <c r="I215" t="s">
        <v>75</v>
      </c>
      <c r="K215" t="s">
        <v>363</v>
      </c>
      <c r="L215" s="13"/>
      <c r="M215" s="13"/>
      <c r="O215" t="s">
        <v>703</v>
      </c>
    </row>
    <row r="216" spans="1:15" ht="15" customHeight="1" x14ac:dyDescent="0.3">
      <c r="A216">
        <v>8</v>
      </c>
      <c r="B216" t="s">
        <v>344</v>
      </c>
      <c r="C216">
        <v>2</v>
      </c>
      <c r="G216">
        <f t="shared" si="1"/>
        <v>11</v>
      </c>
      <c r="H216" t="s">
        <v>364</v>
      </c>
      <c r="I216" t="s">
        <v>75</v>
      </c>
      <c r="K216" t="s">
        <v>365</v>
      </c>
      <c r="L216" s="13"/>
      <c r="M216" s="13"/>
      <c r="O216" t="s">
        <v>704</v>
      </c>
    </row>
    <row r="217" spans="1:15" ht="15" customHeight="1" x14ac:dyDescent="0.3">
      <c r="A217">
        <v>8</v>
      </c>
      <c r="B217" t="s">
        <v>344</v>
      </c>
      <c r="C217">
        <v>2</v>
      </c>
      <c r="G217">
        <f t="shared" si="1"/>
        <v>12</v>
      </c>
      <c r="H217" t="s">
        <v>366</v>
      </c>
      <c r="I217" t="s">
        <v>75</v>
      </c>
      <c r="K217" t="s">
        <v>367</v>
      </c>
      <c r="L217" s="13"/>
      <c r="M217" s="13"/>
      <c r="O217" t="s">
        <v>705</v>
      </c>
    </row>
    <row r="218" spans="1:15" ht="15" customHeight="1" x14ac:dyDescent="0.3">
      <c r="A218">
        <v>8</v>
      </c>
      <c r="B218" t="s">
        <v>344</v>
      </c>
      <c r="C218">
        <v>2</v>
      </c>
      <c r="G218">
        <f t="shared" si="1"/>
        <v>13</v>
      </c>
      <c r="H218" t="s">
        <v>368</v>
      </c>
      <c r="I218" t="s">
        <v>75</v>
      </c>
      <c r="K218" t="s">
        <v>369</v>
      </c>
      <c r="L218" s="13"/>
      <c r="M218" s="13"/>
      <c r="O218" t="s">
        <v>706</v>
      </c>
    </row>
    <row r="219" spans="1:15" ht="15" customHeight="1" x14ac:dyDescent="0.3">
      <c r="A219">
        <v>8</v>
      </c>
      <c r="B219" t="s">
        <v>344</v>
      </c>
      <c r="C219">
        <v>2</v>
      </c>
      <c r="G219">
        <f t="shared" si="1"/>
        <v>14</v>
      </c>
      <c r="H219" t="s">
        <v>370</v>
      </c>
      <c r="I219" t="s">
        <v>75</v>
      </c>
      <c r="K219" t="s">
        <v>371</v>
      </c>
      <c r="L219" s="13"/>
      <c r="M219" s="13"/>
      <c r="O219" t="s">
        <v>707</v>
      </c>
    </row>
    <row r="220" spans="1:15" ht="15" customHeight="1" x14ac:dyDescent="0.3">
      <c r="A220">
        <v>8</v>
      </c>
      <c r="B220" t="s">
        <v>344</v>
      </c>
      <c r="C220">
        <v>3</v>
      </c>
      <c r="D220" t="s">
        <v>720</v>
      </c>
      <c r="G220">
        <f t="shared" si="1"/>
        <v>15</v>
      </c>
      <c r="H220" t="s">
        <v>110</v>
      </c>
      <c r="I220" t="s">
        <v>75</v>
      </c>
      <c r="K220" t="s">
        <v>372</v>
      </c>
      <c r="L220" s="13"/>
      <c r="M220" s="13"/>
    </row>
    <row r="221" spans="1:15" ht="15" customHeight="1" x14ac:dyDescent="0.3">
      <c r="A221">
        <v>8</v>
      </c>
      <c r="B221" t="s">
        <v>344</v>
      </c>
      <c r="C221">
        <v>3</v>
      </c>
      <c r="G221">
        <f t="shared" si="1"/>
        <v>16</v>
      </c>
      <c r="H221" t="s">
        <v>112</v>
      </c>
      <c r="I221" t="s">
        <v>75</v>
      </c>
      <c r="K221" t="s">
        <v>373</v>
      </c>
      <c r="L221" s="13"/>
      <c r="M221" s="13"/>
    </row>
    <row r="222" spans="1:15" ht="15" customHeight="1" x14ac:dyDescent="0.3">
      <c r="A222">
        <v>8</v>
      </c>
      <c r="B222" t="s">
        <v>344</v>
      </c>
      <c r="C222">
        <v>3</v>
      </c>
      <c r="G222">
        <f t="shared" si="1"/>
        <v>17</v>
      </c>
      <c r="H222" t="s">
        <v>114</v>
      </c>
      <c r="I222" t="s">
        <v>75</v>
      </c>
      <c r="K222" t="s">
        <v>374</v>
      </c>
      <c r="L222" s="13"/>
      <c r="M222" s="13"/>
    </row>
    <row r="223" spans="1:15" ht="15" customHeight="1" x14ac:dyDescent="0.3">
      <c r="A223">
        <v>8</v>
      </c>
      <c r="B223" t="s">
        <v>344</v>
      </c>
      <c r="C223">
        <v>4</v>
      </c>
      <c r="D223" t="s">
        <v>723</v>
      </c>
      <c r="G223">
        <f t="shared" si="1"/>
        <v>18</v>
      </c>
      <c r="H223" t="s">
        <v>723</v>
      </c>
      <c r="I223" t="s">
        <v>75</v>
      </c>
      <c r="K223" t="s">
        <v>375</v>
      </c>
      <c r="L223" s="13"/>
      <c r="M223" s="13"/>
    </row>
  </sheetData>
  <phoneticPr fontId="1" type="noConversion"/>
  <hyperlinks>
    <hyperlink ref="O22" r:id="rId1" display="file://///oa/excel2010/UNIDADES%20EN%20PDF/1_17%20Expresiones%20encadenadas.pdf" xr:uid="{00000000-0004-0000-0000-000000000000}"/>
    <hyperlink ref="O46" r:id="rId2" display="file://///oa/excel2010/UNIDADES%20EN%20PDF/2_11%20Referencias.pdf" xr:uid="{00000000-0004-0000-0000-000001000000}"/>
    <hyperlink ref="O48" r:id="rId3" display="file://///oa/excel2010/UNIDADES%20EN%20PDF/2_13%20Referencias%20absolutas.pdf" xr:uid="{00000000-0004-0000-0000-000002000000}"/>
    <hyperlink ref="O49" r:id="rId4" display="file://///oa/excel2010/UNIDADES%20EN%20PDF/2_14%20Referencias%20mixtas.pdf" xr:uid="{00000000-0004-0000-0000-000003000000}"/>
    <hyperlink ref="O67" r:id="rId5" display="file://///oa/excel2010/UNIDADES%20EN%20PDF/3_1%20Formatos%20para%20los%20datos.pdf" xr:uid="{00000000-0004-0000-0000-000004000000}"/>
    <hyperlink ref="O6" r:id="rId6" xr:uid="{00000000-0004-0000-0000-000005000000}"/>
    <hyperlink ref="O8" r:id="rId7" display="file://///oa/excel2010/UNIDADES%20EN%20PDF/1_3%20Iniciar%20y%20guardar%20un%20sesi%C3%B3n%20de%20trabajo.pdf" xr:uid="{00000000-0004-0000-0000-000006000000}"/>
    <hyperlink ref="O47" r:id="rId8" xr:uid="{00000000-0004-0000-0000-000007000000}"/>
    <hyperlink ref="O110" r:id="rId9" xr:uid="{00000000-0004-0000-0000-000008000000}"/>
    <hyperlink ref="O107" r:id="rId10" xr:uid="{00000000-0004-0000-0000-000009000000}"/>
    <hyperlink ref="O142" r:id="rId11" xr:uid="{00000000-0004-0000-0000-00000A000000}"/>
    <hyperlink ref="O134" r:id="rId12" xr:uid="{00000000-0004-0000-0000-00000B000000}"/>
  </hyperlinks>
  <pageMargins left="0.70866141732283472" right="0.70866141732283472" top="0.74803149606299213" bottom="0.74803149606299213" header="0.31496062992125984" footer="0.31496062992125984"/>
  <pageSetup paperSize="9" scale="10" orientation="portrait"/>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P86"/>
  <sheetViews>
    <sheetView workbookViewId="0">
      <selection activeCell="B8" sqref="B8:E36"/>
    </sheetView>
  </sheetViews>
  <sheetFormatPr baseColWidth="10" defaultColWidth="11.44140625" defaultRowHeight="14.4" x14ac:dyDescent="0.3"/>
  <cols>
    <col min="4" max="4" width="45" customWidth="1"/>
    <col min="5" max="5" width="149.44140625" customWidth="1"/>
    <col min="6" max="6" width="11.77734375" bestFit="1" customWidth="1"/>
    <col min="7" max="7" width="12" bestFit="1" customWidth="1"/>
    <col min="12" max="12" width="16.44140625" bestFit="1" customWidth="1"/>
  </cols>
  <sheetData>
    <row r="1" spans="1:16" x14ac:dyDescent="0.3">
      <c r="A1" t="s">
        <v>25</v>
      </c>
      <c r="B1" t="s">
        <v>726</v>
      </c>
      <c r="C1" t="s">
        <v>727</v>
      </c>
      <c r="D1" t="s">
        <v>728</v>
      </c>
      <c r="E1" t="s">
        <v>26</v>
      </c>
      <c r="F1" t="s">
        <v>27</v>
      </c>
      <c r="G1" t="s">
        <v>28</v>
      </c>
      <c r="H1" t="s">
        <v>29</v>
      </c>
      <c r="I1" t="s">
        <v>30</v>
      </c>
      <c r="J1" t="s">
        <v>31</v>
      </c>
      <c r="K1" t="s">
        <v>32</v>
      </c>
      <c r="L1" t="s">
        <v>33</v>
      </c>
      <c r="M1" t="s">
        <v>34</v>
      </c>
      <c r="N1" t="s">
        <v>35</v>
      </c>
      <c r="O1" t="s">
        <v>20</v>
      </c>
      <c r="P1" t="s">
        <v>825</v>
      </c>
    </row>
    <row r="2" spans="1:16" ht="15" customHeight="1" x14ac:dyDescent="0.3">
      <c r="A2" t="s">
        <v>71</v>
      </c>
      <c r="B2">
        <v>1</v>
      </c>
      <c r="C2" t="s">
        <v>826</v>
      </c>
      <c r="D2" s="18" t="s">
        <v>827</v>
      </c>
      <c r="E2" s="13" t="s">
        <v>828</v>
      </c>
      <c r="F2" s="13" t="s">
        <v>829</v>
      </c>
      <c r="G2" s="13" t="s">
        <v>830</v>
      </c>
      <c r="H2" s="13" t="s">
        <v>831</v>
      </c>
      <c r="I2" s="13" t="s">
        <v>832</v>
      </c>
      <c r="J2">
        <v>3</v>
      </c>
      <c r="P2" t="s">
        <v>833</v>
      </c>
    </row>
    <row r="3" spans="1:16" x14ac:dyDescent="0.3">
      <c r="A3" t="s">
        <v>71</v>
      </c>
      <c r="B3">
        <v>1</v>
      </c>
      <c r="E3" s="13" t="s">
        <v>834</v>
      </c>
      <c r="F3" s="13" t="s">
        <v>835</v>
      </c>
      <c r="G3" s="13" t="s">
        <v>836</v>
      </c>
      <c r="H3" s="13" t="s">
        <v>837</v>
      </c>
      <c r="I3" s="13" t="s">
        <v>838</v>
      </c>
      <c r="J3">
        <v>3</v>
      </c>
      <c r="P3" t="s">
        <v>839</v>
      </c>
    </row>
    <row r="4" spans="1:16" ht="15" customHeight="1" x14ac:dyDescent="0.3">
      <c r="A4" t="s">
        <v>71</v>
      </c>
      <c r="B4">
        <v>2</v>
      </c>
      <c r="C4" t="s">
        <v>729</v>
      </c>
      <c r="D4" s="18" t="s">
        <v>840</v>
      </c>
      <c r="E4" s="13" t="s">
        <v>841</v>
      </c>
      <c r="F4" s="14" t="s">
        <v>842</v>
      </c>
      <c r="G4" s="14" t="s">
        <v>843</v>
      </c>
      <c r="H4" s="13" t="s">
        <v>844</v>
      </c>
      <c r="I4" s="14" t="s">
        <v>845</v>
      </c>
      <c r="J4">
        <v>2</v>
      </c>
      <c r="P4" t="s">
        <v>846</v>
      </c>
    </row>
    <row r="5" spans="1:16" x14ac:dyDescent="0.3">
      <c r="A5" t="s">
        <v>71</v>
      </c>
      <c r="B5">
        <v>2</v>
      </c>
      <c r="E5" s="13" t="s">
        <v>847</v>
      </c>
      <c r="F5" s="13" t="s">
        <v>848</v>
      </c>
      <c r="G5" s="13" t="s">
        <v>849</v>
      </c>
      <c r="H5" s="13">
        <f>B8/25</f>
        <v>0.12</v>
      </c>
      <c r="I5" s="14" t="s">
        <v>850</v>
      </c>
      <c r="J5">
        <v>4</v>
      </c>
      <c r="P5" t="s">
        <v>851</v>
      </c>
    </row>
    <row r="6" spans="1:16" x14ac:dyDescent="0.3">
      <c r="A6" t="s">
        <v>71</v>
      </c>
      <c r="B6">
        <v>2</v>
      </c>
      <c r="E6" s="13" t="s">
        <v>852</v>
      </c>
      <c r="F6" s="14" t="s">
        <v>853</v>
      </c>
      <c r="G6" s="14" t="s">
        <v>854</v>
      </c>
      <c r="H6" s="14" t="s">
        <v>855</v>
      </c>
      <c r="I6" s="14" t="s">
        <v>856</v>
      </c>
      <c r="J6">
        <v>2</v>
      </c>
      <c r="P6" t="s">
        <v>857</v>
      </c>
    </row>
    <row r="7" spans="1:16" ht="15" customHeight="1" x14ac:dyDescent="0.3">
      <c r="A7" t="s">
        <v>71</v>
      </c>
      <c r="B7">
        <v>3</v>
      </c>
      <c r="C7" t="s">
        <v>730</v>
      </c>
      <c r="D7" s="18" t="s">
        <v>858</v>
      </c>
      <c r="E7" s="13" t="s">
        <v>859</v>
      </c>
      <c r="F7" s="13" t="s">
        <v>860</v>
      </c>
      <c r="G7" s="13" t="s">
        <v>861</v>
      </c>
      <c r="H7" s="13" t="s">
        <v>862</v>
      </c>
      <c r="I7" s="13" t="s">
        <v>863</v>
      </c>
      <c r="J7">
        <v>3</v>
      </c>
      <c r="P7" t="s">
        <v>864</v>
      </c>
    </row>
    <row r="8" spans="1:16" x14ac:dyDescent="0.3">
      <c r="A8" t="s">
        <v>71</v>
      </c>
      <c r="B8">
        <v>3</v>
      </c>
      <c r="E8" s="13" t="s">
        <v>865</v>
      </c>
      <c r="F8" s="26" t="s">
        <v>866</v>
      </c>
      <c r="G8" s="26" t="s">
        <v>867</v>
      </c>
      <c r="H8" s="26" t="s">
        <v>868</v>
      </c>
      <c r="I8" s="26" t="s">
        <v>869</v>
      </c>
      <c r="J8">
        <v>1</v>
      </c>
      <c r="P8" t="s">
        <v>870</v>
      </c>
    </row>
    <row r="9" spans="1:16" x14ac:dyDescent="0.3">
      <c r="A9" t="s">
        <v>71</v>
      </c>
      <c r="B9">
        <v>3</v>
      </c>
      <c r="E9" s="13" t="s">
        <v>888</v>
      </c>
      <c r="F9" s="13" t="s">
        <v>871</v>
      </c>
      <c r="G9" s="13" t="s">
        <v>872</v>
      </c>
      <c r="H9" s="13" t="s">
        <v>873</v>
      </c>
      <c r="I9" s="13" t="s">
        <v>874</v>
      </c>
      <c r="J9">
        <v>3</v>
      </c>
      <c r="P9" t="s">
        <v>875</v>
      </c>
    </row>
    <row r="10" spans="1:16" x14ac:dyDescent="0.3">
      <c r="A10" t="s">
        <v>71</v>
      </c>
      <c r="B10">
        <v>3</v>
      </c>
      <c r="E10" s="13" t="s">
        <v>876</v>
      </c>
      <c r="F10" s="13" t="s">
        <v>877</v>
      </c>
      <c r="G10" s="13" t="s">
        <v>878</v>
      </c>
      <c r="H10" s="13" t="s">
        <v>879</v>
      </c>
      <c r="I10" s="13" t="s">
        <v>880</v>
      </c>
      <c r="J10">
        <v>1</v>
      </c>
      <c r="P10" t="s">
        <v>881</v>
      </c>
    </row>
    <row r="11" spans="1:16" x14ac:dyDescent="0.3">
      <c r="A11" t="s">
        <v>71</v>
      </c>
      <c r="B11">
        <v>3</v>
      </c>
      <c r="E11" s="13" t="s">
        <v>882</v>
      </c>
      <c r="F11" s="13" t="s">
        <v>883</v>
      </c>
      <c r="G11" s="13" t="s">
        <v>884</v>
      </c>
      <c r="H11" s="13" t="s">
        <v>885</v>
      </c>
      <c r="I11" s="13" t="s">
        <v>886</v>
      </c>
      <c r="J11">
        <v>4</v>
      </c>
      <c r="P11" t="s">
        <v>887</v>
      </c>
    </row>
    <row r="12" spans="1:16" x14ac:dyDescent="0.3">
      <c r="A12" t="s">
        <v>13</v>
      </c>
      <c r="B12">
        <v>1</v>
      </c>
      <c r="C12" t="s">
        <v>826</v>
      </c>
      <c r="D12" t="s">
        <v>921</v>
      </c>
      <c r="E12" s="13" t="s">
        <v>922</v>
      </c>
      <c r="F12" s="14" t="s">
        <v>923</v>
      </c>
      <c r="G12" s="14" t="s">
        <v>924</v>
      </c>
      <c r="H12" s="14" t="s">
        <v>925</v>
      </c>
      <c r="I12" s="14" t="s">
        <v>927</v>
      </c>
      <c r="J12">
        <v>1</v>
      </c>
      <c r="N12" s="2"/>
      <c r="P12" t="s">
        <v>926</v>
      </c>
    </row>
    <row r="13" spans="1:16" x14ac:dyDescent="0.3">
      <c r="A13" t="s">
        <v>13</v>
      </c>
      <c r="B13">
        <v>1</v>
      </c>
      <c r="E13" s="13" t="s">
        <v>928</v>
      </c>
      <c r="F13" s="14" t="s">
        <v>929</v>
      </c>
      <c r="G13" s="14" t="s">
        <v>930</v>
      </c>
      <c r="H13" s="14" t="s">
        <v>931</v>
      </c>
      <c r="I13" s="14" t="s">
        <v>932</v>
      </c>
      <c r="J13">
        <v>1</v>
      </c>
      <c r="P13" t="s">
        <v>933</v>
      </c>
    </row>
    <row r="14" spans="1:16" x14ac:dyDescent="0.3">
      <c r="A14" t="s">
        <v>13</v>
      </c>
      <c r="B14">
        <v>1</v>
      </c>
      <c r="E14" s="13" t="s">
        <v>934</v>
      </c>
      <c r="F14" s="14" t="s">
        <v>935</v>
      </c>
      <c r="G14" s="14" t="s">
        <v>936</v>
      </c>
      <c r="H14" s="14" t="s">
        <v>937</v>
      </c>
      <c r="I14" s="14" t="s">
        <v>939</v>
      </c>
      <c r="J14">
        <v>4</v>
      </c>
      <c r="P14" t="s">
        <v>938</v>
      </c>
    </row>
    <row r="15" spans="1:16" x14ac:dyDescent="0.3">
      <c r="A15" t="s">
        <v>13</v>
      </c>
      <c r="B15">
        <v>1</v>
      </c>
      <c r="E15" s="13" t="s">
        <v>940</v>
      </c>
      <c r="F15" s="14" t="s">
        <v>941</v>
      </c>
      <c r="G15" s="14" t="s">
        <v>942</v>
      </c>
      <c r="H15" s="14" t="s">
        <v>943</v>
      </c>
      <c r="I15" s="14" t="s">
        <v>944</v>
      </c>
      <c r="J15">
        <v>4</v>
      </c>
      <c r="N15" s="2"/>
      <c r="P15" t="s">
        <v>945</v>
      </c>
    </row>
    <row r="16" spans="1:16" x14ac:dyDescent="0.3">
      <c r="A16" t="s">
        <v>13</v>
      </c>
      <c r="B16">
        <v>2</v>
      </c>
      <c r="C16" t="s">
        <v>729</v>
      </c>
      <c r="D16" t="s">
        <v>946</v>
      </c>
      <c r="E16" s="13" t="s">
        <v>947</v>
      </c>
      <c r="F16" s="16" t="s">
        <v>948</v>
      </c>
      <c r="G16" s="14" t="s">
        <v>949</v>
      </c>
      <c r="H16" s="14" t="s">
        <v>950</v>
      </c>
      <c r="I16" s="14" t="s">
        <v>951</v>
      </c>
      <c r="J16">
        <v>3</v>
      </c>
      <c r="P16" t="s">
        <v>952</v>
      </c>
    </row>
    <row r="17" spans="1:16" x14ac:dyDescent="0.3">
      <c r="A17" t="s">
        <v>13</v>
      </c>
      <c r="B17">
        <v>2</v>
      </c>
      <c r="E17" s="13" t="s">
        <v>953</v>
      </c>
      <c r="F17" s="14" t="s">
        <v>954</v>
      </c>
      <c r="G17" s="14" t="s">
        <v>955</v>
      </c>
      <c r="H17" s="14" t="s">
        <v>956</v>
      </c>
      <c r="I17" s="14" t="s">
        <v>957</v>
      </c>
      <c r="J17">
        <v>3</v>
      </c>
      <c r="P17" t="s">
        <v>958</v>
      </c>
    </row>
    <row r="18" spans="1:16" x14ac:dyDescent="0.3">
      <c r="A18" t="s">
        <v>13</v>
      </c>
      <c r="B18">
        <v>2</v>
      </c>
      <c r="E18" s="13" t="s">
        <v>959</v>
      </c>
      <c r="F18" s="14" t="s">
        <v>960</v>
      </c>
      <c r="G18" s="14" t="s">
        <v>961</v>
      </c>
      <c r="H18" s="14" t="s">
        <v>962</v>
      </c>
      <c r="I18" s="14" t="s">
        <v>963</v>
      </c>
      <c r="J18">
        <v>4</v>
      </c>
      <c r="P18" t="s">
        <v>964</v>
      </c>
    </row>
    <row r="19" spans="1:16" x14ac:dyDescent="0.3">
      <c r="A19" t="s">
        <v>13</v>
      </c>
      <c r="B19">
        <v>3</v>
      </c>
      <c r="C19" t="s">
        <v>730</v>
      </c>
      <c r="D19" t="s">
        <v>965</v>
      </c>
      <c r="E19" s="14" t="s">
        <v>966</v>
      </c>
      <c r="F19" s="14" t="s">
        <v>967</v>
      </c>
      <c r="G19" s="14" t="s">
        <v>968</v>
      </c>
      <c r="H19" s="14" t="s">
        <v>969</v>
      </c>
      <c r="I19" s="14" t="s">
        <v>970</v>
      </c>
      <c r="J19">
        <v>1</v>
      </c>
      <c r="P19" t="s">
        <v>971</v>
      </c>
    </row>
    <row r="20" spans="1:16" x14ac:dyDescent="0.3">
      <c r="A20" t="s">
        <v>13</v>
      </c>
      <c r="B20">
        <v>3</v>
      </c>
      <c r="E20" s="13" t="s">
        <v>972</v>
      </c>
      <c r="F20" s="14" t="s">
        <v>973</v>
      </c>
      <c r="G20" s="14" t="s">
        <v>974</v>
      </c>
      <c r="H20" s="14" t="s">
        <v>975</v>
      </c>
      <c r="I20" s="14" t="s">
        <v>976</v>
      </c>
      <c r="J20">
        <v>2</v>
      </c>
      <c r="P20" t="s">
        <v>977</v>
      </c>
    </row>
    <row r="21" spans="1:16" x14ac:dyDescent="0.3">
      <c r="A21" t="s">
        <v>13</v>
      </c>
      <c r="B21">
        <v>3</v>
      </c>
      <c r="E21" s="13" t="s">
        <v>1080</v>
      </c>
      <c r="F21" s="13" t="s">
        <v>1081</v>
      </c>
      <c r="G21" s="13" t="s">
        <v>1082</v>
      </c>
      <c r="H21" s="13" t="s">
        <v>1083</v>
      </c>
      <c r="I21" s="13" t="s">
        <v>1084</v>
      </c>
      <c r="J21">
        <v>4</v>
      </c>
      <c r="P21" t="s">
        <v>1085</v>
      </c>
    </row>
    <row r="22" spans="1:16" x14ac:dyDescent="0.3">
      <c r="A22" t="s">
        <v>0</v>
      </c>
      <c r="B22">
        <v>1</v>
      </c>
      <c r="C22" t="s">
        <v>826</v>
      </c>
      <c r="D22" t="s">
        <v>1024</v>
      </c>
      <c r="E22" s="13" t="s">
        <v>1027</v>
      </c>
      <c r="F22" s="13" t="s">
        <v>1028</v>
      </c>
      <c r="G22" s="13" t="s">
        <v>1029</v>
      </c>
      <c r="H22" s="13" t="s">
        <v>1030</v>
      </c>
      <c r="I22" s="13" t="s">
        <v>1031</v>
      </c>
      <c r="J22">
        <v>3</v>
      </c>
      <c r="N22" s="2"/>
      <c r="P22" t="s">
        <v>1032</v>
      </c>
    </row>
    <row r="23" spans="1:16" x14ac:dyDescent="0.3">
      <c r="A23" t="s">
        <v>0</v>
      </c>
      <c r="B23">
        <v>1</v>
      </c>
      <c r="E23" s="13" t="s">
        <v>1033</v>
      </c>
      <c r="F23" s="13" t="s">
        <v>1034</v>
      </c>
      <c r="G23" s="13" t="s">
        <v>1097</v>
      </c>
      <c r="H23" s="13" t="s">
        <v>1035</v>
      </c>
      <c r="I23" s="13" t="s">
        <v>1036</v>
      </c>
      <c r="J23">
        <v>2</v>
      </c>
      <c r="P23" t="s">
        <v>1037</v>
      </c>
    </row>
    <row r="24" spans="1:16" x14ac:dyDescent="0.3">
      <c r="A24" t="s">
        <v>0</v>
      </c>
      <c r="B24">
        <v>1</v>
      </c>
      <c r="E24" s="13" t="s">
        <v>1038</v>
      </c>
      <c r="F24" s="13" t="s">
        <v>1039</v>
      </c>
      <c r="G24" s="13" t="s">
        <v>1040</v>
      </c>
      <c r="H24" s="13" t="s">
        <v>1041</v>
      </c>
      <c r="I24" s="13" t="s">
        <v>1042</v>
      </c>
      <c r="J24">
        <v>1</v>
      </c>
      <c r="N24" s="2"/>
      <c r="P24" t="s">
        <v>1043</v>
      </c>
    </row>
    <row r="25" spans="1:16" x14ac:dyDescent="0.3">
      <c r="A25" t="s">
        <v>0</v>
      </c>
      <c r="B25">
        <v>1</v>
      </c>
      <c r="E25" s="13" t="s">
        <v>1098</v>
      </c>
      <c r="F25" s="13" t="s">
        <v>439</v>
      </c>
      <c r="G25" s="13" t="s">
        <v>440</v>
      </c>
      <c r="H25" s="13" t="s">
        <v>1044</v>
      </c>
      <c r="I25" s="13" t="s">
        <v>441</v>
      </c>
      <c r="J25">
        <v>3</v>
      </c>
      <c r="P25" t="s">
        <v>1045</v>
      </c>
    </row>
    <row r="26" spans="1:16" x14ac:dyDescent="0.3">
      <c r="A26" t="s">
        <v>0</v>
      </c>
      <c r="B26">
        <v>2</v>
      </c>
      <c r="C26" t="s">
        <v>729</v>
      </c>
      <c r="D26" t="s">
        <v>1026</v>
      </c>
      <c r="E26" s="13" t="s">
        <v>1046</v>
      </c>
      <c r="F26" s="13" t="s">
        <v>1047</v>
      </c>
      <c r="G26" s="13" t="s">
        <v>1048</v>
      </c>
      <c r="H26" s="13" t="s">
        <v>1049</v>
      </c>
      <c r="I26" s="13" t="s">
        <v>1050</v>
      </c>
      <c r="J26">
        <v>1</v>
      </c>
      <c r="M26" s="7"/>
      <c r="N26" s="2"/>
      <c r="P26" t="s">
        <v>1051</v>
      </c>
    </row>
    <row r="27" spans="1:16" x14ac:dyDescent="0.3">
      <c r="A27" t="s">
        <v>0</v>
      </c>
      <c r="B27">
        <v>2</v>
      </c>
      <c r="E27" s="13" t="s">
        <v>1052</v>
      </c>
      <c r="F27" s="13" t="s">
        <v>1053</v>
      </c>
      <c r="G27" s="13" t="s">
        <v>1054</v>
      </c>
      <c r="H27" s="13" t="s">
        <v>1055</v>
      </c>
      <c r="I27" s="13" t="s">
        <v>1056</v>
      </c>
      <c r="J27">
        <v>4</v>
      </c>
      <c r="P27" t="s">
        <v>1057</v>
      </c>
    </row>
    <row r="28" spans="1:16" x14ac:dyDescent="0.3">
      <c r="A28" t="s">
        <v>0</v>
      </c>
      <c r="B28">
        <v>2</v>
      </c>
      <c r="E28" s="13" t="s">
        <v>1058</v>
      </c>
      <c r="F28" s="13" t="s">
        <v>1059</v>
      </c>
      <c r="G28" s="13" t="s">
        <v>446</v>
      </c>
      <c r="H28" s="13" t="s">
        <v>1060</v>
      </c>
      <c r="I28" s="13" t="s">
        <v>447</v>
      </c>
      <c r="J28">
        <v>4</v>
      </c>
      <c r="P28" t="s">
        <v>1061</v>
      </c>
    </row>
    <row r="29" spans="1:16" x14ac:dyDescent="0.3">
      <c r="A29" t="s">
        <v>0</v>
      </c>
      <c r="B29">
        <v>3</v>
      </c>
      <c r="C29" t="s">
        <v>730</v>
      </c>
      <c r="D29" t="s">
        <v>1025</v>
      </c>
      <c r="E29" s="13" t="s">
        <v>1062</v>
      </c>
      <c r="F29" s="13" t="s">
        <v>1063</v>
      </c>
      <c r="G29" s="13" t="s">
        <v>1064</v>
      </c>
      <c r="H29" s="13" t="s">
        <v>1065</v>
      </c>
      <c r="I29" s="13" t="s">
        <v>1066</v>
      </c>
      <c r="J29">
        <v>3</v>
      </c>
      <c r="N29" s="2"/>
      <c r="P29" t="s">
        <v>1067</v>
      </c>
    </row>
    <row r="30" spans="1:16" x14ac:dyDescent="0.3">
      <c r="A30" t="s">
        <v>0</v>
      </c>
      <c r="B30">
        <v>3</v>
      </c>
      <c r="E30" s="13" t="s">
        <v>1068</v>
      </c>
      <c r="F30" s="13" t="s">
        <v>1069</v>
      </c>
      <c r="G30" s="13" t="s">
        <v>1070</v>
      </c>
      <c r="H30" s="13" t="s">
        <v>1071</v>
      </c>
      <c r="I30" s="13" t="s">
        <v>1072</v>
      </c>
      <c r="J30">
        <v>3</v>
      </c>
      <c r="N30" s="2"/>
      <c r="P30" t="s">
        <v>1073</v>
      </c>
    </row>
    <row r="31" spans="1:16" x14ac:dyDescent="0.3">
      <c r="A31" t="s">
        <v>0</v>
      </c>
      <c r="B31">
        <v>3</v>
      </c>
      <c r="E31" s="13" t="s">
        <v>1074</v>
      </c>
      <c r="F31" s="13" t="s">
        <v>1075</v>
      </c>
      <c r="G31" s="13" t="s">
        <v>1076</v>
      </c>
      <c r="H31" s="13" t="s">
        <v>1077</v>
      </c>
      <c r="I31" s="13" t="s">
        <v>1078</v>
      </c>
      <c r="J31">
        <v>1</v>
      </c>
      <c r="P31" t="s">
        <v>1079</v>
      </c>
    </row>
    <row r="32" spans="1:16" x14ac:dyDescent="0.3">
      <c r="A32" t="s">
        <v>1</v>
      </c>
      <c r="B32">
        <v>1</v>
      </c>
      <c r="C32" t="s">
        <v>826</v>
      </c>
      <c r="D32" t="s">
        <v>1108</v>
      </c>
      <c r="E32" s="13" t="s">
        <v>1109</v>
      </c>
      <c r="F32" s="13" t="s">
        <v>1110</v>
      </c>
      <c r="G32" s="13" t="s">
        <v>1111</v>
      </c>
      <c r="H32" s="13" t="s">
        <v>1112</v>
      </c>
      <c r="I32" s="13" t="s">
        <v>1113</v>
      </c>
      <c r="J32">
        <v>1</v>
      </c>
    </row>
    <row r="33" spans="1:16" x14ac:dyDescent="0.3">
      <c r="A33" t="s">
        <v>1</v>
      </c>
      <c r="B33">
        <v>1</v>
      </c>
      <c r="E33" s="13" t="s">
        <v>1114</v>
      </c>
      <c r="F33" s="13" t="s">
        <v>1115</v>
      </c>
      <c r="G33" s="13" t="s">
        <v>1116</v>
      </c>
      <c r="H33" s="13" t="s">
        <v>1117</v>
      </c>
      <c r="I33" s="13" t="s">
        <v>1118</v>
      </c>
      <c r="J33">
        <v>3</v>
      </c>
      <c r="P33" t="s">
        <v>1119</v>
      </c>
    </row>
    <row r="34" spans="1:16" x14ac:dyDescent="0.3">
      <c r="A34" t="s">
        <v>1</v>
      </c>
      <c r="B34">
        <v>2</v>
      </c>
      <c r="C34" t="s">
        <v>729</v>
      </c>
      <c r="D34" t="s">
        <v>1147</v>
      </c>
      <c r="E34" s="13" t="s">
        <v>1142</v>
      </c>
      <c r="F34" s="13" t="s">
        <v>1120</v>
      </c>
      <c r="G34" s="13" t="s">
        <v>1149</v>
      </c>
      <c r="H34" s="13" t="s">
        <v>1150</v>
      </c>
      <c r="I34" s="13" t="s">
        <v>1151</v>
      </c>
      <c r="J34">
        <v>4</v>
      </c>
    </row>
    <row r="35" spans="1:16" x14ac:dyDescent="0.3">
      <c r="A35" t="s">
        <v>1</v>
      </c>
      <c r="B35">
        <v>2</v>
      </c>
      <c r="E35" s="13" t="s">
        <v>1121</v>
      </c>
      <c r="F35" s="13" t="s">
        <v>448</v>
      </c>
      <c r="G35" s="13" t="s">
        <v>449</v>
      </c>
      <c r="H35" s="13" t="s">
        <v>450</v>
      </c>
      <c r="I35" s="13" t="s">
        <v>451</v>
      </c>
      <c r="J35">
        <v>2</v>
      </c>
      <c r="P35" t="s">
        <v>1122</v>
      </c>
    </row>
    <row r="36" spans="1:16" x14ac:dyDescent="0.3">
      <c r="A36" t="s">
        <v>1</v>
      </c>
      <c r="B36">
        <v>2</v>
      </c>
      <c r="E36" s="13" t="s">
        <v>452</v>
      </c>
      <c r="F36" s="13" t="s">
        <v>453</v>
      </c>
      <c r="G36" s="13" t="s">
        <v>454</v>
      </c>
      <c r="H36" s="13" t="s">
        <v>455</v>
      </c>
      <c r="I36" s="13" t="s">
        <v>1123</v>
      </c>
      <c r="J36">
        <v>2</v>
      </c>
    </row>
    <row r="37" spans="1:16" x14ac:dyDescent="0.3">
      <c r="A37" t="s">
        <v>1</v>
      </c>
      <c r="B37">
        <v>2</v>
      </c>
      <c r="E37" s="13" t="s">
        <v>456</v>
      </c>
      <c r="F37" s="13" t="s">
        <v>1124</v>
      </c>
      <c r="G37" s="13" t="s">
        <v>1125</v>
      </c>
      <c r="H37" s="13" t="s">
        <v>457</v>
      </c>
      <c r="I37" s="13" t="s">
        <v>458</v>
      </c>
      <c r="J37">
        <v>3</v>
      </c>
    </row>
    <row r="38" spans="1:16" x14ac:dyDescent="0.3">
      <c r="A38" t="s">
        <v>1</v>
      </c>
      <c r="B38">
        <v>3</v>
      </c>
      <c r="C38" t="s">
        <v>730</v>
      </c>
      <c r="D38" t="s">
        <v>1126</v>
      </c>
      <c r="E38" s="13" t="s">
        <v>1127</v>
      </c>
      <c r="F38" s="13" t="s">
        <v>459</v>
      </c>
      <c r="G38" s="13" t="s">
        <v>460</v>
      </c>
      <c r="H38" s="13" t="s">
        <v>461</v>
      </c>
      <c r="I38" s="13" t="s">
        <v>462</v>
      </c>
      <c r="J38">
        <v>1</v>
      </c>
    </row>
    <row r="39" spans="1:16" x14ac:dyDescent="0.3">
      <c r="A39" t="s">
        <v>1</v>
      </c>
      <c r="B39">
        <v>3</v>
      </c>
      <c r="E39" s="13" t="s">
        <v>1128</v>
      </c>
      <c r="F39" s="13" t="s">
        <v>1129</v>
      </c>
      <c r="G39" s="13" t="s">
        <v>1130</v>
      </c>
      <c r="H39" s="13" t="s">
        <v>1131</v>
      </c>
      <c r="I39" s="13" t="s">
        <v>1132</v>
      </c>
      <c r="J39">
        <v>3</v>
      </c>
    </row>
    <row r="40" spans="1:16" x14ac:dyDescent="0.3">
      <c r="A40" t="s">
        <v>1</v>
      </c>
      <c r="B40">
        <v>3</v>
      </c>
      <c r="E40" s="13" t="s">
        <v>1133</v>
      </c>
      <c r="F40" s="13" t="s">
        <v>1134</v>
      </c>
      <c r="G40" s="13" t="s">
        <v>1135</v>
      </c>
      <c r="H40" s="13" t="s">
        <v>1136</v>
      </c>
      <c r="I40" s="13" t="s">
        <v>1137</v>
      </c>
      <c r="J40">
        <v>1</v>
      </c>
    </row>
    <row r="41" spans="1:16" x14ac:dyDescent="0.3">
      <c r="A41" t="s">
        <v>1</v>
      </c>
      <c r="B41">
        <v>3</v>
      </c>
      <c r="E41" s="13" t="s">
        <v>1148</v>
      </c>
      <c r="F41" s="13" t="s">
        <v>1138</v>
      </c>
      <c r="G41" s="13" t="s">
        <v>1139</v>
      </c>
      <c r="H41" s="13" t="s">
        <v>1140</v>
      </c>
      <c r="I41" s="13" t="s">
        <v>1141</v>
      </c>
      <c r="J41">
        <v>3</v>
      </c>
    </row>
    <row r="42" spans="1:16" x14ac:dyDescent="0.3">
      <c r="A42" t="s">
        <v>2</v>
      </c>
      <c r="B42">
        <v>1</v>
      </c>
      <c r="C42" t="s">
        <v>826</v>
      </c>
      <c r="D42" t="s">
        <v>1201</v>
      </c>
      <c r="E42" s="13" t="s">
        <v>1152</v>
      </c>
      <c r="F42" s="13" t="s">
        <v>1153</v>
      </c>
      <c r="G42" s="13" t="s">
        <v>1154</v>
      </c>
      <c r="H42" s="13" t="s">
        <v>1155</v>
      </c>
      <c r="I42" s="13" t="s">
        <v>1156</v>
      </c>
      <c r="J42">
        <v>1</v>
      </c>
    </row>
    <row r="43" spans="1:16" x14ac:dyDescent="0.3">
      <c r="A43" t="s">
        <v>2</v>
      </c>
      <c r="B43">
        <v>1</v>
      </c>
      <c r="E43" s="13" t="s">
        <v>1157</v>
      </c>
      <c r="F43" s="13" t="s">
        <v>1158</v>
      </c>
      <c r="G43" s="13" t="s">
        <v>1159</v>
      </c>
      <c r="H43" s="13" t="s">
        <v>1160</v>
      </c>
      <c r="I43" s="13" t="s">
        <v>1161</v>
      </c>
      <c r="J43">
        <v>3</v>
      </c>
    </row>
    <row r="44" spans="1:16" x14ac:dyDescent="0.3">
      <c r="A44" t="s">
        <v>2</v>
      </c>
      <c r="B44">
        <v>1</v>
      </c>
      <c r="E44" s="13" t="s">
        <v>1162</v>
      </c>
      <c r="F44" s="13" t="s">
        <v>1163</v>
      </c>
      <c r="G44" s="13" t="s">
        <v>1164</v>
      </c>
      <c r="H44" s="13" t="s">
        <v>1165</v>
      </c>
      <c r="I44" s="13" t="s">
        <v>1166</v>
      </c>
      <c r="J44">
        <v>4</v>
      </c>
    </row>
    <row r="45" spans="1:16" x14ac:dyDescent="0.3">
      <c r="A45" t="s">
        <v>2</v>
      </c>
      <c r="B45">
        <v>2</v>
      </c>
      <c r="C45" t="s">
        <v>729</v>
      </c>
      <c r="D45" t="s">
        <v>1248</v>
      </c>
      <c r="E45" s="13" t="s">
        <v>1167</v>
      </c>
      <c r="F45" s="13" t="s">
        <v>1168</v>
      </c>
      <c r="G45" s="13" t="s">
        <v>1169</v>
      </c>
      <c r="H45" s="13" t="s">
        <v>1170</v>
      </c>
      <c r="I45" s="13" t="s">
        <v>1171</v>
      </c>
      <c r="J45">
        <v>2</v>
      </c>
    </row>
    <row r="46" spans="1:16" x14ac:dyDescent="0.3">
      <c r="A46" t="s">
        <v>2</v>
      </c>
      <c r="B46">
        <v>2</v>
      </c>
      <c r="E46" s="13" t="s">
        <v>1172</v>
      </c>
      <c r="F46" s="13" t="s">
        <v>1173</v>
      </c>
      <c r="G46" s="13" t="s">
        <v>1174</v>
      </c>
      <c r="H46" s="13" t="s">
        <v>1175</v>
      </c>
      <c r="I46" s="13" t="s">
        <v>1176</v>
      </c>
      <c r="J46">
        <v>3</v>
      </c>
    </row>
    <row r="47" spans="1:16" x14ac:dyDescent="0.3">
      <c r="A47" t="s">
        <v>2</v>
      </c>
      <c r="B47">
        <v>2</v>
      </c>
      <c r="E47" s="13" t="s">
        <v>1177</v>
      </c>
      <c r="F47" s="13" t="s">
        <v>1178</v>
      </c>
      <c r="G47" s="13" t="s">
        <v>1179</v>
      </c>
      <c r="H47" s="13" t="s">
        <v>1180</v>
      </c>
      <c r="I47" s="13" t="s">
        <v>1250</v>
      </c>
      <c r="J47">
        <v>4</v>
      </c>
    </row>
    <row r="48" spans="1:16" x14ac:dyDescent="0.3">
      <c r="A48" t="s">
        <v>2</v>
      </c>
      <c r="B48">
        <v>3</v>
      </c>
      <c r="C48" t="s">
        <v>730</v>
      </c>
      <c r="D48" t="s">
        <v>1202</v>
      </c>
      <c r="E48" s="13" t="s">
        <v>1181</v>
      </c>
      <c r="F48" s="13" t="s">
        <v>1182</v>
      </c>
      <c r="G48" s="13" t="s">
        <v>1183</v>
      </c>
      <c r="H48" s="13" t="s">
        <v>1184</v>
      </c>
      <c r="I48" s="13" t="s">
        <v>1185</v>
      </c>
      <c r="J48">
        <v>3</v>
      </c>
    </row>
    <row r="49" spans="1:16" x14ac:dyDescent="0.3">
      <c r="A49" t="s">
        <v>2</v>
      </c>
      <c r="B49">
        <v>3</v>
      </c>
      <c r="E49" s="13" t="s">
        <v>1249</v>
      </c>
      <c r="F49" s="13" t="s">
        <v>1186</v>
      </c>
      <c r="G49" s="13" t="s">
        <v>1187</v>
      </c>
      <c r="H49" s="13" t="s">
        <v>1188</v>
      </c>
      <c r="I49" s="13" t="s">
        <v>1189</v>
      </c>
      <c r="J49">
        <v>4</v>
      </c>
    </row>
    <row r="50" spans="1:16" x14ac:dyDescent="0.3">
      <c r="A50" t="s">
        <v>2</v>
      </c>
      <c r="B50">
        <v>4</v>
      </c>
      <c r="C50" t="s">
        <v>1200</v>
      </c>
      <c r="D50" t="s">
        <v>1203</v>
      </c>
      <c r="E50" s="13" t="s">
        <v>1190</v>
      </c>
      <c r="F50" s="13" t="s">
        <v>1191</v>
      </c>
      <c r="G50" s="13" t="s">
        <v>1192</v>
      </c>
      <c r="H50" s="13" t="s">
        <v>1193</v>
      </c>
      <c r="I50" s="13" t="s">
        <v>1194</v>
      </c>
      <c r="J50">
        <v>3</v>
      </c>
    </row>
    <row r="51" spans="1:16" x14ac:dyDescent="0.3">
      <c r="A51" t="s">
        <v>2</v>
      </c>
      <c r="B51">
        <v>4</v>
      </c>
      <c r="E51" s="13" t="s">
        <v>1195</v>
      </c>
      <c r="F51" s="13" t="s">
        <v>1196</v>
      </c>
      <c r="G51" s="13" t="s">
        <v>1197</v>
      </c>
      <c r="H51" s="13" t="s">
        <v>1198</v>
      </c>
      <c r="I51" s="13" t="s">
        <v>1199</v>
      </c>
      <c r="J51">
        <v>3</v>
      </c>
    </row>
    <row r="52" spans="1:16" x14ac:dyDescent="0.3">
      <c r="A52" t="s">
        <v>3</v>
      </c>
      <c r="B52">
        <v>1</v>
      </c>
      <c r="C52" t="s">
        <v>826</v>
      </c>
      <c r="D52" t="s">
        <v>1416</v>
      </c>
      <c r="E52" s="13" t="s">
        <v>1365</v>
      </c>
      <c r="F52" s="13" t="s">
        <v>1366</v>
      </c>
      <c r="G52" s="13" t="s">
        <v>1367</v>
      </c>
      <c r="H52" s="13" t="s">
        <v>1368</v>
      </c>
      <c r="I52" s="13" t="s">
        <v>1369</v>
      </c>
      <c r="J52">
        <v>2</v>
      </c>
    </row>
    <row r="53" spans="1:16" x14ac:dyDescent="0.3">
      <c r="A53" t="s">
        <v>3</v>
      </c>
      <c r="B53">
        <v>1</v>
      </c>
      <c r="E53" s="13" t="s">
        <v>1370</v>
      </c>
      <c r="F53" s="13" t="s">
        <v>1371</v>
      </c>
      <c r="G53" s="13" t="s">
        <v>1372</v>
      </c>
      <c r="H53" s="13" t="s">
        <v>1373</v>
      </c>
      <c r="I53" s="13" t="s">
        <v>1374</v>
      </c>
      <c r="J53">
        <v>3</v>
      </c>
    </row>
    <row r="54" spans="1:16" x14ac:dyDescent="0.3">
      <c r="A54" t="s">
        <v>3</v>
      </c>
      <c r="B54">
        <v>1</v>
      </c>
      <c r="E54" s="13" t="s">
        <v>1375</v>
      </c>
      <c r="F54" s="13" t="s">
        <v>1376</v>
      </c>
      <c r="G54" s="13" t="s">
        <v>1377</v>
      </c>
      <c r="H54" s="13" t="s">
        <v>1378</v>
      </c>
      <c r="I54" s="13" t="s">
        <v>1379</v>
      </c>
      <c r="J54">
        <v>4</v>
      </c>
    </row>
    <row r="55" spans="1:16" x14ac:dyDescent="0.3">
      <c r="A55" t="s">
        <v>3</v>
      </c>
      <c r="B55">
        <v>2</v>
      </c>
      <c r="C55" t="s">
        <v>729</v>
      </c>
      <c r="D55" t="s">
        <v>1417</v>
      </c>
      <c r="E55" s="13" t="s">
        <v>1380</v>
      </c>
      <c r="F55" s="13" t="s">
        <v>1381</v>
      </c>
      <c r="G55" s="13" t="s">
        <v>1382</v>
      </c>
      <c r="H55" s="13" t="s">
        <v>1383</v>
      </c>
      <c r="I55" s="13" t="s">
        <v>1384</v>
      </c>
      <c r="J55">
        <v>3</v>
      </c>
    </row>
    <row r="56" spans="1:16" x14ac:dyDescent="0.3">
      <c r="A56" t="s">
        <v>3</v>
      </c>
      <c r="B56">
        <v>2</v>
      </c>
      <c r="E56" s="13" t="s">
        <v>1385</v>
      </c>
      <c r="F56" s="13" t="s">
        <v>1386</v>
      </c>
      <c r="G56" s="13" t="s">
        <v>1387</v>
      </c>
      <c r="H56" s="13" t="s">
        <v>1388</v>
      </c>
      <c r="I56" s="13" t="s">
        <v>1389</v>
      </c>
      <c r="J56">
        <v>1</v>
      </c>
    </row>
    <row r="57" spans="1:16" x14ac:dyDescent="0.3">
      <c r="A57" t="s">
        <v>3</v>
      </c>
      <c r="B57">
        <v>2</v>
      </c>
      <c r="E57" s="13" t="s">
        <v>1390</v>
      </c>
      <c r="F57" s="13" t="s">
        <v>1391</v>
      </c>
      <c r="G57" s="13" t="s">
        <v>1392</v>
      </c>
      <c r="H57" s="13" t="s">
        <v>1393</v>
      </c>
      <c r="I57" s="13" t="s">
        <v>1394</v>
      </c>
      <c r="J57">
        <v>4</v>
      </c>
    </row>
    <row r="58" spans="1:16" x14ac:dyDescent="0.3">
      <c r="A58" t="s">
        <v>3</v>
      </c>
      <c r="B58">
        <v>3</v>
      </c>
      <c r="C58" t="s">
        <v>730</v>
      </c>
      <c r="D58" t="s">
        <v>1418</v>
      </c>
      <c r="E58" s="13" t="s">
        <v>1395</v>
      </c>
      <c r="F58" s="13" t="s">
        <v>1396</v>
      </c>
      <c r="G58" s="13" t="s">
        <v>1397</v>
      </c>
      <c r="H58" s="13" t="s">
        <v>1398</v>
      </c>
      <c r="I58" s="13" t="s">
        <v>1399</v>
      </c>
      <c r="J58">
        <v>2</v>
      </c>
    </row>
    <row r="59" spans="1:16" x14ac:dyDescent="0.3">
      <c r="A59" t="s">
        <v>3</v>
      </c>
      <c r="B59">
        <v>3</v>
      </c>
      <c r="E59" s="13" t="s">
        <v>1400</v>
      </c>
      <c r="F59" s="13" t="s">
        <v>1401</v>
      </c>
      <c r="G59" s="13" t="s">
        <v>1402</v>
      </c>
      <c r="H59" s="13" t="s">
        <v>1403</v>
      </c>
      <c r="I59" s="13" t="s">
        <v>1404</v>
      </c>
      <c r="J59">
        <v>3</v>
      </c>
    </row>
    <row r="60" spans="1:16" x14ac:dyDescent="0.3">
      <c r="A60" t="s">
        <v>3</v>
      </c>
      <c r="B60">
        <v>3</v>
      </c>
      <c r="E60" s="13" t="s">
        <v>1405</v>
      </c>
      <c r="F60" s="13" t="s">
        <v>1406</v>
      </c>
      <c r="G60" s="13" t="s">
        <v>1407</v>
      </c>
      <c r="H60" s="13" t="s">
        <v>1408</v>
      </c>
      <c r="I60" s="13" t="s">
        <v>1409</v>
      </c>
      <c r="J60">
        <v>1</v>
      </c>
      <c r="P60" t="s">
        <v>1410</v>
      </c>
    </row>
    <row r="61" spans="1:16" x14ac:dyDescent="0.3">
      <c r="A61" t="s">
        <v>3</v>
      </c>
      <c r="B61">
        <v>3</v>
      </c>
      <c r="E61" s="13" t="s">
        <v>1411</v>
      </c>
      <c r="F61" s="13" t="s">
        <v>1412</v>
      </c>
      <c r="G61" s="13" t="s">
        <v>1413</v>
      </c>
      <c r="H61" s="13" t="s">
        <v>1414</v>
      </c>
      <c r="I61" s="13" t="s">
        <v>1415</v>
      </c>
      <c r="J61">
        <v>4</v>
      </c>
    </row>
    <row r="62" spans="1:16" x14ac:dyDescent="0.3">
      <c r="A62" t="s">
        <v>72</v>
      </c>
      <c r="B62">
        <v>1</v>
      </c>
      <c r="E62" s="13" t="s">
        <v>463</v>
      </c>
      <c r="F62" s="14" t="s">
        <v>464</v>
      </c>
      <c r="G62" s="14" t="s">
        <v>465</v>
      </c>
      <c r="H62" s="14" t="s">
        <v>466</v>
      </c>
      <c r="I62" s="13" t="s">
        <v>467</v>
      </c>
      <c r="J62">
        <v>4</v>
      </c>
    </row>
    <row r="63" spans="1:16" x14ac:dyDescent="0.3">
      <c r="A63" t="s">
        <v>72</v>
      </c>
      <c r="B63">
        <v>1</v>
      </c>
      <c r="E63" s="13" t="s">
        <v>468</v>
      </c>
      <c r="F63" s="14" t="s">
        <v>469</v>
      </c>
      <c r="G63" s="14" t="s">
        <v>470</v>
      </c>
      <c r="H63" s="14" t="s">
        <v>471</v>
      </c>
      <c r="I63" s="13" t="s">
        <v>472</v>
      </c>
      <c r="J63">
        <v>3</v>
      </c>
    </row>
    <row r="64" spans="1:16" x14ac:dyDescent="0.3">
      <c r="A64" t="s">
        <v>72</v>
      </c>
      <c r="B64">
        <v>1</v>
      </c>
      <c r="E64" s="13" t="s">
        <v>473</v>
      </c>
      <c r="F64" s="14" t="s">
        <v>474</v>
      </c>
      <c r="G64" s="14" t="s">
        <v>475</v>
      </c>
      <c r="H64" s="14" t="s">
        <v>476</v>
      </c>
      <c r="I64" s="13" t="s">
        <v>477</v>
      </c>
      <c r="J64">
        <v>4</v>
      </c>
    </row>
    <row r="65" spans="1:16" x14ac:dyDescent="0.3">
      <c r="A65" t="s">
        <v>72</v>
      </c>
      <c r="B65">
        <v>1</v>
      </c>
      <c r="E65" s="13" t="s">
        <v>473</v>
      </c>
      <c r="F65" s="13" t="s">
        <v>478</v>
      </c>
      <c r="G65" s="13" t="s">
        <v>479</v>
      </c>
      <c r="H65" s="13" t="s">
        <v>480</v>
      </c>
      <c r="I65" s="13" t="s">
        <v>481</v>
      </c>
      <c r="J65">
        <v>4</v>
      </c>
      <c r="P65" s="6"/>
    </row>
    <row r="66" spans="1:16" x14ac:dyDescent="0.3">
      <c r="A66" t="s">
        <v>72</v>
      </c>
      <c r="B66">
        <v>1</v>
      </c>
      <c r="E66" s="13" t="s">
        <v>482</v>
      </c>
      <c r="F66" s="16" t="s">
        <v>483</v>
      </c>
      <c r="G66" s="14" t="s">
        <v>484</v>
      </c>
      <c r="H66" s="14" t="s">
        <v>485</v>
      </c>
      <c r="I66" s="13" t="s">
        <v>486</v>
      </c>
      <c r="J66">
        <v>1</v>
      </c>
    </row>
    <row r="67" spans="1:16" x14ac:dyDescent="0.3">
      <c r="A67" t="s">
        <v>72</v>
      </c>
      <c r="B67">
        <v>1</v>
      </c>
      <c r="E67" s="13" t="s">
        <v>487</v>
      </c>
      <c r="F67" s="14" t="s">
        <v>488</v>
      </c>
      <c r="G67" s="14" t="s">
        <v>489</v>
      </c>
      <c r="H67" s="14" t="s">
        <v>490</v>
      </c>
      <c r="I67" s="14" t="s">
        <v>491</v>
      </c>
      <c r="J67">
        <v>4</v>
      </c>
    </row>
    <row r="68" spans="1:16" x14ac:dyDescent="0.3">
      <c r="A68" t="s">
        <v>72</v>
      </c>
      <c r="B68">
        <v>1</v>
      </c>
      <c r="E68" s="13" t="s">
        <v>492</v>
      </c>
      <c r="F68" s="14" t="s">
        <v>493</v>
      </c>
      <c r="G68" s="14" t="s">
        <v>494</v>
      </c>
      <c r="H68" s="14" t="s">
        <v>495</v>
      </c>
      <c r="I68" s="14" t="s">
        <v>496</v>
      </c>
      <c r="J68">
        <v>3</v>
      </c>
    </row>
    <row r="69" spans="1:16" x14ac:dyDescent="0.3">
      <c r="A69" t="s">
        <v>72</v>
      </c>
      <c r="B69">
        <v>1</v>
      </c>
      <c r="E69" s="13" t="s">
        <v>497</v>
      </c>
      <c r="F69" s="14" t="s">
        <v>498</v>
      </c>
      <c r="G69" s="14" t="s">
        <v>499</v>
      </c>
      <c r="H69" s="14" t="s">
        <v>500</v>
      </c>
      <c r="I69" s="14" t="s">
        <v>501</v>
      </c>
      <c r="J69">
        <v>2</v>
      </c>
      <c r="P69" s="6"/>
    </row>
    <row r="70" spans="1:16" x14ac:dyDescent="0.3">
      <c r="A70" t="s">
        <v>72</v>
      </c>
      <c r="B70">
        <v>1</v>
      </c>
      <c r="E70" s="13" t="s">
        <v>502</v>
      </c>
      <c r="F70" s="14" t="s">
        <v>466</v>
      </c>
      <c r="G70" s="14" t="s">
        <v>503</v>
      </c>
      <c r="H70" s="14" t="s">
        <v>504</v>
      </c>
      <c r="I70" s="14" t="s">
        <v>505</v>
      </c>
      <c r="J70">
        <v>4</v>
      </c>
    </row>
    <row r="71" spans="1:16" x14ac:dyDescent="0.3">
      <c r="A71" t="s">
        <v>72</v>
      </c>
      <c r="B71">
        <v>1</v>
      </c>
      <c r="E71" s="13" t="s">
        <v>506</v>
      </c>
      <c r="F71" s="14" t="s">
        <v>507</v>
      </c>
      <c r="G71" s="14" t="s">
        <v>508</v>
      </c>
      <c r="H71" s="14" t="s">
        <v>509</v>
      </c>
      <c r="I71" s="14" t="s">
        <v>510</v>
      </c>
      <c r="J71">
        <v>4</v>
      </c>
    </row>
    <row r="72" spans="1:16" x14ac:dyDescent="0.3">
      <c r="A72" t="s">
        <v>68</v>
      </c>
      <c r="B72">
        <v>1</v>
      </c>
      <c r="E72" s="13" t="s">
        <v>511</v>
      </c>
      <c r="F72" s="13" t="s">
        <v>512</v>
      </c>
      <c r="G72" s="13" t="s">
        <v>513</v>
      </c>
      <c r="H72" s="13" t="s">
        <v>514</v>
      </c>
      <c r="I72" s="13" t="s">
        <v>515</v>
      </c>
      <c r="J72">
        <v>1</v>
      </c>
    </row>
    <row r="73" spans="1:16" x14ac:dyDescent="0.3">
      <c r="A73" t="s">
        <v>68</v>
      </c>
      <c r="B73">
        <v>1</v>
      </c>
      <c r="E73" s="13" t="s">
        <v>710</v>
      </c>
      <c r="F73" s="16" t="s">
        <v>516</v>
      </c>
      <c r="G73" s="14" t="s">
        <v>517</v>
      </c>
      <c r="H73" s="14" t="s">
        <v>518</v>
      </c>
      <c r="I73" s="13" t="s">
        <v>519</v>
      </c>
      <c r="J73">
        <v>3</v>
      </c>
      <c r="N73" s="2"/>
    </row>
    <row r="74" spans="1:16" x14ac:dyDescent="0.3">
      <c r="A74" t="s">
        <v>68</v>
      </c>
      <c r="B74">
        <v>1</v>
      </c>
      <c r="E74" s="13" t="s">
        <v>520</v>
      </c>
      <c r="F74" s="14" t="s">
        <v>521</v>
      </c>
      <c r="G74" s="14" t="s">
        <v>522</v>
      </c>
      <c r="H74" s="14" t="s">
        <v>523</v>
      </c>
      <c r="I74" s="14" t="s">
        <v>524</v>
      </c>
      <c r="J74">
        <v>1</v>
      </c>
    </row>
    <row r="75" spans="1:16" x14ac:dyDescent="0.3">
      <c r="A75" t="s">
        <v>68</v>
      </c>
      <c r="B75">
        <v>1</v>
      </c>
      <c r="E75" s="13" t="s">
        <v>525</v>
      </c>
      <c r="F75" s="14" t="s">
        <v>526</v>
      </c>
      <c r="G75" s="14" t="s">
        <v>527</v>
      </c>
      <c r="H75" s="14" t="s">
        <v>528</v>
      </c>
      <c r="I75" s="14" t="s">
        <v>529</v>
      </c>
      <c r="J75">
        <v>4</v>
      </c>
    </row>
    <row r="76" spans="1:16" x14ac:dyDescent="0.3">
      <c r="A76" t="s">
        <v>68</v>
      </c>
      <c r="B76">
        <v>1</v>
      </c>
      <c r="E76" s="13" t="s">
        <v>530</v>
      </c>
      <c r="F76" s="14" t="s">
        <v>444</v>
      </c>
      <c r="G76" s="14" t="s">
        <v>445</v>
      </c>
      <c r="H76" s="14" t="s">
        <v>442</v>
      </c>
      <c r="I76" s="14" t="s">
        <v>443</v>
      </c>
      <c r="J76">
        <v>2</v>
      </c>
    </row>
    <row r="77" spans="1:16" x14ac:dyDescent="0.3">
      <c r="A77" t="s">
        <v>68</v>
      </c>
      <c r="B77">
        <v>1</v>
      </c>
      <c r="E77" s="13" t="s">
        <v>711</v>
      </c>
      <c r="F77" s="14" t="s">
        <v>531</v>
      </c>
      <c r="G77" s="14" t="s">
        <v>532</v>
      </c>
      <c r="H77" s="14" t="s">
        <v>533</v>
      </c>
      <c r="I77" s="14" t="s">
        <v>534</v>
      </c>
      <c r="J77">
        <v>2</v>
      </c>
      <c r="N77" s="2"/>
    </row>
    <row r="78" spans="1:16" x14ac:dyDescent="0.3">
      <c r="A78" t="s">
        <v>68</v>
      </c>
      <c r="B78">
        <v>1</v>
      </c>
      <c r="E78" s="13" t="s">
        <v>535</v>
      </c>
      <c r="F78" s="14" t="s">
        <v>536</v>
      </c>
      <c r="G78" s="14" t="s">
        <v>537</v>
      </c>
      <c r="H78" s="14" t="s">
        <v>538</v>
      </c>
      <c r="I78" s="14" t="s">
        <v>539</v>
      </c>
      <c r="J78">
        <v>3</v>
      </c>
    </row>
    <row r="79" spans="1:16" x14ac:dyDescent="0.3">
      <c r="A79" t="s">
        <v>68</v>
      </c>
      <c r="B79">
        <v>1</v>
      </c>
      <c r="E79" s="13" t="s">
        <v>540</v>
      </c>
      <c r="F79" s="13" t="s">
        <v>396</v>
      </c>
      <c r="G79" s="13" t="s">
        <v>397</v>
      </c>
      <c r="H79" s="13" t="s">
        <v>541</v>
      </c>
      <c r="I79" s="13" t="s">
        <v>399</v>
      </c>
      <c r="J79">
        <v>3</v>
      </c>
    </row>
    <row r="80" spans="1:16" x14ac:dyDescent="0.3">
      <c r="A80" t="s">
        <v>68</v>
      </c>
      <c r="B80">
        <v>1</v>
      </c>
      <c r="E80" s="14" t="s">
        <v>712</v>
      </c>
      <c r="F80" s="14" t="s">
        <v>542</v>
      </c>
      <c r="G80" s="14" t="s">
        <v>543</v>
      </c>
      <c r="H80" s="14" t="s">
        <v>544</v>
      </c>
      <c r="I80" s="13" t="s">
        <v>545</v>
      </c>
      <c r="J80">
        <v>2</v>
      </c>
      <c r="N80" s="2"/>
    </row>
    <row r="81" spans="1:14" x14ac:dyDescent="0.3">
      <c r="A81" t="s">
        <v>68</v>
      </c>
      <c r="B81">
        <v>1</v>
      </c>
      <c r="E81" s="13" t="s">
        <v>713</v>
      </c>
      <c r="F81" s="14" t="s">
        <v>546</v>
      </c>
      <c r="G81" s="14" t="s">
        <v>547</v>
      </c>
      <c r="H81" s="14" t="s">
        <v>548</v>
      </c>
      <c r="I81" s="14" t="s">
        <v>549</v>
      </c>
      <c r="J81">
        <v>4</v>
      </c>
      <c r="N81" s="2"/>
    </row>
    <row r="82" spans="1:14" x14ac:dyDescent="0.3">
      <c r="A82" t="s">
        <v>68</v>
      </c>
      <c r="B82">
        <v>1</v>
      </c>
      <c r="E82" s="13" t="s">
        <v>550</v>
      </c>
      <c r="F82" s="13" t="s">
        <v>551</v>
      </c>
      <c r="G82" s="13" t="s">
        <v>552</v>
      </c>
      <c r="H82" s="13" t="s">
        <v>553</v>
      </c>
      <c r="I82" s="13" t="s">
        <v>554</v>
      </c>
      <c r="J82">
        <v>4</v>
      </c>
    </row>
    <row r="83" spans="1:14" x14ac:dyDescent="0.3">
      <c r="A83" t="s">
        <v>68</v>
      </c>
      <c r="B83">
        <v>1</v>
      </c>
      <c r="E83" s="13" t="s">
        <v>714</v>
      </c>
      <c r="F83" s="14" t="s">
        <v>555</v>
      </c>
      <c r="G83" s="14" t="s">
        <v>556</v>
      </c>
      <c r="H83" s="14" t="s">
        <v>557</v>
      </c>
      <c r="I83" s="14" t="s">
        <v>558</v>
      </c>
      <c r="J83">
        <v>3</v>
      </c>
      <c r="N83" s="2"/>
    </row>
    <row r="84" spans="1:14" x14ac:dyDescent="0.3">
      <c r="A84" t="s">
        <v>68</v>
      </c>
      <c r="B84">
        <v>1</v>
      </c>
      <c r="E84" s="13" t="s">
        <v>715</v>
      </c>
      <c r="F84" s="13" t="s">
        <v>559</v>
      </c>
      <c r="G84" s="13" t="s">
        <v>560</v>
      </c>
      <c r="H84" s="13" t="s">
        <v>561</v>
      </c>
      <c r="I84" s="13" t="s">
        <v>562</v>
      </c>
      <c r="J84">
        <v>4</v>
      </c>
      <c r="N84" s="2"/>
    </row>
    <row r="85" spans="1:14" x14ac:dyDescent="0.3">
      <c r="A85" t="s">
        <v>68</v>
      </c>
      <c r="B85">
        <v>1</v>
      </c>
      <c r="E85" s="13" t="s">
        <v>716</v>
      </c>
      <c r="F85" s="13" t="s">
        <v>563</v>
      </c>
      <c r="G85" s="13" t="s">
        <v>564</v>
      </c>
      <c r="H85" s="13" t="s">
        <v>565</v>
      </c>
      <c r="I85" s="13" t="s">
        <v>566</v>
      </c>
      <c r="J85">
        <v>3</v>
      </c>
      <c r="N85" s="2"/>
    </row>
    <row r="86" spans="1:14" x14ac:dyDescent="0.3">
      <c r="A86" t="s">
        <v>68</v>
      </c>
      <c r="B86">
        <v>1</v>
      </c>
      <c r="E86" s="13" t="s">
        <v>717</v>
      </c>
      <c r="F86" s="13" t="s">
        <v>567</v>
      </c>
      <c r="G86" s="13" t="s">
        <v>568</v>
      </c>
      <c r="H86" s="13" t="s">
        <v>569</v>
      </c>
      <c r="I86" s="13" t="s">
        <v>570</v>
      </c>
      <c r="J86">
        <v>3</v>
      </c>
      <c r="N86" s="2"/>
    </row>
  </sheetData>
  <phoneticPr fontId="1"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6"/>
  <dimension ref="A1:XFC101"/>
  <sheetViews>
    <sheetView topLeftCell="A31" workbookViewId="0">
      <selection activeCell="D39" sqref="D39"/>
    </sheetView>
  </sheetViews>
  <sheetFormatPr baseColWidth="10" defaultColWidth="0" defaultRowHeight="14.4" x14ac:dyDescent="0.3"/>
  <cols>
    <col min="1" max="1" width="29.33203125" bestFit="1" customWidth="1"/>
    <col min="2" max="2" width="34.21875" bestFit="1" customWidth="1"/>
    <col min="3" max="3" width="49.44140625" customWidth="1"/>
    <col min="4" max="4" width="26" customWidth="1"/>
    <col min="5" max="5" width="47.44140625" customWidth="1"/>
    <col min="6" max="6" width="33" hidden="1" customWidth="1"/>
    <col min="7" max="7" width="11.44140625" hidden="1" customWidth="1"/>
    <col min="8" max="16383" width="11.44140625" hidden="1"/>
    <col min="16384" max="16384" width="5.77734375" hidden="1" customWidth="1"/>
  </cols>
  <sheetData>
    <row r="1" spans="1:6" s="41" customFormat="1" x14ac:dyDescent="0.3">
      <c r="A1" s="41" t="s">
        <v>49</v>
      </c>
      <c r="B1" s="41" t="s">
        <v>23</v>
      </c>
      <c r="C1" s="41" t="s">
        <v>52</v>
      </c>
      <c r="D1" s="41" t="s">
        <v>1423</v>
      </c>
      <c r="E1" s="41" t="s">
        <v>69</v>
      </c>
      <c r="F1" s="41" t="s">
        <v>50</v>
      </c>
    </row>
    <row r="2" spans="1:6" s="3" customFormat="1" x14ac:dyDescent="0.3">
      <c r="A2" s="3" t="s">
        <v>2204</v>
      </c>
      <c r="B2" s="43" t="s">
        <v>2205</v>
      </c>
      <c r="C2" s="5">
        <v>45016</v>
      </c>
      <c r="D2" s="54">
        <v>45086</v>
      </c>
      <c r="E2" s="3" t="s">
        <v>70</v>
      </c>
      <c r="F2" s="4" t="s">
        <v>599</v>
      </c>
    </row>
    <row r="3" spans="1:6" s="40" customFormat="1" x14ac:dyDescent="0.3">
      <c r="A3" s="40" t="s">
        <v>1456</v>
      </c>
      <c r="B3" s="40" t="s">
        <v>1424</v>
      </c>
      <c r="C3" s="40" t="s">
        <v>1425</v>
      </c>
      <c r="D3" s="40" t="s">
        <v>12</v>
      </c>
      <c r="E3" s="40" t="s">
        <v>11</v>
      </c>
      <c r="F3" s="40" t="s">
        <v>56</v>
      </c>
    </row>
    <row r="4" spans="1:6" s="3" customFormat="1" ht="20.25" customHeight="1" x14ac:dyDescent="0.3">
      <c r="A4" s="52" t="s">
        <v>2203</v>
      </c>
      <c r="B4" s="48" t="s">
        <v>1581</v>
      </c>
      <c r="C4" s="18" t="s">
        <v>1740</v>
      </c>
      <c r="D4" s="42" t="s">
        <v>1741</v>
      </c>
      <c r="E4" s="44" t="s">
        <v>1742</v>
      </c>
      <c r="F4" s="2" t="s">
        <v>62</v>
      </c>
    </row>
    <row r="5" spans="1:6" x14ac:dyDescent="0.3">
      <c r="A5" t="s">
        <v>1455</v>
      </c>
      <c r="B5" s="40" t="s">
        <v>9</v>
      </c>
      <c r="C5" s="40" t="s">
        <v>10</v>
      </c>
      <c r="D5" s="40" t="s">
        <v>2193</v>
      </c>
      <c r="E5" s="40" t="s">
        <v>2194</v>
      </c>
      <c r="F5" s="41" t="s">
        <v>8</v>
      </c>
    </row>
    <row r="6" spans="1:6" ht="16.5" customHeight="1" x14ac:dyDescent="0.3">
      <c r="A6" s="42" t="s">
        <v>2391</v>
      </c>
      <c r="B6" s="43" t="s">
        <v>1582</v>
      </c>
      <c r="C6" t="s">
        <v>1744</v>
      </c>
      <c r="D6" s="18" t="s">
        <v>2196</v>
      </c>
      <c r="E6" s="18" t="s">
        <v>2197</v>
      </c>
      <c r="F6" t="s">
        <v>16</v>
      </c>
    </row>
    <row r="7" spans="1:6" ht="17.25" customHeight="1" x14ac:dyDescent="0.3">
      <c r="A7" s="42"/>
      <c r="B7" s="40" t="s">
        <v>1427</v>
      </c>
      <c r="C7" s="41" t="s">
        <v>1458</v>
      </c>
      <c r="D7" s="41" t="s">
        <v>2237</v>
      </c>
      <c r="E7" s="41" t="s">
        <v>2238</v>
      </c>
      <c r="F7" s="41" t="s">
        <v>51</v>
      </c>
    </row>
    <row r="8" spans="1:6" ht="16.5" customHeight="1" x14ac:dyDescent="0.3">
      <c r="A8" s="42"/>
      <c r="B8" s="43" t="s">
        <v>1577</v>
      </c>
      <c r="C8" t="s">
        <v>1743</v>
      </c>
      <c r="D8" s="82" t="s">
        <v>2230</v>
      </c>
      <c r="E8" s="82" t="s">
        <v>2276</v>
      </c>
      <c r="F8" t="s">
        <v>600</v>
      </c>
    </row>
    <row r="9" spans="1:6" x14ac:dyDescent="0.3">
      <c r="B9" s="81" t="s">
        <v>2239</v>
      </c>
      <c r="C9" s="81" t="s">
        <v>2240</v>
      </c>
      <c r="D9" s="81" t="s">
        <v>2241</v>
      </c>
      <c r="E9" s="81" t="s">
        <v>2242</v>
      </c>
      <c r="F9" s="40" t="s">
        <v>14</v>
      </c>
    </row>
    <row r="10" spans="1:6" ht="100.8" x14ac:dyDescent="0.3">
      <c r="B10" s="83">
        <v>45086</v>
      </c>
      <c r="C10" s="82" t="s">
        <v>2314</v>
      </c>
      <c r="D10" s="86" t="s">
        <v>2316</v>
      </c>
      <c r="E10" s="82" t="s">
        <v>2230</v>
      </c>
      <c r="F10" s="45" t="s">
        <v>15</v>
      </c>
    </row>
    <row r="11" spans="1:6" x14ac:dyDescent="0.3">
      <c r="B11" s="40" t="s">
        <v>2243</v>
      </c>
      <c r="C11" s="40" t="s">
        <v>2245</v>
      </c>
      <c r="D11" s="40" t="s">
        <v>2247</v>
      </c>
      <c r="E11" s="40" t="s">
        <v>2249</v>
      </c>
      <c r="F11" s="40" t="s">
        <v>53</v>
      </c>
    </row>
    <row r="12" spans="1:6" x14ac:dyDescent="0.3">
      <c r="B12" s="82" t="s">
        <v>2230</v>
      </c>
      <c r="C12" s="82" t="s">
        <v>2246</v>
      </c>
      <c r="D12" s="82" t="s">
        <v>2248</v>
      </c>
      <c r="E12" s="82"/>
      <c r="F12" s="3" t="s">
        <v>54</v>
      </c>
    </row>
    <row r="13" spans="1:6" x14ac:dyDescent="0.3">
      <c r="B13" s="40" t="s">
        <v>2250</v>
      </c>
      <c r="C13" s="40" t="s">
        <v>2251</v>
      </c>
      <c r="D13" s="40" t="s">
        <v>2253</v>
      </c>
      <c r="E13" s="40" t="s">
        <v>2254</v>
      </c>
      <c r="F13" s="40" t="s">
        <v>57</v>
      </c>
    </row>
    <row r="14" spans="1:6" x14ac:dyDescent="0.3">
      <c r="B14" s="82"/>
      <c r="C14" s="82" t="s">
        <v>2252</v>
      </c>
      <c r="D14" s="82" t="s">
        <v>2252</v>
      </c>
      <c r="E14" s="82" t="s">
        <v>2230</v>
      </c>
      <c r="F14" s="45" t="s">
        <v>55</v>
      </c>
    </row>
    <row r="15" spans="1:6" x14ac:dyDescent="0.3">
      <c r="B15" s="87" t="s">
        <v>2255</v>
      </c>
      <c r="C15" s="40" t="s">
        <v>2256</v>
      </c>
      <c r="D15" s="40" t="s">
        <v>2257</v>
      </c>
      <c r="E15" s="40" t="s">
        <v>2258</v>
      </c>
    </row>
    <row r="16" spans="1:6" x14ac:dyDescent="0.3">
      <c r="B16" s="82" t="s">
        <v>2252</v>
      </c>
      <c r="C16" s="82" t="s">
        <v>2246</v>
      </c>
      <c r="D16" s="82" t="s">
        <v>2230</v>
      </c>
      <c r="E16" s="82" t="s">
        <v>2259</v>
      </c>
    </row>
    <row r="17" spans="2:5" x14ac:dyDescent="0.3">
      <c r="B17" s="40" t="s">
        <v>2260</v>
      </c>
      <c r="C17" s="40" t="s">
        <v>2261</v>
      </c>
      <c r="D17" s="40" t="s">
        <v>2262</v>
      </c>
      <c r="E17" s="40" t="s">
        <v>2263</v>
      </c>
    </row>
    <row r="18" spans="2:5" x14ac:dyDescent="0.3">
      <c r="B18" s="82" t="s">
        <v>2246</v>
      </c>
      <c r="C18" s="82"/>
      <c r="D18" s="82"/>
      <c r="E18" s="82" t="s">
        <v>2230</v>
      </c>
    </row>
    <row r="19" spans="2:5" x14ac:dyDescent="0.3">
      <c r="B19" s="40" t="s">
        <v>2264</v>
      </c>
      <c r="C19" s="78" t="s">
        <v>2265</v>
      </c>
      <c r="D19" s="78" t="s">
        <v>2317</v>
      </c>
      <c r="E19" s="78" t="s">
        <v>2266</v>
      </c>
    </row>
    <row r="20" spans="2:5" x14ac:dyDescent="0.3">
      <c r="B20" s="82"/>
      <c r="C20" s="84"/>
      <c r="D20" s="84"/>
      <c r="E20" s="84" t="s">
        <v>2267</v>
      </c>
    </row>
    <row r="21" spans="2:5" x14ac:dyDescent="0.3">
      <c r="B21" s="40" t="s">
        <v>2268</v>
      </c>
      <c r="C21" s="78" t="s">
        <v>2269</v>
      </c>
      <c r="D21" s="78" t="s">
        <v>2270</v>
      </c>
      <c r="E21" s="78" t="s">
        <v>2271</v>
      </c>
    </row>
    <row r="22" spans="2:5" x14ac:dyDescent="0.3">
      <c r="B22" s="82" t="s">
        <v>2246</v>
      </c>
      <c r="C22" s="82" t="s">
        <v>2230</v>
      </c>
      <c r="D22" s="82" t="s">
        <v>2246</v>
      </c>
      <c r="E22" s="82" t="s">
        <v>2246</v>
      </c>
    </row>
    <row r="23" spans="2:5" x14ac:dyDescent="0.3">
      <c r="B23" s="78" t="s">
        <v>2272</v>
      </c>
      <c r="C23" s="78" t="s">
        <v>2273</v>
      </c>
      <c r="D23" s="78" t="s">
        <v>2274</v>
      </c>
      <c r="E23" s="85" t="s">
        <v>2275</v>
      </c>
    </row>
    <row r="24" spans="2:5" x14ac:dyDescent="0.3">
      <c r="B24" s="82" t="s">
        <v>2246</v>
      </c>
      <c r="C24" s="82" t="s">
        <v>2246</v>
      </c>
      <c r="D24" s="82" t="s">
        <v>2246</v>
      </c>
      <c r="E24" s="82" t="s">
        <v>2246</v>
      </c>
    </row>
    <row r="25" spans="2:5" x14ac:dyDescent="0.3">
      <c r="B25" s="41" t="s">
        <v>2277</v>
      </c>
      <c r="C25" s="41" t="s">
        <v>2278</v>
      </c>
      <c r="D25" s="41" t="s">
        <v>2279</v>
      </c>
      <c r="E25" s="88" t="s">
        <v>2281</v>
      </c>
    </row>
    <row r="26" spans="2:5" ht="43.2" x14ac:dyDescent="0.3">
      <c r="B26" s="82" t="s">
        <v>2276</v>
      </c>
      <c r="C26" s="82" t="s">
        <v>2267</v>
      </c>
      <c r="D26" s="86" t="s">
        <v>2280</v>
      </c>
      <c r="E26" s="82" t="s">
        <v>2252</v>
      </c>
    </row>
    <row r="27" spans="2:5" x14ac:dyDescent="0.3">
      <c r="B27" s="41" t="s">
        <v>2282</v>
      </c>
      <c r="C27" s="81" t="s">
        <v>2283</v>
      </c>
      <c r="D27" s="81" t="s">
        <v>2284</v>
      </c>
      <c r="E27" s="40" t="s">
        <v>2285</v>
      </c>
    </row>
    <row r="28" spans="2:5" x14ac:dyDescent="0.3">
      <c r="B28" s="82" t="s">
        <v>2267</v>
      </c>
      <c r="C28" s="84" t="s">
        <v>2267</v>
      </c>
      <c r="D28" s="84" t="s">
        <v>2276</v>
      </c>
      <c r="E28" s="82" t="s">
        <v>2246</v>
      </c>
    </row>
    <row r="29" spans="2:5" x14ac:dyDescent="0.3">
      <c r="B29" s="78" t="s">
        <v>2286</v>
      </c>
      <c r="C29" s="40" t="s">
        <v>2287</v>
      </c>
      <c r="D29" s="81" t="s">
        <v>2289</v>
      </c>
      <c r="E29" s="81" t="s">
        <v>2290</v>
      </c>
    </row>
    <row r="30" spans="2:5" x14ac:dyDescent="0.3">
      <c r="B30" s="84" t="s">
        <v>2246</v>
      </c>
      <c r="C30" s="82" t="s">
        <v>2288</v>
      </c>
      <c r="D30" s="84"/>
      <c r="E30" s="84"/>
    </row>
    <row r="31" spans="2:5" x14ac:dyDescent="0.3">
      <c r="B31" s="81" t="s">
        <v>2291</v>
      </c>
      <c r="C31" s="89" t="s">
        <v>2292</v>
      </c>
      <c r="D31" s="81" t="s">
        <v>2294</v>
      </c>
      <c r="E31" s="81" t="s">
        <v>2295</v>
      </c>
    </row>
    <row r="32" spans="2:5" x14ac:dyDescent="0.3">
      <c r="B32" s="84"/>
      <c r="C32" s="84" t="s">
        <v>2293</v>
      </c>
      <c r="D32" s="84"/>
      <c r="E32" s="84"/>
    </row>
    <row r="33" spans="2:5" x14ac:dyDescent="0.3">
      <c r="B33" s="81" t="s">
        <v>2296</v>
      </c>
      <c r="C33" s="81" t="s">
        <v>2297</v>
      </c>
      <c r="D33" s="81" t="s">
        <v>2298</v>
      </c>
      <c r="E33" s="40" t="s">
        <v>2300</v>
      </c>
    </row>
    <row r="34" spans="2:5" x14ac:dyDescent="0.3">
      <c r="B34" s="84"/>
      <c r="C34" s="84"/>
      <c r="D34" s="82" t="s">
        <v>2299</v>
      </c>
      <c r="E34" s="82" t="s">
        <v>2246</v>
      </c>
    </row>
    <row r="35" spans="2:5" x14ac:dyDescent="0.3">
      <c r="B35" s="89" t="s">
        <v>2318</v>
      </c>
      <c r="C35" s="40" t="s">
        <v>2301</v>
      </c>
      <c r="D35" s="78" t="s">
        <v>2302</v>
      </c>
      <c r="E35" s="78" t="s">
        <v>2303</v>
      </c>
    </row>
    <row r="36" spans="2:5" x14ac:dyDescent="0.3">
      <c r="B36" s="84" t="s">
        <v>2267</v>
      </c>
      <c r="C36" s="82" t="s">
        <v>2246</v>
      </c>
      <c r="D36" s="82" t="s">
        <v>2230</v>
      </c>
      <c r="E36" s="82" t="s">
        <v>2246</v>
      </c>
    </row>
    <row r="37" spans="2:5" x14ac:dyDescent="0.3">
      <c r="B37" s="81" t="s">
        <v>2304</v>
      </c>
      <c r="C37" s="81" t="s">
        <v>2305</v>
      </c>
      <c r="D37" s="78" t="s">
        <v>2306</v>
      </c>
      <c r="E37" s="41" t="s">
        <v>2307</v>
      </c>
    </row>
    <row r="38" spans="2:5" ht="72" x14ac:dyDescent="0.3">
      <c r="B38" s="84">
        <v>0</v>
      </c>
      <c r="C38" s="84"/>
      <c r="D38" s="82" t="s">
        <v>2246</v>
      </c>
      <c r="E38" s="86" t="s">
        <v>2308</v>
      </c>
    </row>
    <row r="39" spans="2:5" x14ac:dyDescent="0.3">
      <c r="B39" s="81" t="s">
        <v>2309</v>
      </c>
      <c r="C39" s="81" t="s">
        <v>2310</v>
      </c>
      <c r="D39" s="81" t="s">
        <v>2311</v>
      </c>
      <c r="E39" s="81" t="s">
        <v>2313</v>
      </c>
    </row>
    <row r="40" spans="2:5" x14ac:dyDescent="0.3">
      <c r="B40" s="84"/>
      <c r="C40" s="84"/>
      <c r="D40" s="84" t="s">
        <v>2312</v>
      </c>
      <c r="E40" s="84" t="s">
        <v>2252</v>
      </c>
    </row>
    <row r="41" spans="2:5" x14ac:dyDescent="0.3">
      <c r="B41" s="89" t="s">
        <v>2315</v>
      </c>
    </row>
    <row r="42" spans="2:5" x14ac:dyDescent="0.3">
      <c r="B42" s="84"/>
    </row>
    <row r="100" spans="1:1" x14ac:dyDescent="0.3">
      <c r="A100" t="s">
        <v>2216</v>
      </c>
    </row>
    <row r="101" spans="1:1" x14ac:dyDescent="0.3">
      <c r="A101" t="s">
        <v>2314</v>
      </c>
    </row>
  </sheetData>
  <dataValidations count="6">
    <dataValidation type="list" allowBlank="1" showInputMessage="1" showErrorMessage="1" sqref="B8" xr:uid="{00000000-0002-0000-0200-000000000000}">
      <formula1>INDIRECT("Categorias[Categorias]")</formula1>
    </dataValidation>
    <dataValidation type="list" operator="greaterThan" allowBlank="1" showInputMessage="1" showErrorMessage="1" sqref="D8 E10 B12:C12 E14 C16:D16 B18 E18 B22:E22 B24:E24 E28 E34 C36:E36 D38" xr:uid="{00000000-0002-0000-0200-000001000000}">
      <formula1>"Sí,No"</formula1>
    </dataValidation>
    <dataValidation type="list" operator="greaterThan" allowBlank="1" showInputMessage="1" showErrorMessage="1" sqref="D12" xr:uid="{00000000-0002-0000-0200-000002000000}">
      <formula1>"allways,onreset,never,per_student"</formula1>
    </dataValidation>
    <dataValidation type="list" operator="greaterThan" allowBlank="1" showInputMessage="1" showErrorMessage="1" sqref="E16" xr:uid="{00000000-0002-0000-0200-000003000000}">
      <formula1>"both,about,none"</formula1>
    </dataValidation>
    <dataValidation type="list" operator="greaterThan" allowBlank="1" showInputMessage="1" showErrorMessage="1" sqref="C30" xr:uid="{00000000-0002-0000-0200-000004000000}">
      <formula1>"always,answered,attempted,closed,finished,past_due,correct_or_past_due,never"</formula1>
    </dataValidation>
    <dataValidation type="list" operator="greaterThan" allowBlank="1" showInputMessage="1" showErrorMessage="1" sqref="D34" xr:uid="{00000000-0002-0000-0200-000005000000}">
      <formula1>"end,early_with_info,early_no_info"</formula1>
    </dataValidation>
  </dataValidations>
  <hyperlinks>
    <hyperlink ref="F14" r:id="rId1" xr:uid="{00000000-0004-0000-0200-000000000000}"/>
    <hyperlink ref="F10" r:id="rId2" xr:uid="{00000000-0004-0000-0200-000001000000}"/>
    <hyperlink ref="F4" r:id="rId3" xr:uid="{00000000-0004-0000-0200-000002000000}"/>
    <hyperlink ref="F2" r:id="rId4" xr:uid="{00000000-0004-0000-0200-000003000000}"/>
    <hyperlink ref="F8" r:id="rId5" xr:uid="{00000000-0004-0000-0200-000004000000}"/>
  </hyperlinks>
  <pageMargins left="0.7" right="0.7" top="0.75" bottom="0.75" header="0.3" footer="0.3"/>
  <pageSetup paperSize="9" orientation="portrait"/>
  <drawing r:id="rId6"/>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8"/>
  <dimension ref="A1:J3"/>
  <sheetViews>
    <sheetView workbookViewId="0">
      <selection activeCell="F4" sqref="F4"/>
    </sheetView>
  </sheetViews>
  <sheetFormatPr baseColWidth="10" defaultRowHeight="14.4" x14ac:dyDescent="0.3"/>
  <cols>
    <col min="1" max="1" width="21.6640625" style="79" customWidth="1"/>
    <col min="2" max="4" width="10.77734375" style="79"/>
    <col min="5" max="5" width="20" style="79" customWidth="1"/>
    <col min="6" max="6" width="15.6640625" style="43" customWidth="1"/>
    <col min="7" max="7" width="11.21875" style="43" bestFit="1" customWidth="1"/>
    <col min="8" max="8" width="16" style="43" customWidth="1"/>
    <col min="9" max="9" width="22" style="43" customWidth="1"/>
    <col min="10" max="10" width="18.21875" style="43" customWidth="1"/>
  </cols>
  <sheetData>
    <row r="1" spans="1:10" x14ac:dyDescent="0.3">
      <c r="A1" s="40" t="s">
        <v>2219</v>
      </c>
      <c r="B1" s="80" t="s">
        <v>2220</v>
      </c>
      <c r="C1" s="80" t="s">
        <v>2221</v>
      </c>
      <c r="D1" s="80" t="s">
        <v>2222</v>
      </c>
      <c r="E1" s="80" t="s">
        <v>2223</v>
      </c>
      <c r="F1" s="80" t="s">
        <v>2224</v>
      </c>
      <c r="G1" s="80" t="s">
        <v>2225</v>
      </c>
      <c r="H1" s="80" t="s">
        <v>2226</v>
      </c>
      <c r="I1" s="80" t="s">
        <v>2227</v>
      </c>
      <c r="J1" s="80" t="s">
        <v>2228</v>
      </c>
    </row>
    <row r="2" spans="1:10" x14ac:dyDescent="0.3">
      <c r="A2" s="79" t="s">
        <v>2229</v>
      </c>
      <c r="B2" s="79" t="s">
        <v>2230</v>
      </c>
      <c r="C2" s="79">
        <v>175040455</v>
      </c>
      <c r="D2" s="79">
        <v>1</v>
      </c>
      <c r="E2" s="79" t="s">
        <v>2231</v>
      </c>
      <c r="F2" s="43" t="s">
        <v>2392</v>
      </c>
      <c r="G2" s="43">
        <v>781231352</v>
      </c>
      <c r="H2" s="43" t="s">
        <v>2232</v>
      </c>
      <c r="I2" s="43" t="s">
        <v>2233</v>
      </c>
      <c r="J2" s="43" t="s">
        <v>2234</v>
      </c>
    </row>
    <row r="3" spans="1:10" x14ac:dyDescent="0.3">
      <c r="A3" s="79" t="s">
        <v>2229</v>
      </c>
      <c r="B3" s="79" t="s">
        <v>2230</v>
      </c>
      <c r="C3" s="79">
        <v>175040455</v>
      </c>
      <c r="D3" s="79">
        <v>1</v>
      </c>
      <c r="E3" s="79" t="s">
        <v>2231</v>
      </c>
      <c r="F3" s="43" t="s">
        <v>2393</v>
      </c>
      <c r="G3" s="43">
        <v>1650041401</v>
      </c>
      <c r="H3" s="43" t="s">
        <v>2235</v>
      </c>
      <c r="I3" s="43" t="s">
        <v>2233</v>
      </c>
      <c r="J3" s="43" t="s">
        <v>2236</v>
      </c>
    </row>
  </sheetData>
  <dataValidations count="2">
    <dataValidation type="list" allowBlank="1" showInputMessage="1" showErrorMessage="1" sqref="B2:B19" xr:uid="{00000000-0002-0000-0300-000000000000}">
      <formula1>"Sí,No"</formula1>
    </dataValidation>
    <dataValidation type="whole" operator="greaterThan" allowBlank="1" showInputMessage="1" showErrorMessage="1" sqref="G2:G31 C2:C28" xr:uid="{00000000-0002-0000-0300-000001000000}">
      <formula1>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dimension ref="A1:M105"/>
  <sheetViews>
    <sheetView tabSelected="1" topLeftCell="B1" zoomScale="85" zoomScaleNormal="85" zoomScalePageLayoutView="85" workbookViewId="0">
      <pane ySplit="1" topLeftCell="A2" activePane="bottomLeft" state="frozen"/>
      <selection pane="bottomLeft" activeCell="E8" sqref="E8"/>
    </sheetView>
  </sheetViews>
  <sheetFormatPr baseColWidth="10" defaultColWidth="11.44140625" defaultRowHeight="14.4" x14ac:dyDescent="0.3"/>
  <cols>
    <col min="1" max="1" width="11.44140625" style="3" hidden="1" customWidth="1"/>
    <col min="2" max="2" width="9.77734375" customWidth="1"/>
    <col min="3" max="3" width="48.21875" style="3" customWidth="1"/>
    <col min="4" max="4" width="13.21875" customWidth="1"/>
    <col min="5" max="5" width="32.6640625" style="3" customWidth="1"/>
    <col min="6" max="6" width="23.44140625" style="3" customWidth="1"/>
    <col min="7" max="7" width="16.21875" style="3" customWidth="1"/>
    <col min="8" max="8" width="16.33203125" style="3" customWidth="1"/>
    <col min="9" max="9" width="16" style="3" hidden="1" customWidth="1"/>
    <col min="10" max="10" width="32.21875" style="3" hidden="1" customWidth="1"/>
    <col min="11" max="11" width="17.33203125" style="3" hidden="1" customWidth="1"/>
    <col min="12" max="12" width="20.6640625" style="3" hidden="1" customWidth="1"/>
    <col min="13" max="16384" width="11.44140625" style="3"/>
  </cols>
  <sheetData>
    <row r="1" spans="1:13" customFormat="1" ht="16.5" customHeight="1" x14ac:dyDescent="0.3">
      <c r="A1" t="s">
        <v>18</v>
      </c>
      <c r="B1" t="s">
        <v>1429</v>
      </c>
      <c r="C1" t="s">
        <v>1453</v>
      </c>
      <c r="D1" t="s">
        <v>708</v>
      </c>
      <c r="E1" t="s">
        <v>709</v>
      </c>
      <c r="F1" t="s">
        <v>1454</v>
      </c>
      <c r="G1" t="s">
        <v>1422</v>
      </c>
      <c r="H1" t="s">
        <v>1423</v>
      </c>
      <c r="I1" t="s">
        <v>17</v>
      </c>
      <c r="J1" t="s">
        <v>48</v>
      </c>
      <c r="K1" t="s">
        <v>1460</v>
      </c>
      <c r="L1" t="s">
        <v>1461</v>
      </c>
    </row>
    <row r="2" spans="1:13" customFormat="1" ht="16.5" customHeight="1" x14ac:dyDescent="0.3">
      <c r="A2" s="3"/>
      <c r="B2">
        <f>IFERROR(IF(C1=C2,B1,B1+1),1)</f>
        <v>1</v>
      </c>
      <c r="C2" s="3" t="s">
        <v>2321</v>
      </c>
      <c r="D2">
        <f>IF(B2=B1,D1+1,1)</f>
        <v>1</v>
      </c>
      <c r="E2" s="3" t="s">
        <v>2323</v>
      </c>
      <c r="F2" s="3" t="s">
        <v>1583</v>
      </c>
      <c r="G2" s="5">
        <v>45016</v>
      </c>
      <c r="H2" s="54">
        <v>45086</v>
      </c>
      <c r="I2" s="3"/>
      <c r="J2" s="3"/>
      <c r="K2" s="3" t="str">
        <f ca="1">CONCATENATE(INDIRECT("Unidades[Sección]"),":",INDIRECT("Unidades[Nombre Sección]"))</f>
        <v>1:Módulo 0: Examen previo</v>
      </c>
      <c r="L2" s="3" t="str">
        <f ca="1">CONCATENATE(INDIRECT("Unidades[Sección]"),":",INDIRECT("Unidades[SubSección]"),":",INDIRECT("Unidades[Nombre SubSección]"))</f>
        <v>1:1:test de conocimiento</v>
      </c>
      <c r="M2" s="55" t="s">
        <v>2345</v>
      </c>
    </row>
    <row r="3" spans="1:13" x14ac:dyDescent="0.3">
      <c r="A3" s="3" t="s">
        <v>1584</v>
      </c>
      <c r="B3">
        <f t="shared" ref="B3" si="0">IFERROR(IF(C2=C3,B2,B2+1),1)</f>
        <v>2</v>
      </c>
      <c r="C3" s="3" t="s">
        <v>2319</v>
      </c>
      <c r="D3">
        <f t="shared" ref="D3:D12" si="1">IF(B3=B2,D2+1,1)</f>
        <v>1</v>
      </c>
      <c r="E3" s="3" t="s">
        <v>732</v>
      </c>
      <c r="G3" s="5"/>
      <c r="H3" s="54"/>
      <c r="I3" s="3" t="s">
        <v>5</v>
      </c>
      <c r="K3" s="3" t="str">
        <f t="shared" ref="K3" ca="1" si="2">CONCATENATE(INDIRECT("Unidades[Sección]"),":",INDIRECT("Unidades[Nombre Sección]"))</f>
        <v>2:Módulo 1: Introducción</v>
      </c>
      <c r="L3" s="3" t="str">
        <f t="shared" ref="L3" ca="1" si="3">CONCATENATE(INDIRECT("Unidades[Sección]"),":",INDIRECT("Unidades[SubSección]"),":",INDIRECT("Unidades[Nombre SubSección]"))</f>
        <v>2:1:Introducción</v>
      </c>
    </row>
    <row r="4" spans="1:13" customFormat="1" ht="16.5" customHeight="1" x14ac:dyDescent="0.3">
      <c r="A4" s="3"/>
      <c r="B4">
        <f t="shared" ref="B4:B12" si="4">IFERROR(IF(C3=C4,B3,B3+1),1)</f>
        <v>2</v>
      </c>
      <c r="C4" s="3" t="s">
        <v>2319</v>
      </c>
      <c r="D4">
        <f t="shared" si="1"/>
        <v>2</v>
      </c>
      <c r="E4" s="3" t="s">
        <v>2324</v>
      </c>
      <c r="F4" s="3"/>
      <c r="G4" s="5"/>
      <c r="H4" s="54"/>
      <c r="I4" s="3"/>
      <c r="J4" s="3"/>
      <c r="K4" s="3" t="str">
        <f t="shared" ref="K4:K12" ca="1" si="5">CONCATENATE(INDIRECT("Unidades[Sección]"),":",INDIRECT("Unidades[Nombre Sección]"))</f>
        <v>2:Módulo 1: Introducción</v>
      </c>
      <c r="L4" s="3" t="str">
        <f t="shared" ref="L4:L12" ca="1" si="6">CONCATENATE(INDIRECT("Unidades[Sección]"),":",INDIRECT("Unidades[SubSección]"),":",INDIRECT("Unidades[Nombre SubSección]"))</f>
        <v>2:2:Primeras lecciones</v>
      </c>
    </row>
    <row r="5" spans="1:13" x14ac:dyDescent="0.3">
      <c r="B5">
        <f t="shared" si="4"/>
        <v>2</v>
      </c>
      <c r="C5" s="3" t="s">
        <v>2319</v>
      </c>
      <c r="D5">
        <f t="shared" si="1"/>
        <v>3</v>
      </c>
      <c r="E5" s="3" t="s">
        <v>2325</v>
      </c>
      <c r="F5" s="3" t="s">
        <v>1745</v>
      </c>
      <c r="G5" s="5"/>
      <c r="H5" s="54"/>
      <c r="K5" s="3" t="str">
        <f t="shared" ca="1" si="5"/>
        <v>2:Módulo 1: Introducción</v>
      </c>
      <c r="L5" s="3" t="str">
        <f t="shared" ca="1" si="6"/>
        <v>2:3:Importancia de la materia</v>
      </c>
    </row>
    <row r="6" spans="1:13" customFormat="1" ht="16.5" customHeight="1" x14ac:dyDescent="0.3">
      <c r="A6" s="3"/>
      <c r="B6">
        <f t="shared" si="4"/>
        <v>2</v>
      </c>
      <c r="C6" s="3" t="s">
        <v>2319</v>
      </c>
      <c r="D6">
        <f t="shared" si="1"/>
        <v>4</v>
      </c>
      <c r="E6" s="3" t="s">
        <v>2326</v>
      </c>
      <c r="F6" s="3"/>
      <c r="G6" s="5"/>
      <c r="H6" s="54"/>
      <c r="I6" s="3"/>
      <c r="J6" s="3"/>
      <c r="K6" s="3" t="str">
        <f t="shared" ca="1" si="5"/>
        <v>2:Módulo 1: Introducción</v>
      </c>
      <c r="L6" s="3" t="str">
        <f t="shared" ca="1" si="6"/>
        <v>2:4:Más datos</v>
      </c>
    </row>
    <row r="7" spans="1:13" x14ac:dyDescent="0.3">
      <c r="B7">
        <f t="shared" si="4"/>
        <v>2</v>
      </c>
      <c r="C7" s="3" t="s">
        <v>2319</v>
      </c>
      <c r="D7">
        <f t="shared" si="1"/>
        <v>5</v>
      </c>
      <c r="E7" s="3" t="s">
        <v>2327</v>
      </c>
      <c r="F7" s="3" t="s">
        <v>1736</v>
      </c>
      <c r="G7" s="5"/>
      <c r="H7" s="54"/>
      <c r="K7" s="3" t="str">
        <f t="shared" ca="1" si="5"/>
        <v>2:Módulo 1: Introducción</v>
      </c>
      <c r="L7" s="3" t="str">
        <f t="shared" ca="1" si="6"/>
        <v>2:5:Exámen de módulo</v>
      </c>
    </row>
    <row r="8" spans="1:13" customFormat="1" ht="16.5" customHeight="1" x14ac:dyDescent="0.3">
      <c r="A8" s="3"/>
      <c r="B8">
        <f t="shared" si="4"/>
        <v>3</v>
      </c>
      <c r="C8" s="3" t="s">
        <v>2320</v>
      </c>
      <c r="D8">
        <f t="shared" si="1"/>
        <v>1</v>
      </c>
      <c r="E8" s="3" t="s">
        <v>732</v>
      </c>
      <c r="F8" s="3"/>
      <c r="G8" s="5"/>
      <c r="H8" s="54"/>
      <c r="I8" s="3"/>
      <c r="J8" s="3"/>
      <c r="K8" s="3" t="str">
        <f t="shared" ca="1" si="5"/>
        <v>3:Módulo 2: Empezando con la materia</v>
      </c>
      <c r="L8" s="3" t="str">
        <f t="shared" ca="1" si="6"/>
        <v>3:1:Introducción</v>
      </c>
    </row>
    <row r="9" spans="1:13" x14ac:dyDescent="0.3">
      <c r="B9">
        <f t="shared" si="4"/>
        <v>3</v>
      </c>
      <c r="C9" s="3" t="s">
        <v>2320</v>
      </c>
      <c r="D9">
        <f t="shared" si="1"/>
        <v>2</v>
      </c>
      <c r="E9" s="3" t="s">
        <v>2328</v>
      </c>
      <c r="G9" s="5"/>
      <c r="H9" s="54"/>
      <c r="K9" s="3" t="str">
        <f t="shared" ca="1" si="5"/>
        <v>3:Módulo 2: Empezando con la materia</v>
      </c>
      <c r="L9" s="3" t="str">
        <f t="shared" ca="1" si="6"/>
        <v>3:2:Temas relacionados</v>
      </c>
    </row>
    <row r="10" spans="1:13" customFormat="1" ht="16.5" customHeight="1" x14ac:dyDescent="0.3">
      <c r="A10" s="3"/>
      <c r="B10">
        <f t="shared" si="4"/>
        <v>3</v>
      </c>
      <c r="C10" s="3" t="s">
        <v>2320</v>
      </c>
      <c r="D10">
        <f t="shared" si="1"/>
        <v>3</v>
      </c>
      <c r="E10" s="3" t="s">
        <v>2329</v>
      </c>
      <c r="F10" s="3" t="s">
        <v>1745</v>
      </c>
      <c r="G10" s="5"/>
      <c r="H10" s="54"/>
      <c r="I10" s="3"/>
      <c r="J10" s="3"/>
      <c r="K10" s="3" t="str">
        <f t="shared" ca="1" si="5"/>
        <v>3:Módulo 2: Empezando con la materia</v>
      </c>
      <c r="L10" s="3" t="str">
        <f t="shared" ca="1" si="6"/>
        <v>3:3:Ecuaciones básicas</v>
      </c>
    </row>
    <row r="11" spans="1:13" x14ac:dyDescent="0.3">
      <c r="B11">
        <f t="shared" si="4"/>
        <v>3</v>
      </c>
      <c r="C11" s="3" t="s">
        <v>2320</v>
      </c>
      <c r="D11">
        <f t="shared" si="1"/>
        <v>4</v>
      </c>
      <c r="E11" s="3" t="s">
        <v>2327</v>
      </c>
      <c r="F11" s="3" t="s">
        <v>1736</v>
      </c>
      <c r="G11" s="5"/>
      <c r="H11" s="54"/>
      <c r="K11" s="3" t="str">
        <f t="shared" ca="1" si="5"/>
        <v>3:Módulo 2: Empezando con la materia</v>
      </c>
      <c r="L11" s="3" t="str">
        <f t="shared" ca="1" si="6"/>
        <v>3:4:Exámen de módulo</v>
      </c>
    </row>
    <row r="12" spans="1:13" customFormat="1" ht="16.5" customHeight="1" x14ac:dyDescent="0.3">
      <c r="A12" s="3"/>
      <c r="B12">
        <f t="shared" si="4"/>
        <v>4</v>
      </c>
      <c r="C12" s="3" t="s">
        <v>2322</v>
      </c>
      <c r="D12">
        <f t="shared" si="1"/>
        <v>1</v>
      </c>
      <c r="E12" s="3" t="s">
        <v>2330</v>
      </c>
      <c r="F12" s="3" t="s">
        <v>68</v>
      </c>
      <c r="G12" s="5">
        <v>45046</v>
      </c>
      <c r="H12" s="54">
        <v>45086</v>
      </c>
      <c r="I12" s="3"/>
      <c r="J12" s="3"/>
      <c r="K12" s="3" t="str">
        <f t="shared" ca="1" si="5"/>
        <v>4:Examen final</v>
      </c>
      <c r="L12" s="3" t="str">
        <f t="shared" ca="1" si="6"/>
        <v>4:1:Exámen final</v>
      </c>
    </row>
    <row r="13" spans="1:13" x14ac:dyDescent="0.3">
      <c r="G13" s="5"/>
      <c r="H13" s="54"/>
    </row>
    <row r="14" spans="1:13" customFormat="1" ht="16.5" customHeight="1" x14ac:dyDescent="0.3">
      <c r="A14" s="3"/>
      <c r="C14" s="3"/>
      <c r="E14" s="3"/>
      <c r="F14" s="3"/>
      <c r="G14" s="5"/>
      <c r="H14" s="54"/>
      <c r="I14" s="3"/>
      <c r="J14" s="3"/>
      <c r="K14" s="3"/>
      <c r="L14" s="3"/>
    </row>
    <row r="15" spans="1:13" x14ac:dyDescent="0.3">
      <c r="G15" s="5"/>
      <c r="H15" s="54"/>
    </row>
    <row r="16" spans="1:13" customFormat="1" ht="16.5" customHeight="1" x14ac:dyDescent="0.3">
      <c r="A16" s="3"/>
      <c r="C16" s="3"/>
      <c r="E16" s="3"/>
      <c r="F16" s="3"/>
      <c r="G16" s="5"/>
      <c r="H16" s="54"/>
      <c r="I16" s="3"/>
      <c r="J16" s="3"/>
      <c r="K16" s="3"/>
      <c r="L16" s="3"/>
    </row>
    <row r="17" spans="1:12" x14ac:dyDescent="0.3">
      <c r="G17" s="5"/>
      <c r="H17" s="54"/>
    </row>
    <row r="18" spans="1:12" customFormat="1" ht="16.5" customHeight="1" x14ac:dyDescent="0.3">
      <c r="A18" s="3"/>
      <c r="C18" s="3"/>
      <c r="E18" s="3"/>
      <c r="F18" s="3"/>
      <c r="G18" s="5"/>
      <c r="H18" s="54"/>
      <c r="I18" s="3"/>
      <c r="J18" s="3"/>
      <c r="K18" s="3"/>
      <c r="L18" s="3"/>
    </row>
    <row r="19" spans="1:12" x14ac:dyDescent="0.3">
      <c r="G19" s="5"/>
      <c r="H19" s="54"/>
    </row>
    <row r="20" spans="1:12" customFormat="1" ht="16.5" customHeight="1" x14ac:dyDescent="0.3">
      <c r="A20" s="3"/>
      <c r="C20" s="3"/>
      <c r="E20" s="3"/>
      <c r="F20" s="3"/>
      <c r="G20" s="5"/>
      <c r="H20" s="54"/>
      <c r="I20" s="3"/>
      <c r="J20" s="3"/>
      <c r="K20" s="3"/>
      <c r="L20" s="3"/>
    </row>
    <row r="21" spans="1:12" x14ac:dyDescent="0.3">
      <c r="G21" s="5"/>
      <c r="H21" s="54"/>
    </row>
    <row r="22" spans="1:12" customFormat="1" ht="16.5" customHeight="1" x14ac:dyDescent="0.3">
      <c r="A22" s="3"/>
      <c r="C22" s="3"/>
      <c r="E22" s="3"/>
      <c r="F22" s="3"/>
      <c r="G22" s="5"/>
      <c r="H22" s="54"/>
      <c r="I22" s="3"/>
      <c r="J22" s="3"/>
      <c r="K22" s="3"/>
      <c r="L22" s="3"/>
    </row>
    <row r="23" spans="1:12" x14ac:dyDescent="0.3">
      <c r="G23" s="5"/>
      <c r="H23" s="54"/>
    </row>
    <row r="24" spans="1:12" customFormat="1" ht="16.5" customHeight="1" x14ac:dyDescent="0.3">
      <c r="A24" s="3"/>
      <c r="C24" s="3"/>
      <c r="E24" s="3"/>
      <c r="F24" s="3"/>
      <c r="G24" s="5"/>
      <c r="H24" s="54"/>
      <c r="I24" s="3"/>
      <c r="J24" s="3"/>
      <c r="K24" s="3"/>
      <c r="L24" s="3"/>
    </row>
    <row r="25" spans="1:12" customFormat="1" ht="16.5" customHeight="1" x14ac:dyDescent="0.3">
      <c r="A25" s="3"/>
      <c r="C25" s="3"/>
      <c r="E25" s="3"/>
      <c r="F25" s="3"/>
      <c r="G25" s="5"/>
      <c r="H25" s="54"/>
      <c r="I25" s="3"/>
      <c r="J25" s="3"/>
      <c r="K25" s="3"/>
      <c r="L25" s="3"/>
    </row>
    <row r="26" spans="1:12" x14ac:dyDescent="0.3">
      <c r="G26" s="5"/>
      <c r="H26" s="54"/>
    </row>
    <row r="27" spans="1:12" customFormat="1" ht="16.5" customHeight="1" x14ac:dyDescent="0.3">
      <c r="A27" s="3"/>
      <c r="C27" s="3"/>
      <c r="E27" s="3"/>
      <c r="F27" s="3"/>
      <c r="G27" s="5"/>
      <c r="H27" s="54"/>
      <c r="I27" s="3"/>
      <c r="J27" s="3"/>
      <c r="K27" s="3"/>
      <c r="L27" s="3"/>
    </row>
    <row r="28" spans="1:12" x14ac:dyDescent="0.3">
      <c r="G28" s="5"/>
      <c r="H28" s="54"/>
    </row>
    <row r="29" spans="1:12" customFormat="1" ht="16.5" customHeight="1" x14ac:dyDescent="0.3">
      <c r="A29" s="3"/>
      <c r="C29" s="3"/>
      <c r="E29" s="3"/>
      <c r="F29" s="3"/>
      <c r="G29" s="5"/>
      <c r="H29" s="54"/>
      <c r="I29" s="3"/>
      <c r="J29" s="3"/>
      <c r="K29" s="3"/>
      <c r="L29" s="3"/>
    </row>
    <row r="30" spans="1:12" x14ac:dyDescent="0.3">
      <c r="G30" s="5"/>
      <c r="H30" s="54"/>
    </row>
    <row r="31" spans="1:12" customFormat="1" ht="16.5" customHeight="1" x14ac:dyDescent="0.3">
      <c r="A31" s="3"/>
      <c r="C31" s="3"/>
      <c r="E31" s="3"/>
      <c r="F31" s="3"/>
      <c r="G31" s="5"/>
      <c r="H31" s="54"/>
      <c r="I31" s="3"/>
      <c r="J31" s="3"/>
      <c r="K31" s="3"/>
      <c r="L31" s="3"/>
    </row>
    <row r="32" spans="1:12" x14ac:dyDescent="0.3">
      <c r="G32" s="5"/>
      <c r="H32" s="54"/>
    </row>
    <row r="33" spans="1:12" customFormat="1" ht="16.5" customHeight="1" x14ac:dyDescent="0.3">
      <c r="A33" s="3"/>
      <c r="C33" s="3"/>
      <c r="E33" s="3"/>
      <c r="F33" s="3"/>
      <c r="G33" s="5"/>
      <c r="H33" s="54"/>
      <c r="I33" s="3"/>
      <c r="J33" s="3"/>
      <c r="K33" s="3"/>
      <c r="L33" s="3"/>
    </row>
    <row r="34" spans="1:12" x14ac:dyDescent="0.3">
      <c r="E34" s="74"/>
      <c r="G34" s="5"/>
      <c r="H34" s="54"/>
    </row>
    <row r="35" spans="1:12" customFormat="1" ht="16.5" customHeight="1" x14ac:dyDescent="0.3">
      <c r="A35" s="3"/>
      <c r="C35" s="3"/>
      <c r="E35" s="3"/>
      <c r="F35" s="3"/>
      <c r="G35" s="5"/>
      <c r="H35" s="54"/>
      <c r="I35" s="3"/>
      <c r="J35" s="3"/>
      <c r="K35" s="3"/>
      <c r="L35" s="3"/>
    </row>
    <row r="36" spans="1:12" x14ac:dyDescent="0.3">
      <c r="G36" s="5"/>
      <c r="H36" s="54"/>
    </row>
    <row r="37" spans="1:12" customFormat="1" ht="16.5" customHeight="1" x14ac:dyDescent="0.3">
      <c r="A37" s="3"/>
      <c r="C37" s="3"/>
      <c r="E37" s="3"/>
      <c r="F37" s="3"/>
      <c r="G37" s="5"/>
      <c r="H37" s="54"/>
      <c r="I37" s="3"/>
      <c r="J37" s="3"/>
      <c r="K37" s="3"/>
      <c r="L37" s="3"/>
    </row>
    <row r="38" spans="1:12" x14ac:dyDescent="0.3">
      <c r="G38" s="5"/>
      <c r="H38" s="54"/>
    </row>
    <row r="39" spans="1:12" customFormat="1" ht="16.5" customHeight="1" x14ac:dyDescent="0.3">
      <c r="A39" s="3"/>
      <c r="C39" s="3"/>
      <c r="E39" s="3"/>
      <c r="F39" s="3"/>
      <c r="G39" s="5"/>
      <c r="H39" s="54"/>
      <c r="I39" s="3"/>
      <c r="J39" s="3"/>
      <c r="K39" s="3"/>
      <c r="L39" s="3"/>
    </row>
    <row r="40" spans="1:12" x14ac:dyDescent="0.3">
      <c r="G40" s="5"/>
      <c r="H40" s="54"/>
    </row>
    <row r="41" spans="1:12" customFormat="1" ht="16.5" customHeight="1" x14ac:dyDescent="0.3">
      <c r="A41" s="3"/>
      <c r="C41" s="3"/>
      <c r="E41" s="3"/>
      <c r="F41" s="3"/>
      <c r="G41" s="5"/>
      <c r="H41" s="54"/>
      <c r="I41" s="3"/>
      <c r="J41" s="3"/>
      <c r="K41" s="3"/>
      <c r="L41" s="3"/>
    </row>
    <row r="42" spans="1:12" x14ac:dyDescent="0.3">
      <c r="G42" s="5"/>
      <c r="H42" s="54"/>
    </row>
    <row r="43" spans="1:12" customFormat="1" ht="16.5" customHeight="1" x14ac:dyDescent="0.3">
      <c r="A43" s="3"/>
      <c r="C43" s="3"/>
      <c r="E43" s="3"/>
      <c r="F43" s="3"/>
      <c r="G43" s="5"/>
      <c r="H43" s="54"/>
      <c r="I43" s="3"/>
      <c r="J43" s="3"/>
      <c r="K43" s="3"/>
      <c r="L43" s="3"/>
    </row>
    <row r="44" spans="1:12" x14ac:dyDescent="0.3">
      <c r="G44" s="5"/>
      <c r="H44" s="54"/>
    </row>
    <row r="45" spans="1:12" customFormat="1" ht="16.5" customHeight="1" x14ac:dyDescent="0.3">
      <c r="A45" s="3"/>
      <c r="C45" s="3"/>
      <c r="E45" s="3"/>
      <c r="F45" s="3"/>
      <c r="G45" s="5"/>
      <c r="H45" s="54"/>
      <c r="I45" s="3"/>
      <c r="J45" s="3"/>
      <c r="K45" s="3"/>
      <c r="L45" s="3"/>
    </row>
    <row r="46" spans="1:12" x14ac:dyDescent="0.3">
      <c r="G46" s="5"/>
      <c r="H46" s="54"/>
    </row>
    <row r="47" spans="1:12" customFormat="1" ht="16.5" customHeight="1" x14ac:dyDescent="0.3">
      <c r="A47" s="3"/>
      <c r="C47" s="3"/>
      <c r="E47" s="3"/>
      <c r="F47" s="3"/>
      <c r="G47" s="5"/>
      <c r="H47" s="54"/>
      <c r="I47" s="3"/>
      <c r="J47" s="3"/>
      <c r="K47" s="3"/>
      <c r="L47" s="3"/>
    </row>
    <row r="48" spans="1:12" x14ac:dyDescent="0.3">
      <c r="G48" s="5"/>
      <c r="H48" s="54"/>
    </row>
    <row r="49" spans="1:12" customFormat="1" ht="16.5" customHeight="1" x14ac:dyDescent="0.3">
      <c r="A49" s="3"/>
      <c r="C49" s="3"/>
      <c r="E49" s="3"/>
      <c r="F49" s="3"/>
      <c r="G49" s="5"/>
      <c r="H49" s="54"/>
      <c r="I49" s="3"/>
      <c r="J49" s="3"/>
      <c r="K49" s="3"/>
      <c r="L49" s="3"/>
    </row>
    <row r="50" spans="1:12" x14ac:dyDescent="0.3">
      <c r="G50" s="5"/>
      <c r="H50" s="54"/>
    </row>
    <row r="51" spans="1:12" customFormat="1" ht="16.5" customHeight="1" x14ac:dyDescent="0.3">
      <c r="A51" s="3"/>
      <c r="C51" s="3"/>
      <c r="E51" s="3"/>
      <c r="F51" s="3"/>
      <c r="G51" s="5"/>
      <c r="H51" s="54"/>
      <c r="I51" s="3"/>
      <c r="J51" s="3"/>
      <c r="K51" s="3"/>
      <c r="L51" s="3"/>
    </row>
    <row r="52" spans="1:12" x14ac:dyDescent="0.3">
      <c r="G52" s="5"/>
      <c r="H52" s="54"/>
    </row>
    <row r="53" spans="1:12" customFormat="1" ht="16.5" customHeight="1" x14ac:dyDescent="0.3">
      <c r="A53" s="3"/>
      <c r="C53" s="3"/>
      <c r="E53" s="3"/>
      <c r="F53" s="3"/>
      <c r="G53" s="5"/>
      <c r="H53" s="54"/>
      <c r="I53" s="3"/>
      <c r="J53" s="3"/>
      <c r="K53" s="3"/>
      <c r="L53" s="3"/>
    </row>
    <row r="54" spans="1:12" x14ac:dyDescent="0.3">
      <c r="G54" s="5"/>
      <c r="H54" s="54"/>
    </row>
    <row r="55" spans="1:12" customFormat="1" ht="16.5" customHeight="1" x14ac:dyDescent="0.3">
      <c r="A55" s="3"/>
      <c r="C55" s="3"/>
      <c r="E55" s="3"/>
      <c r="F55" s="3"/>
      <c r="G55" s="5"/>
      <c r="H55" s="54"/>
      <c r="I55" s="3"/>
      <c r="J55" s="3"/>
      <c r="K55" s="3"/>
      <c r="L55" s="3"/>
    </row>
    <row r="56" spans="1:12" x14ac:dyDescent="0.3">
      <c r="G56" s="5"/>
      <c r="H56" s="54"/>
    </row>
    <row r="57" spans="1:12" customFormat="1" ht="16.5" customHeight="1" x14ac:dyDescent="0.3">
      <c r="A57" s="3"/>
      <c r="C57" s="3"/>
      <c r="E57" s="3"/>
      <c r="F57" s="3"/>
      <c r="G57" s="5"/>
      <c r="H57" s="54"/>
      <c r="I57" s="3"/>
      <c r="J57" s="3"/>
      <c r="K57" s="3"/>
      <c r="L57" s="3"/>
    </row>
    <row r="58" spans="1:12" x14ac:dyDescent="0.3">
      <c r="G58" s="5"/>
      <c r="H58" s="54"/>
    </row>
    <row r="59" spans="1:12" customFormat="1" ht="16.5" customHeight="1" x14ac:dyDescent="0.3">
      <c r="A59" s="3"/>
      <c r="C59" s="3"/>
      <c r="E59" s="3"/>
      <c r="F59" s="3"/>
      <c r="G59" s="5"/>
      <c r="H59" s="54"/>
      <c r="I59" s="3"/>
      <c r="J59" s="3"/>
      <c r="K59" s="3"/>
      <c r="L59" s="3"/>
    </row>
    <row r="60" spans="1:12" x14ac:dyDescent="0.3">
      <c r="G60" s="5"/>
      <c r="H60" s="54"/>
    </row>
    <row r="61" spans="1:12" customFormat="1" ht="16.5" customHeight="1" x14ac:dyDescent="0.3">
      <c r="A61" s="3"/>
      <c r="C61" s="3"/>
      <c r="E61" s="3"/>
      <c r="F61" s="3"/>
      <c r="G61" s="5"/>
      <c r="H61" s="54"/>
      <c r="I61" s="3"/>
      <c r="J61" s="3"/>
      <c r="K61" s="3"/>
      <c r="L61" s="3"/>
    </row>
    <row r="62" spans="1:12" x14ac:dyDescent="0.3">
      <c r="G62" s="5"/>
      <c r="H62" s="54"/>
    </row>
    <row r="63" spans="1:12" customFormat="1" ht="16.5" customHeight="1" x14ac:dyDescent="0.3">
      <c r="A63" s="3"/>
      <c r="C63" s="3"/>
      <c r="E63" s="3"/>
      <c r="F63" s="3"/>
      <c r="G63" s="5"/>
      <c r="H63" s="54"/>
      <c r="I63" s="3"/>
      <c r="J63" s="3"/>
      <c r="K63" s="3"/>
      <c r="L63" s="3"/>
    </row>
    <row r="64" spans="1:12" x14ac:dyDescent="0.3">
      <c r="G64" s="5"/>
      <c r="H64" s="54"/>
    </row>
    <row r="65" spans="1:12" customFormat="1" ht="16.5" customHeight="1" x14ac:dyDescent="0.3">
      <c r="A65" s="3"/>
      <c r="C65" s="3"/>
      <c r="E65" s="3"/>
      <c r="F65" s="3"/>
      <c r="G65" s="5"/>
      <c r="H65" s="54"/>
      <c r="I65" s="3"/>
      <c r="J65" s="3"/>
      <c r="K65" s="3"/>
      <c r="L65" s="3"/>
    </row>
    <row r="66" spans="1:12" x14ac:dyDescent="0.3">
      <c r="G66" s="5"/>
      <c r="H66" s="54"/>
    </row>
    <row r="67" spans="1:12" customFormat="1" ht="16.5" customHeight="1" x14ac:dyDescent="0.3">
      <c r="A67" s="3"/>
      <c r="C67" s="3"/>
      <c r="E67" s="3"/>
      <c r="F67" s="3"/>
      <c r="G67" s="5"/>
      <c r="H67" s="54"/>
      <c r="I67" s="3"/>
      <c r="J67" s="3"/>
      <c r="K67" s="3"/>
      <c r="L67" s="3"/>
    </row>
    <row r="68" spans="1:12" x14ac:dyDescent="0.3">
      <c r="G68" s="5"/>
      <c r="H68" s="54"/>
    </row>
    <row r="69" spans="1:12" customFormat="1" ht="16.5" customHeight="1" x14ac:dyDescent="0.3">
      <c r="A69" s="3"/>
      <c r="C69" s="3"/>
      <c r="E69" s="3"/>
      <c r="F69" s="3"/>
      <c r="G69" s="5"/>
      <c r="H69" s="54"/>
      <c r="I69" s="3"/>
      <c r="J69" s="3"/>
      <c r="K69" s="3"/>
      <c r="L69" s="3"/>
    </row>
    <row r="70" spans="1:12" x14ac:dyDescent="0.3">
      <c r="G70" s="5"/>
      <c r="H70" s="54"/>
    </row>
    <row r="71" spans="1:12" customFormat="1" ht="16.5" customHeight="1" x14ac:dyDescent="0.3">
      <c r="A71" s="3"/>
      <c r="C71" s="3"/>
      <c r="E71" s="3"/>
      <c r="F71" s="3"/>
      <c r="G71" s="5"/>
      <c r="H71" s="54"/>
      <c r="I71" s="3"/>
      <c r="J71" s="3"/>
      <c r="K71" s="3"/>
      <c r="L71" s="3"/>
    </row>
    <row r="72" spans="1:12" x14ac:dyDescent="0.3">
      <c r="G72" s="5"/>
      <c r="H72" s="54"/>
    </row>
    <row r="73" spans="1:12" customFormat="1" ht="16.5" customHeight="1" x14ac:dyDescent="0.3">
      <c r="A73" s="3"/>
      <c r="C73" s="3"/>
      <c r="E73" s="3"/>
      <c r="F73" s="3"/>
      <c r="G73" s="5"/>
      <c r="H73" s="54"/>
      <c r="I73" s="3"/>
      <c r="J73" s="3"/>
      <c r="K73" s="3"/>
      <c r="L73" s="3"/>
    </row>
    <row r="74" spans="1:12" x14ac:dyDescent="0.3">
      <c r="G74" s="5"/>
      <c r="H74" s="54"/>
    </row>
    <row r="75" spans="1:12" customFormat="1" ht="16.5" customHeight="1" x14ac:dyDescent="0.3">
      <c r="A75" s="3"/>
      <c r="C75" s="3"/>
      <c r="E75" s="3"/>
      <c r="F75" s="3"/>
      <c r="G75" s="5"/>
      <c r="H75" s="54"/>
      <c r="I75" s="3"/>
      <c r="J75" s="3"/>
      <c r="K75" s="3"/>
      <c r="L75" s="3"/>
    </row>
    <row r="76" spans="1:12" x14ac:dyDescent="0.3">
      <c r="G76" s="5"/>
      <c r="H76" s="54"/>
    </row>
    <row r="77" spans="1:12" customFormat="1" ht="16.5" customHeight="1" x14ac:dyDescent="0.3">
      <c r="A77" s="3"/>
      <c r="C77" s="3"/>
      <c r="E77" s="3"/>
      <c r="F77" s="3"/>
      <c r="G77" s="5"/>
      <c r="H77" s="54"/>
      <c r="I77" s="3"/>
      <c r="J77" s="3"/>
      <c r="K77" s="3"/>
      <c r="L77" s="3"/>
    </row>
    <row r="78" spans="1:12" x14ac:dyDescent="0.3">
      <c r="G78" s="5"/>
      <c r="H78" s="54"/>
    </row>
    <row r="79" spans="1:12" customFormat="1" ht="16.5" customHeight="1" x14ac:dyDescent="0.3">
      <c r="A79" s="3"/>
      <c r="C79" s="3"/>
      <c r="E79" s="3"/>
      <c r="F79" s="3"/>
      <c r="G79" s="5"/>
      <c r="H79" s="54"/>
      <c r="I79" s="3"/>
      <c r="J79" s="3"/>
      <c r="K79" s="3"/>
      <c r="L79" s="3"/>
    </row>
    <row r="80" spans="1:12" x14ac:dyDescent="0.3">
      <c r="G80" s="5"/>
      <c r="H80" s="54"/>
    </row>
    <row r="81" spans="1:12" customFormat="1" ht="16.5" customHeight="1" x14ac:dyDescent="0.3">
      <c r="A81" s="3"/>
      <c r="C81" s="3"/>
      <c r="E81" s="3"/>
      <c r="F81" s="3"/>
      <c r="G81" s="5"/>
      <c r="H81" s="54"/>
      <c r="I81" s="3"/>
      <c r="J81" s="3"/>
      <c r="K81" s="3"/>
      <c r="L81" s="3"/>
    </row>
    <row r="82" spans="1:12" x14ac:dyDescent="0.3">
      <c r="G82" s="5"/>
      <c r="H82" s="54"/>
    </row>
    <row r="83" spans="1:12" customFormat="1" ht="16.5" customHeight="1" x14ac:dyDescent="0.3">
      <c r="A83" s="3"/>
      <c r="C83" s="3"/>
      <c r="E83" s="3"/>
      <c r="F83" s="3"/>
      <c r="G83" s="5"/>
      <c r="H83" s="54"/>
      <c r="I83" s="3"/>
      <c r="J83" s="3"/>
      <c r="K83" s="3"/>
      <c r="L83" s="3"/>
    </row>
    <row r="84" spans="1:12" x14ac:dyDescent="0.3">
      <c r="G84" s="5"/>
      <c r="H84" s="54"/>
    </row>
    <row r="85" spans="1:12" customFormat="1" ht="16.5" customHeight="1" x14ac:dyDescent="0.3">
      <c r="A85" s="3"/>
      <c r="C85" s="3"/>
      <c r="E85" s="3"/>
      <c r="F85" s="3"/>
      <c r="G85" s="5"/>
      <c r="H85" s="54"/>
      <c r="I85" s="3"/>
      <c r="J85" s="3"/>
      <c r="K85" s="3"/>
      <c r="L85" s="3"/>
    </row>
    <row r="86" spans="1:12" x14ac:dyDescent="0.3">
      <c r="G86" s="5"/>
      <c r="H86" s="54"/>
    </row>
    <row r="87" spans="1:12" customFormat="1" ht="16.5" customHeight="1" x14ac:dyDescent="0.3">
      <c r="A87" s="3"/>
      <c r="C87" s="3"/>
      <c r="E87" s="3"/>
      <c r="F87" s="3"/>
      <c r="G87" s="5"/>
      <c r="H87" s="54"/>
      <c r="I87" s="3"/>
      <c r="J87" s="3"/>
      <c r="K87" s="3"/>
      <c r="L87" s="3"/>
    </row>
    <row r="88" spans="1:12" x14ac:dyDescent="0.3">
      <c r="G88" s="5"/>
      <c r="H88" s="54"/>
    </row>
    <row r="89" spans="1:12" customFormat="1" ht="16.5" customHeight="1" x14ac:dyDescent="0.3">
      <c r="A89" s="3"/>
      <c r="C89" s="3"/>
      <c r="E89" s="3"/>
      <c r="F89" s="3"/>
      <c r="G89" s="5"/>
      <c r="H89" s="54"/>
      <c r="I89" s="3"/>
      <c r="J89" s="3"/>
      <c r="K89" s="3"/>
      <c r="L89" s="3"/>
    </row>
    <row r="90" spans="1:12" x14ac:dyDescent="0.3">
      <c r="G90" s="5"/>
      <c r="H90" s="54"/>
    </row>
    <row r="91" spans="1:12" customFormat="1" ht="16.5" customHeight="1" x14ac:dyDescent="0.3">
      <c r="A91" s="3"/>
      <c r="C91" s="3"/>
      <c r="E91" s="3"/>
      <c r="F91" s="3"/>
      <c r="G91" s="5"/>
      <c r="H91" s="54"/>
      <c r="I91" s="3"/>
      <c r="J91" s="3"/>
      <c r="K91" s="3"/>
      <c r="L91" s="3"/>
    </row>
    <row r="92" spans="1:12" x14ac:dyDescent="0.3">
      <c r="G92" s="5"/>
      <c r="H92" s="54"/>
    </row>
    <row r="93" spans="1:12" customFormat="1" ht="16.5" customHeight="1" x14ac:dyDescent="0.3">
      <c r="A93" s="3"/>
      <c r="C93" s="3"/>
      <c r="E93" s="3"/>
      <c r="F93" s="3"/>
      <c r="G93" s="5"/>
      <c r="H93" s="54"/>
      <c r="I93" s="3"/>
      <c r="J93" s="3"/>
      <c r="K93" s="3"/>
      <c r="L93" s="3"/>
    </row>
    <row r="94" spans="1:12" x14ac:dyDescent="0.3">
      <c r="G94" s="5"/>
      <c r="H94" s="54"/>
    </row>
    <row r="95" spans="1:12" customFormat="1" ht="16.5" customHeight="1" x14ac:dyDescent="0.3">
      <c r="A95" s="3"/>
      <c r="C95" s="3"/>
      <c r="E95" s="3"/>
      <c r="F95" s="3"/>
      <c r="G95" s="5"/>
      <c r="H95" s="54"/>
      <c r="I95" s="3"/>
      <c r="J95" s="3"/>
      <c r="K95" s="3"/>
      <c r="L95" s="3"/>
    </row>
    <row r="96" spans="1:12" x14ac:dyDescent="0.3">
      <c r="G96" s="5"/>
      <c r="H96" s="54"/>
    </row>
    <row r="97" spans="7:8" x14ac:dyDescent="0.3">
      <c r="G97" s="5"/>
      <c r="H97" s="54"/>
    </row>
    <row r="98" spans="7:8" x14ac:dyDescent="0.3">
      <c r="G98" s="5"/>
      <c r="H98" s="54"/>
    </row>
    <row r="99" spans="7:8" x14ac:dyDescent="0.3">
      <c r="G99" s="5"/>
      <c r="H99" s="54"/>
    </row>
    <row r="100" spans="7:8" x14ac:dyDescent="0.3">
      <c r="G100" s="5"/>
      <c r="H100" s="54"/>
    </row>
    <row r="101" spans="7:8" x14ac:dyDescent="0.3">
      <c r="G101" s="5"/>
      <c r="H101" s="54"/>
    </row>
    <row r="102" spans="7:8" x14ac:dyDescent="0.3">
      <c r="G102" s="5"/>
      <c r="H102" s="54"/>
    </row>
    <row r="103" spans="7:8" x14ac:dyDescent="0.3">
      <c r="G103" s="5"/>
      <c r="H103" s="54"/>
    </row>
    <row r="104" spans="7:8" x14ac:dyDescent="0.3">
      <c r="G104" s="5"/>
      <c r="H104" s="54"/>
    </row>
    <row r="105" spans="7:8" x14ac:dyDescent="0.3">
      <c r="G105" s="5"/>
      <c r="H105" s="54"/>
    </row>
  </sheetData>
  <dataValidations disablePrompts="1" count="2">
    <dataValidation type="list" showInputMessage="1" showErrorMessage="1" sqref="A2:A12" xr:uid="{00000000-0002-0000-0500-000000000000}">
      <formula1>"A,U"</formula1>
    </dataValidation>
    <dataValidation type="list" allowBlank="1" showInputMessage="1" showErrorMessage="1" promptTitle="dfadf" sqref="F2:F329" xr:uid="{00000000-0002-0000-0500-000001000000}">
      <formula1>INDIRECT("Format[Tipo de tarea]")</formula1>
    </dataValidation>
  </dataValidations>
  <pageMargins left="0.7" right="0.7" top="0.75" bottom="0.75" header="0.3" footer="0.3"/>
  <pageSetup paperSize="9"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P710"/>
  <sheetViews>
    <sheetView topLeftCell="H1" zoomScale="85" zoomScaleNormal="85" zoomScalePageLayoutView="85" workbookViewId="0">
      <pane ySplit="1" topLeftCell="A2" activePane="bottomLeft" state="frozen"/>
      <selection pane="bottomLeft" activeCell="Q1" sqref="Q1"/>
    </sheetView>
  </sheetViews>
  <sheetFormatPr baseColWidth="10" defaultColWidth="11.44140625" defaultRowHeight="15" thickBottom="1" outlineLevelCol="1" x14ac:dyDescent="0.35"/>
  <cols>
    <col min="1" max="1" width="12.77734375" hidden="1" customWidth="1"/>
    <col min="2" max="2" width="22.44140625" customWidth="1"/>
    <col min="3" max="3" width="22.44140625" hidden="1" customWidth="1"/>
    <col min="4" max="4" width="22.44140625" customWidth="1"/>
    <col min="5" max="5" width="22.44140625" customWidth="1" outlineLevel="1"/>
    <col min="6" max="8" width="22.44140625" customWidth="1"/>
    <col min="9" max="9" width="22.44140625" style="18" customWidth="1"/>
    <col min="10" max="11" width="13.44140625" customWidth="1"/>
    <col min="12" max="12" width="17.44140625" customWidth="1"/>
    <col min="13" max="13" width="11.77734375" customWidth="1"/>
    <col min="14" max="14" width="16.77734375" customWidth="1"/>
    <col min="15" max="15" width="31.21875" customWidth="1"/>
    <col min="16" max="16" width="14.44140625" style="53" bestFit="1" customWidth="1"/>
    <col min="17" max="17" width="12.33203125" bestFit="1" customWidth="1"/>
    <col min="18" max="18" width="14.44140625" bestFit="1" customWidth="1"/>
    <col min="19" max="19" width="12.33203125" bestFit="1" customWidth="1"/>
    <col min="20" max="20" width="14.44140625" bestFit="1" customWidth="1"/>
    <col min="24" max="24" width="20.33203125" customWidth="1"/>
    <col min="29" max="29" width="13.44140625" customWidth="1"/>
    <col min="31" max="31" width="11.77734375" bestFit="1" customWidth="1"/>
    <col min="53" max="53" width="14.44140625" bestFit="1" customWidth="1"/>
  </cols>
  <sheetData>
    <row r="1" spans="1:16" ht="15" customHeight="1" thickBot="1" x14ac:dyDescent="0.35">
      <c r="A1" t="s">
        <v>1463</v>
      </c>
      <c r="B1" t="s">
        <v>1429</v>
      </c>
      <c r="C1" t="s">
        <v>1462</v>
      </c>
      <c r="D1" t="s">
        <v>708</v>
      </c>
      <c r="E1" t="s">
        <v>1426</v>
      </c>
      <c r="F1" t="s">
        <v>23</v>
      </c>
      <c r="G1" t="s">
        <v>24</v>
      </c>
      <c r="H1" t="s">
        <v>38</v>
      </c>
      <c r="I1" s="18" t="s">
        <v>6</v>
      </c>
      <c r="J1" t="s">
        <v>1457</v>
      </c>
      <c r="K1" t="s">
        <v>2215</v>
      </c>
      <c r="L1" t="s">
        <v>725</v>
      </c>
      <c r="M1" t="s">
        <v>741</v>
      </c>
      <c r="N1" t="s">
        <v>74</v>
      </c>
      <c r="O1" t="s">
        <v>1464</v>
      </c>
      <c r="P1" s="53" t="s">
        <v>2218</v>
      </c>
    </row>
    <row r="2" spans="1:16" ht="19.5" customHeight="1" x14ac:dyDescent="0.3">
      <c r="A2" s="1">
        <f ca="1">INDEX(Unidades[],MATCH(Leccion[[#This Row],[Sección]],Unidades[selectorSeccion],0),2)</f>
        <v>1</v>
      </c>
      <c r="B2" t="s">
        <v>2331</v>
      </c>
      <c r="C2" s="1">
        <f ca="1">INDEX(Unidades[],MATCH(Leccion[[#This Row],[SubSección]],Unidades[selectorSubSeccion],0),4)</f>
        <v>1</v>
      </c>
      <c r="D2" t="s">
        <v>2332</v>
      </c>
      <c r="E2">
        <f t="shared" ref="E2:E4" ca="1" si="0">IFERROR((IF(AND(A1=A2,C1=C2),E1+1,1)),"")</f>
        <v>1</v>
      </c>
      <c r="F2" t="s">
        <v>2323</v>
      </c>
      <c r="G2" s="55" t="s">
        <v>2344</v>
      </c>
      <c r="H2" s="55" t="s">
        <v>2346</v>
      </c>
      <c r="I2"/>
      <c r="J2" s="64"/>
      <c r="O2" t="str">
        <f t="shared" ref="O2:O14" ca="1" si="1">CONCATENATE(INDIRECT("Leccion[idSeccion]"),":",INDIRECT("Leccion[idSubSeccion]"),":",INDIRECT("Leccion[Lección]"),":",INDIRECT("Leccion[Titulo]"))</f>
        <v>1:1:1:test de conocimiento</v>
      </c>
      <c r="P2" s="64">
        <v>1</v>
      </c>
    </row>
    <row r="3" spans="1:16" s="64" customFormat="1" ht="21.75" customHeight="1" thickBot="1" x14ac:dyDescent="0.35">
      <c r="A3" s="1">
        <f ca="1">INDEX(Unidades[],MATCH(Leccion[[#This Row],[Sección]],Unidades[selectorSeccion],0),2)</f>
        <v>2</v>
      </c>
      <c r="B3" s="64" t="s">
        <v>2355</v>
      </c>
      <c r="C3" s="63">
        <f ca="1">INDEX(Unidades[],MATCH(Leccion[[#This Row],[SubSección]],Unidades[selectorSubSeccion],0),4)</f>
        <v>1</v>
      </c>
      <c r="D3" s="64" t="s">
        <v>2356</v>
      </c>
      <c r="E3" s="64">
        <f t="shared" ca="1" si="0"/>
        <v>1</v>
      </c>
      <c r="F3" s="64" t="s">
        <v>2333</v>
      </c>
      <c r="H3" s="55" t="s">
        <v>2347</v>
      </c>
      <c r="I3" s="65" t="s">
        <v>2352</v>
      </c>
      <c r="J3" s="64" t="s">
        <v>2195</v>
      </c>
      <c r="L3" s="64" t="s">
        <v>2351</v>
      </c>
      <c r="M3" s="64">
        <v>1</v>
      </c>
      <c r="O3" t="str">
        <f t="shared" ca="1" si="1"/>
        <v>2:1:1:Esta es la introducción</v>
      </c>
      <c r="P3" s="66"/>
    </row>
    <row r="4" spans="1:16" s="64" customFormat="1" ht="21.75" customHeight="1" thickBot="1" x14ac:dyDescent="0.35">
      <c r="A4" s="63">
        <f ca="1">INDEX(Unidades[],MATCH(Leccion[[#This Row],[Sección]],Unidades[selectorSeccion],0),2)</f>
        <v>2</v>
      </c>
      <c r="B4" s="64" t="s">
        <v>2355</v>
      </c>
      <c r="C4" s="63">
        <f ca="1">INDEX(Unidades[],MATCH(Leccion[[#This Row],[SubSección]],Unidades[selectorSubSeccion],0),4)</f>
        <v>2</v>
      </c>
      <c r="D4" s="64" t="s">
        <v>2360</v>
      </c>
      <c r="E4" s="64">
        <f t="shared" ca="1" si="0"/>
        <v>1</v>
      </c>
      <c r="F4" s="64" t="s">
        <v>2334</v>
      </c>
      <c r="H4" s="55" t="s">
        <v>2348</v>
      </c>
      <c r="I4" s="65" t="s">
        <v>2353</v>
      </c>
      <c r="J4"/>
      <c r="M4" s="64">
        <v>1</v>
      </c>
      <c r="O4" t="str">
        <f t="shared" ca="1" si="1"/>
        <v>2:2:1:Esta es la primera lección</v>
      </c>
      <c r="P4" s="66"/>
    </row>
    <row r="5" spans="1:16" s="64" customFormat="1" ht="21.75" customHeight="1" thickBot="1" x14ac:dyDescent="0.35">
      <c r="A5" s="63">
        <f ca="1">INDEX(Unidades[],MATCH(Leccion[[#This Row],[Sección]],Unidades[selectorSeccion],0),2)</f>
        <v>2</v>
      </c>
      <c r="B5" s="64" t="s">
        <v>2355</v>
      </c>
      <c r="C5" s="63">
        <f ca="1">INDEX(Unidades[],MATCH(Leccion[[#This Row],[SubSección]],Unidades[selectorSubSeccion],0),4)</f>
        <v>2</v>
      </c>
      <c r="D5" s="64" t="s">
        <v>2360</v>
      </c>
      <c r="E5" s="64">
        <f t="shared" ref="E5:E14" ca="1" si="2">IFERROR((IF(AND(A4=A5,C4=C5),E4+1,1)),"")</f>
        <v>2</v>
      </c>
      <c r="F5" s="64" t="s">
        <v>2335</v>
      </c>
      <c r="H5" s="55" t="s">
        <v>2349</v>
      </c>
      <c r="I5" s="65"/>
      <c r="J5" t="s">
        <v>1596</v>
      </c>
      <c r="M5" s="64">
        <v>1</v>
      </c>
      <c r="O5" t="str">
        <f t="shared" ca="1" si="1"/>
        <v>2:2:2:Esta es la segunda lección</v>
      </c>
      <c r="P5" s="66"/>
    </row>
    <row r="6" spans="1:16" s="64" customFormat="1" ht="21.75" customHeight="1" thickBot="1" x14ac:dyDescent="0.35">
      <c r="A6" s="63">
        <f ca="1">INDEX(Unidades[],MATCH(Leccion[[#This Row],[Sección]],Unidades[selectorSeccion],0),2)</f>
        <v>2</v>
      </c>
      <c r="B6" s="64" t="s">
        <v>2355</v>
      </c>
      <c r="C6" s="63">
        <f ca="1">INDEX(Unidades[],MATCH(Leccion[[#This Row],[SubSección]],Unidades[selectorSubSeccion],0),4)</f>
        <v>3</v>
      </c>
      <c r="D6" s="64" t="s">
        <v>2361</v>
      </c>
      <c r="E6" s="64">
        <f t="shared" ca="1" si="2"/>
        <v>1</v>
      </c>
      <c r="F6" s="64" t="s">
        <v>2336</v>
      </c>
      <c r="I6" s="65"/>
      <c r="J6" t="s">
        <v>1598</v>
      </c>
      <c r="M6" s="64">
        <v>1</v>
      </c>
      <c r="O6" t="str">
        <f t="shared" ca="1" si="1"/>
        <v>2:3:1:Lección sobre la importancia de la materia</v>
      </c>
      <c r="P6" s="66"/>
    </row>
    <row r="7" spans="1:16" s="64" customFormat="1" ht="21.75" customHeight="1" thickBot="1" x14ac:dyDescent="0.35">
      <c r="A7" s="63">
        <f ca="1">INDEX(Unidades[],MATCH(Leccion[[#This Row],[Sección]],Unidades[selectorSeccion],0),2)</f>
        <v>2</v>
      </c>
      <c r="B7" s="64" t="s">
        <v>2355</v>
      </c>
      <c r="C7" s="63">
        <f ca="1">INDEX(Unidades[],MATCH(Leccion[[#This Row],[SubSección]],Unidades[selectorSubSeccion],0),4)</f>
        <v>4</v>
      </c>
      <c r="D7" s="64" t="s">
        <v>2362</v>
      </c>
      <c r="E7" s="64">
        <f t="shared" ca="1" si="2"/>
        <v>1</v>
      </c>
      <c r="F7" s="64" t="s">
        <v>2337</v>
      </c>
      <c r="I7" s="65" t="s">
        <v>2354</v>
      </c>
      <c r="J7" s="67"/>
      <c r="M7" s="64">
        <v>1</v>
      </c>
      <c r="O7" t="str">
        <f t="shared" ca="1" si="1"/>
        <v>2:4:1:Primera lección de la sección más datos</v>
      </c>
      <c r="P7" s="66"/>
    </row>
    <row r="8" spans="1:16" s="64" customFormat="1" ht="21.75" customHeight="1" thickBot="1" x14ac:dyDescent="0.35">
      <c r="A8" s="63">
        <f ca="1">INDEX(Unidades[],MATCH(Leccion[[#This Row],[Sección]],Unidades[selectorSeccion],0),2)</f>
        <v>2</v>
      </c>
      <c r="B8" s="64" t="s">
        <v>2355</v>
      </c>
      <c r="C8" s="63">
        <f ca="1">INDEX(Unidades[],MATCH(Leccion[[#This Row],[SubSección]],Unidades[selectorSubSeccion],0),4)</f>
        <v>4</v>
      </c>
      <c r="D8" s="64" t="s">
        <v>2362</v>
      </c>
      <c r="E8" s="64">
        <f t="shared" ca="1" si="2"/>
        <v>2</v>
      </c>
      <c r="F8" s="64" t="s">
        <v>2338</v>
      </c>
      <c r="I8" s="65"/>
      <c r="J8" t="s">
        <v>1607</v>
      </c>
      <c r="M8" s="64">
        <v>1</v>
      </c>
      <c r="O8" t="str">
        <f t="shared" ca="1" si="1"/>
        <v>2:4:2:Segunda lección de la sección más datos</v>
      </c>
      <c r="P8" s="66"/>
    </row>
    <row r="9" spans="1:16" s="64" customFormat="1" ht="21.75" customHeight="1" thickBot="1" x14ac:dyDescent="0.35">
      <c r="A9" s="63">
        <f ca="1">INDEX(Unidades[],MATCH(Leccion[[#This Row],[Sección]],Unidades[selectorSeccion],0),2)</f>
        <v>2</v>
      </c>
      <c r="B9" s="64" t="s">
        <v>2355</v>
      </c>
      <c r="C9" s="63">
        <f ca="1">INDEX(Unidades[],MATCH(Leccion[[#This Row],[SubSección]],Unidades[selectorSubSeccion],0),4)</f>
        <v>5</v>
      </c>
      <c r="D9" s="64" t="s">
        <v>2363</v>
      </c>
      <c r="E9" s="64">
        <f t="shared" ca="1" si="2"/>
        <v>1</v>
      </c>
      <c r="F9" s="64" t="s">
        <v>2339</v>
      </c>
      <c r="H9" s="55" t="s">
        <v>2350</v>
      </c>
      <c r="I9" s="65"/>
      <c r="J9" s="67"/>
      <c r="O9" t="str">
        <f t="shared" ca="1" si="1"/>
        <v>2:5:1:Examen del módulo 1</v>
      </c>
      <c r="P9" s="66"/>
    </row>
    <row r="10" spans="1:16" s="64" customFormat="1" ht="21.75" customHeight="1" thickBot="1" x14ac:dyDescent="0.35">
      <c r="A10" s="63">
        <f ca="1">INDEX(Unidades[],MATCH(Leccion[[#This Row],[Sección]],Unidades[selectorSeccion],0),2)</f>
        <v>3</v>
      </c>
      <c r="B10" s="64" t="s">
        <v>2357</v>
      </c>
      <c r="C10" s="63">
        <f ca="1">INDEX(Unidades[],MATCH(Leccion[[#This Row],[SubSección]],Unidades[selectorSubSeccion],0),4)</f>
        <v>1</v>
      </c>
      <c r="D10" s="64" t="s">
        <v>2364</v>
      </c>
      <c r="E10" s="64">
        <f t="shared" ca="1" si="2"/>
        <v>1</v>
      </c>
      <c r="F10" s="64" t="s">
        <v>2340</v>
      </c>
      <c r="I10" s="65"/>
      <c r="J10" t="s">
        <v>1630</v>
      </c>
      <c r="M10" s="64">
        <v>1</v>
      </c>
      <c r="O10" t="str">
        <f t="shared" ca="1" si="1"/>
        <v>3:1:1:Lección de introducción al módulo 2</v>
      </c>
      <c r="P10" s="66"/>
    </row>
    <row r="11" spans="1:16" s="64" customFormat="1" ht="21.75" customHeight="1" thickBot="1" x14ac:dyDescent="0.35">
      <c r="A11" s="63">
        <f ca="1">INDEX(Unidades[],MATCH(Leccion[[#This Row],[Sección]],Unidades[selectorSeccion],0),2)</f>
        <v>3</v>
      </c>
      <c r="B11" s="64" t="s">
        <v>2357</v>
      </c>
      <c r="C11" s="63">
        <f ca="1">INDEX(Unidades[],MATCH(Leccion[[#This Row],[SubSección]],Unidades[selectorSubSeccion],0),4)</f>
        <v>2</v>
      </c>
      <c r="D11" s="64" t="s">
        <v>2365</v>
      </c>
      <c r="E11" s="64">
        <f t="shared" ca="1" si="2"/>
        <v>1</v>
      </c>
      <c r="F11" s="64" t="s">
        <v>2341</v>
      </c>
      <c r="I11" s="65"/>
      <c r="J11" t="s">
        <v>1631</v>
      </c>
      <c r="M11" s="64">
        <v>1</v>
      </c>
      <c r="O11" t="str">
        <f t="shared" ca="1" si="1"/>
        <v>3:2:1:Lección sobre temas relacionados</v>
      </c>
      <c r="P11" s="66"/>
    </row>
    <row r="12" spans="1:16" s="64" customFormat="1" ht="21.75" customHeight="1" thickBot="1" x14ac:dyDescent="0.35">
      <c r="A12" s="63">
        <f ca="1">INDEX(Unidades[],MATCH(Leccion[[#This Row],[Sección]],Unidades[selectorSeccion],0),2)</f>
        <v>3</v>
      </c>
      <c r="B12" s="64" t="s">
        <v>2357</v>
      </c>
      <c r="C12" s="63">
        <f ca="1">INDEX(Unidades[],MATCH(Leccion[[#This Row],[SubSección]],Unidades[selectorSubSeccion],0),4)</f>
        <v>3</v>
      </c>
      <c r="D12" s="64" t="s">
        <v>2366</v>
      </c>
      <c r="E12" s="64">
        <f t="shared" ca="1" si="2"/>
        <v>1</v>
      </c>
      <c r="F12" s="64" t="s">
        <v>2342</v>
      </c>
      <c r="I12" s="65"/>
      <c r="J12" t="s">
        <v>1633</v>
      </c>
      <c r="M12" s="64">
        <v>1</v>
      </c>
      <c r="O12" t="str">
        <f t="shared" ca="1" si="1"/>
        <v>3:3:1:Lección sobre las ecuaciones fundamentales</v>
      </c>
      <c r="P12" s="66"/>
    </row>
    <row r="13" spans="1:16" s="64" customFormat="1" ht="21.75" customHeight="1" thickBot="1" x14ac:dyDescent="0.35">
      <c r="A13" s="63">
        <f ca="1">INDEX(Unidades[],MATCH(Leccion[[#This Row],[Sección]],Unidades[selectorSeccion],0),2)</f>
        <v>3</v>
      </c>
      <c r="B13" s="64" t="s">
        <v>2357</v>
      </c>
      <c r="C13" s="63">
        <f ca="1">INDEX(Unidades[],MATCH(Leccion[[#This Row],[SubSección]],Unidades[selectorSubSeccion],0),4)</f>
        <v>4</v>
      </c>
      <c r="D13" s="64" t="s">
        <v>2367</v>
      </c>
      <c r="E13" s="64">
        <f t="shared" ca="1" si="2"/>
        <v>1</v>
      </c>
      <c r="F13" s="64" t="s">
        <v>2343</v>
      </c>
      <c r="I13" s="65"/>
      <c r="J13" s="67"/>
      <c r="O13" t="str">
        <f t="shared" ca="1" si="1"/>
        <v>3:4:1:Examen del módulo 2</v>
      </c>
      <c r="P13" s="66"/>
    </row>
    <row r="14" spans="1:16" s="64" customFormat="1" ht="21.75" customHeight="1" thickBot="1" x14ac:dyDescent="0.35">
      <c r="A14" s="63">
        <f ca="1">INDEX(Unidades[],MATCH(Leccion[[#This Row],[Sección]],Unidades[selectorSeccion],0),2)</f>
        <v>4</v>
      </c>
      <c r="B14" s="64" t="s">
        <v>2358</v>
      </c>
      <c r="C14" s="63">
        <f ca="1">INDEX(Unidades[],MATCH(Leccion[[#This Row],[SubSección]],Unidades[selectorSubSeccion],0),4)</f>
        <v>1</v>
      </c>
      <c r="D14" s="64" t="s">
        <v>2359</v>
      </c>
      <c r="E14" s="64">
        <f t="shared" ca="1" si="2"/>
        <v>1</v>
      </c>
      <c r="F14" s="64" t="s">
        <v>2322</v>
      </c>
      <c r="I14" s="65"/>
      <c r="K14" s="67"/>
      <c r="O14" t="str">
        <f t="shared" ca="1" si="1"/>
        <v>4:1:1:Examen final</v>
      </c>
      <c r="P14" s="66"/>
    </row>
    <row r="15" spans="1:16" s="64" customFormat="1" ht="21.75" customHeight="1" thickBot="1" x14ac:dyDescent="0.35">
      <c r="A15" s="63"/>
      <c r="C15" s="63"/>
      <c r="I15" s="65"/>
      <c r="P15" s="66"/>
    </row>
    <row r="16" spans="1:16" s="64" customFormat="1" ht="21.75" customHeight="1" thickBot="1" x14ac:dyDescent="0.35">
      <c r="A16" s="63"/>
      <c r="C16" s="63"/>
      <c r="I16" s="65"/>
      <c r="J16" s="67"/>
      <c r="K16" s="67"/>
      <c r="P16" s="66"/>
    </row>
    <row r="17" spans="1:16" s="64" customFormat="1" ht="21.75" customHeight="1" thickBot="1" x14ac:dyDescent="0.35">
      <c r="A17" s="63"/>
      <c r="C17" s="63"/>
      <c r="I17" s="65"/>
      <c r="P17" s="66"/>
    </row>
    <row r="18" spans="1:16" s="64" customFormat="1" ht="21.75" customHeight="1" thickBot="1" x14ac:dyDescent="0.35">
      <c r="A18" s="63"/>
      <c r="C18" s="63"/>
      <c r="I18" s="65"/>
      <c r="J18" s="67"/>
      <c r="K18" s="67"/>
      <c r="P18" s="66"/>
    </row>
    <row r="19" spans="1:16" s="64" customFormat="1" ht="21.75" customHeight="1" thickBot="1" x14ac:dyDescent="0.35">
      <c r="A19" s="63"/>
      <c r="C19" s="63"/>
      <c r="I19" s="65"/>
      <c r="P19" s="66"/>
    </row>
    <row r="20" spans="1:16" s="64" customFormat="1" ht="21.75" customHeight="1" thickBot="1" x14ac:dyDescent="0.35">
      <c r="A20" s="63"/>
      <c r="C20" s="63"/>
      <c r="I20" s="65"/>
      <c r="J20" s="67"/>
      <c r="K20" s="67"/>
      <c r="P20" s="66"/>
    </row>
    <row r="21" spans="1:16" s="64" customFormat="1" ht="21.75" customHeight="1" thickBot="1" x14ac:dyDescent="0.35">
      <c r="A21" s="63"/>
      <c r="C21" s="63"/>
      <c r="I21" s="65"/>
      <c r="P21" s="66"/>
    </row>
    <row r="22" spans="1:16" s="64" customFormat="1" ht="21.75" customHeight="1" thickBot="1" x14ac:dyDescent="0.35">
      <c r="A22" s="63"/>
      <c r="C22" s="63"/>
      <c r="I22" s="65"/>
      <c r="J22" s="67"/>
      <c r="K22" s="67"/>
      <c r="P22" s="66"/>
    </row>
    <row r="23" spans="1:16" s="64" customFormat="1" ht="21.75" customHeight="1" thickBot="1" x14ac:dyDescent="0.35">
      <c r="A23" s="63"/>
      <c r="C23" s="63"/>
      <c r="I23" s="65"/>
      <c r="P23" s="66"/>
    </row>
    <row r="24" spans="1:16" s="64" customFormat="1" ht="21.75" customHeight="1" thickBot="1" x14ac:dyDescent="0.35">
      <c r="A24" s="63"/>
      <c r="C24" s="63"/>
      <c r="I24" s="65"/>
      <c r="J24" s="67"/>
      <c r="K24" s="67"/>
      <c r="P24" s="66"/>
    </row>
    <row r="25" spans="1:16" s="64" customFormat="1" ht="21.75" customHeight="1" thickBot="1" x14ac:dyDescent="0.35">
      <c r="A25" s="63"/>
      <c r="C25" s="63"/>
      <c r="I25" s="65"/>
      <c r="P25" s="66"/>
    </row>
    <row r="26" spans="1:16" s="64" customFormat="1" ht="21.75" customHeight="1" thickBot="1" x14ac:dyDescent="0.35">
      <c r="A26" s="63"/>
      <c r="C26" s="63"/>
      <c r="I26" s="65"/>
      <c r="J26" s="67"/>
      <c r="K26" s="67"/>
      <c r="P26" s="66"/>
    </row>
    <row r="27" spans="1:16" s="64" customFormat="1" ht="21.75" customHeight="1" thickBot="1" x14ac:dyDescent="0.35">
      <c r="A27" s="63"/>
      <c r="C27" s="63"/>
      <c r="I27" s="65"/>
      <c r="P27" s="66"/>
    </row>
    <row r="28" spans="1:16" s="61" customFormat="1" ht="21.75" customHeight="1" thickBot="1" x14ac:dyDescent="0.35">
      <c r="A28" s="63"/>
      <c r="B28" s="64"/>
      <c r="C28" s="63"/>
      <c r="D28" s="64"/>
      <c r="E28" s="64"/>
      <c r="F28" s="64"/>
      <c r="G28" s="64"/>
      <c r="H28" s="64"/>
      <c r="I28" s="65"/>
      <c r="J28" s="67"/>
      <c r="K28" s="67"/>
      <c r="L28" s="64"/>
      <c r="M28" s="64"/>
      <c r="N28" s="64"/>
      <c r="O28" s="64"/>
      <c r="P28" s="66"/>
    </row>
    <row r="29" spans="1:16" s="64" customFormat="1" ht="21.75" customHeight="1" thickBot="1" x14ac:dyDescent="0.35">
      <c r="A29" s="63"/>
      <c r="C29" s="63"/>
      <c r="I29" s="65"/>
      <c r="P29" s="66"/>
    </row>
    <row r="30" spans="1:16" s="64" customFormat="1" ht="21.75" customHeight="1" thickBot="1" x14ac:dyDescent="0.35">
      <c r="A30" s="63"/>
      <c r="C30" s="63"/>
      <c r="I30" s="65"/>
      <c r="J30" s="67"/>
      <c r="K30" s="67"/>
      <c r="P30" s="66"/>
    </row>
    <row r="31" spans="1:16" s="64" customFormat="1" ht="21.75" customHeight="1" thickBot="1" x14ac:dyDescent="0.35">
      <c r="A31" s="63"/>
      <c r="C31" s="63"/>
      <c r="I31" s="65"/>
      <c r="P31" s="66"/>
    </row>
    <row r="32" spans="1:16" s="64" customFormat="1" ht="21.75" customHeight="1" thickBot="1" x14ac:dyDescent="0.35">
      <c r="A32" s="63"/>
      <c r="C32" s="63"/>
      <c r="I32" s="65"/>
      <c r="J32" s="67"/>
      <c r="K32" s="67"/>
      <c r="P32" s="66"/>
    </row>
    <row r="33" spans="1:16" s="64" customFormat="1" ht="21.75" customHeight="1" thickBot="1" x14ac:dyDescent="0.35">
      <c r="A33" s="63"/>
      <c r="C33" s="63"/>
      <c r="I33" s="65"/>
      <c r="P33" s="66"/>
    </row>
    <row r="34" spans="1:16" s="64" customFormat="1" ht="21.75" customHeight="1" thickBot="1" x14ac:dyDescent="0.35">
      <c r="A34" s="63"/>
      <c r="C34" s="63"/>
      <c r="I34" s="65"/>
      <c r="J34" s="67"/>
      <c r="K34" s="67"/>
      <c r="P34" s="66"/>
    </row>
    <row r="35" spans="1:16" s="64" customFormat="1" ht="21.75" customHeight="1" thickBot="1" x14ac:dyDescent="0.35">
      <c r="A35" s="63"/>
      <c r="C35" s="63"/>
      <c r="I35" s="65"/>
      <c r="P35" s="66"/>
    </row>
    <row r="36" spans="1:16" s="64" customFormat="1" ht="21.75" customHeight="1" thickBot="1" x14ac:dyDescent="0.35">
      <c r="A36" s="63"/>
      <c r="C36" s="63"/>
      <c r="I36" s="65"/>
      <c r="J36" s="67"/>
      <c r="K36" s="67"/>
      <c r="P36" s="66"/>
    </row>
    <row r="37" spans="1:16" s="64" customFormat="1" ht="21.75" customHeight="1" thickBot="1" x14ac:dyDescent="0.35">
      <c r="A37" s="63"/>
      <c r="C37" s="63"/>
      <c r="I37" s="65"/>
      <c r="P37" s="66"/>
    </row>
    <row r="38" spans="1:16" s="64" customFormat="1" ht="21.75" customHeight="1" thickBot="1" x14ac:dyDescent="0.35">
      <c r="A38" s="60"/>
      <c r="B38" s="61"/>
      <c r="C38" s="60"/>
      <c r="D38" s="61"/>
      <c r="E38" s="61"/>
      <c r="F38" s="61"/>
      <c r="G38" s="61"/>
      <c r="H38" s="61"/>
      <c r="I38" s="68"/>
      <c r="J38" s="69"/>
      <c r="K38" s="69"/>
      <c r="L38" s="61"/>
      <c r="M38" s="61"/>
      <c r="N38" s="61"/>
      <c r="O38" s="61"/>
      <c r="P38" s="62"/>
    </row>
    <row r="39" spans="1:16" s="64" customFormat="1" ht="21.75" customHeight="1" thickBot="1" x14ac:dyDescent="0.35">
      <c r="A39" s="63"/>
      <c r="C39" s="63"/>
      <c r="I39" s="65"/>
      <c r="P39" s="66"/>
    </row>
    <row r="40" spans="1:16" s="64" customFormat="1" ht="21.75" customHeight="1" thickBot="1" x14ac:dyDescent="0.35">
      <c r="A40" s="63"/>
      <c r="C40" s="63"/>
      <c r="I40" s="65"/>
      <c r="J40" s="67"/>
      <c r="K40" s="67"/>
      <c r="P40" s="66"/>
    </row>
    <row r="41" spans="1:16" s="64" customFormat="1" ht="21.75" customHeight="1" thickBot="1" x14ac:dyDescent="0.35">
      <c r="A41" s="63"/>
      <c r="C41" s="63"/>
      <c r="I41" s="65"/>
      <c r="P41" s="66"/>
    </row>
    <row r="42" spans="1:16" s="64" customFormat="1" ht="21.75" customHeight="1" thickBot="1" x14ac:dyDescent="0.35">
      <c r="A42" s="63"/>
      <c r="C42" s="63"/>
      <c r="I42" s="65"/>
      <c r="J42" s="67"/>
      <c r="K42" s="67"/>
      <c r="P42" s="66"/>
    </row>
    <row r="43" spans="1:16" s="64" customFormat="1" ht="21.75" customHeight="1" thickBot="1" x14ac:dyDescent="0.35">
      <c r="A43" s="63"/>
      <c r="C43" s="63"/>
      <c r="I43" s="65"/>
      <c r="P43" s="66"/>
    </row>
    <row r="44" spans="1:16" s="64" customFormat="1" ht="21.75" customHeight="1" thickBot="1" x14ac:dyDescent="0.35">
      <c r="A44" s="63"/>
      <c r="C44" s="63"/>
      <c r="I44" s="65"/>
      <c r="J44" s="67"/>
      <c r="K44" s="67"/>
      <c r="P44" s="66"/>
    </row>
    <row r="45" spans="1:16" s="64" customFormat="1" ht="21.75" customHeight="1" thickBot="1" x14ac:dyDescent="0.35">
      <c r="A45" s="63"/>
      <c r="C45" s="63"/>
      <c r="I45" s="65"/>
      <c r="P45" s="66"/>
    </row>
    <row r="46" spans="1:16" s="64" customFormat="1" ht="21.75" customHeight="1" thickBot="1" x14ac:dyDescent="0.35">
      <c r="A46" s="63"/>
      <c r="C46" s="63"/>
      <c r="I46" s="65"/>
      <c r="J46" s="67"/>
      <c r="K46" s="67"/>
      <c r="P46" s="66"/>
    </row>
    <row r="47" spans="1:16" s="64" customFormat="1" ht="21.75" customHeight="1" thickBot="1" x14ac:dyDescent="0.35">
      <c r="A47" s="63"/>
      <c r="C47" s="63"/>
      <c r="I47" s="65"/>
      <c r="P47" s="66"/>
    </row>
    <row r="48" spans="1:16" s="64" customFormat="1" ht="21.75" customHeight="1" thickBot="1" x14ac:dyDescent="0.35">
      <c r="A48" s="63"/>
      <c r="C48" s="63"/>
      <c r="I48" s="65"/>
      <c r="J48" s="67"/>
      <c r="K48" s="67"/>
      <c r="P48" s="66"/>
    </row>
    <row r="49" spans="1:16" s="64" customFormat="1" ht="21.75" customHeight="1" thickBot="1" x14ac:dyDescent="0.35">
      <c r="A49" s="63"/>
      <c r="C49" s="63"/>
      <c r="I49" s="65"/>
      <c r="J49" s="70"/>
      <c r="K49" s="70"/>
      <c r="P49" s="66"/>
    </row>
    <row r="50" spans="1:16" s="64" customFormat="1" ht="21.75" customHeight="1" thickBot="1" x14ac:dyDescent="0.35">
      <c r="A50" s="63"/>
      <c r="C50" s="63"/>
      <c r="I50" s="65"/>
      <c r="J50" s="67"/>
      <c r="K50" s="67"/>
      <c r="P50" s="66"/>
    </row>
    <row r="51" spans="1:16" s="64" customFormat="1" ht="21.75" customHeight="1" thickBot="1" x14ac:dyDescent="0.35">
      <c r="A51" s="63"/>
      <c r="C51" s="63"/>
      <c r="I51" s="65"/>
      <c r="P51" s="66"/>
    </row>
    <row r="52" spans="1:16" s="64" customFormat="1" ht="21.75" customHeight="1" thickBot="1" x14ac:dyDescent="0.35">
      <c r="A52" s="63"/>
      <c r="C52" s="63"/>
      <c r="F52" s="74"/>
      <c r="I52" s="65"/>
      <c r="P52" s="66"/>
    </row>
    <row r="53" spans="1:16" s="64" customFormat="1" ht="21.75" customHeight="1" thickBot="1" x14ac:dyDescent="0.35">
      <c r="A53" s="63"/>
      <c r="C53" s="63"/>
      <c r="F53" s="74"/>
      <c r="I53" s="65"/>
      <c r="J53" s="2"/>
      <c r="K53" s="2"/>
      <c r="P53" s="66"/>
    </row>
    <row r="54" spans="1:16" s="64" customFormat="1" ht="21.75" customHeight="1" thickBot="1" x14ac:dyDescent="0.35">
      <c r="A54" s="63"/>
      <c r="C54" s="63"/>
      <c r="I54" s="65"/>
      <c r="J54" s="67"/>
      <c r="K54" s="67"/>
      <c r="P54" s="66"/>
    </row>
    <row r="55" spans="1:16" s="64" customFormat="1" ht="21.75" customHeight="1" thickBot="1" x14ac:dyDescent="0.35">
      <c r="A55" s="63"/>
      <c r="C55" s="63"/>
      <c r="I55" s="65"/>
      <c r="J55" s="71"/>
      <c r="K55" s="71"/>
      <c r="P55" s="66"/>
    </row>
    <row r="56" spans="1:16" s="64" customFormat="1" ht="21.75" customHeight="1" thickBot="1" x14ac:dyDescent="0.35">
      <c r="A56" s="63"/>
      <c r="C56" s="63"/>
      <c r="I56" s="65"/>
      <c r="J56" s="67"/>
      <c r="K56" s="67"/>
      <c r="P56" s="66"/>
    </row>
    <row r="57" spans="1:16" s="64" customFormat="1" ht="21.75" customHeight="1" thickBot="1" x14ac:dyDescent="0.35">
      <c r="A57" s="63"/>
      <c r="C57" s="63"/>
      <c r="I57" s="65"/>
      <c r="P57" s="66"/>
    </row>
    <row r="58" spans="1:16" s="64" customFormat="1" ht="21.75" customHeight="1" thickBot="1" x14ac:dyDescent="0.35">
      <c r="A58" s="63"/>
      <c r="C58" s="63"/>
      <c r="I58" s="65"/>
      <c r="J58" s="67"/>
      <c r="K58" s="67"/>
      <c r="P58" s="66"/>
    </row>
    <row r="59" spans="1:16" s="64" customFormat="1" ht="21.75" customHeight="1" thickBot="1" x14ac:dyDescent="0.35">
      <c r="A59" s="63"/>
      <c r="C59" s="63"/>
      <c r="I59" s="65"/>
      <c r="P59" s="66"/>
    </row>
    <row r="60" spans="1:16" s="61" customFormat="1" ht="21.75" customHeight="1" thickBot="1" x14ac:dyDescent="0.35">
      <c r="A60" s="63"/>
      <c r="B60" s="64"/>
      <c r="C60" s="63"/>
      <c r="D60" s="64"/>
      <c r="E60" s="64"/>
      <c r="F60" s="64"/>
      <c r="G60" s="64"/>
      <c r="H60" s="64"/>
      <c r="I60" s="65"/>
      <c r="J60" s="67"/>
      <c r="K60" s="67"/>
      <c r="L60" s="64"/>
      <c r="M60" s="64"/>
      <c r="N60" s="64"/>
      <c r="O60" s="64"/>
      <c r="P60" s="66"/>
    </row>
    <row r="61" spans="1:16" s="64" customFormat="1" ht="21.75" customHeight="1" thickBot="1" x14ac:dyDescent="0.35">
      <c r="A61" s="63"/>
      <c r="C61" s="63"/>
      <c r="I61" s="65"/>
      <c r="P61" s="66"/>
    </row>
    <row r="62" spans="1:16" s="64" customFormat="1" ht="21.75" customHeight="1" thickBot="1" x14ac:dyDescent="0.35">
      <c r="A62" s="63"/>
      <c r="C62" s="63"/>
      <c r="I62" s="65"/>
      <c r="J62" s="67"/>
      <c r="K62" s="67"/>
      <c r="P62" s="66"/>
    </row>
    <row r="63" spans="1:16" s="64" customFormat="1" ht="21.75" customHeight="1" thickBot="1" x14ac:dyDescent="0.35">
      <c r="A63" s="63"/>
      <c r="C63" s="63"/>
      <c r="I63" s="65"/>
      <c r="P63" s="66"/>
    </row>
    <row r="64" spans="1:16" s="64" customFormat="1" ht="21.75" customHeight="1" thickBot="1" x14ac:dyDescent="0.35">
      <c r="A64" s="63"/>
      <c r="C64" s="63"/>
      <c r="I64" s="65"/>
      <c r="J64" s="67"/>
      <c r="K64" s="67"/>
      <c r="P64" s="66"/>
    </row>
    <row r="65" spans="1:16" s="64" customFormat="1" ht="21.75" customHeight="1" thickBot="1" x14ac:dyDescent="0.35">
      <c r="A65" s="63"/>
      <c r="C65" s="63"/>
      <c r="I65" s="65"/>
      <c r="J65" s="71"/>
      <c r="K65" s="71"/>
      <c r="P65" s="66"/>
    </row>
    <row r="66" spans="1:16" s="64" customFormat="1" ht="21.75" customHeight="1" thickBot="1" x14ac:dyDescent="0.35">
      <c r="A66" s="63"/>
      <c r="C66" s="63"/>
      <c r="I66" s="65"/>
      <c r="J66" s="72"/>
      <c r="K66" s="72"/>
      <c r="P66" s="66"/>
    </row>
    <row r="67" spans="1:16" s="64" customFormat="1" ht="21.75" customHeight="1" thickBot="1" x14ac:dyDescent="0.35">
      <c r="A67" s="63"/>
      <c r="C67" s="63"/>
      <c r="I67" s="65"/>
      <c r="P67" s="66"/>
    </row>
    <row r="68" spans="1:16" s="64" customFormat="1" ht="21.75" customHeight="1" thickBot="1" x14ac:dyDescent="0.35">
      <c r="A68" s="63"/>
      <c r="C68" s="63"/>
      <c r="I68" s="65"/>
      <c r="J68" s="72"/>
      <c r="K68" s="72"/>
      <c r="P68" s="66"/>
    </row>
    <row r="69" spans="1:16" s="64" customFormat="1" ht="21.75" customHeight="1" thickBot="1" x14ac:dyDescent="0.35">
      <c r="A69" s="63"/>
      <c r="C69" s="63"/>
      <c r="I69" s="65"/>
      <c r="J69" s="71"/>
      <c r="K69" s="71"/>
      <c r="P69" s="66"/>
    </row>
    <row r="70" spans="1:16" s="64" customFormat="1" ht="21.75" customHeight="1" thickBot="1" x14ac:dyDescent="0.35">
      <c r="A70" s="60"/>
      <c r="B70" s="61"/>
      <c r="C70" s="63"/>
      <c r="D70" s="61"/>
      <c r="F70" s="61"/>
      <c r="G70" s="61"/>
      <c r="H70" s="61"/>
      <c r="I70" s="68"/>
      <c r="J70" s="69"/>
      <c r="K70" s="69"/>
      <c r="L70" s="61"/>
      <c r="M70" s="61"/>
      <c r="N70" s="61"/>
      <c r="O70" s="61"/>
      <c r="P70" s="62"/>
    </row>
    <row r="71" spans="1:16" s="64" customFormat="1" ht="21.75" customHeight="1" thickBot="1" x14ac:dyDescent="0.35">
      <c r="A71" s="63"/>
      <c r="C71" s="63"/>
      <c r="I71" s="65"/>
      <c r="P71" s="66"/>
    </row>
    <row r="72" spans="1:16" s="64" customFormat="1" ht="21.75" customHeight="1" thickBot="1" x14ac:dyDescent="0.35">
      <c r="A72" s="63"/>
      <c r="C72" s="63"/>
      <c r="I72" s="65"/>
      <c r="J72" s="67"/>
      <c r="K72" s="67"/>
      <c r="P72" s="66"/>
    </row>
    <row r="73" spans="1:16" s="64" customFormat="1" ht="21.75" customHeight="1" thickBot="1" x14ac:dyDescent="0.35">
      <c r="A73" s="63"/>
      <c r="C73" s="63"/>
      <c r="I73" s="65"/>
      <c r="P73" s="66"/>
    </row>
    <row r="74" spans="1:16" s="64" customFormat="1" ht="21.75" customHeight="1" thickBot="1" x14ac:dyDescent="0.35">
      <c r="A74" s="63"/>
      <c r="C74" s="63"/>
      <c r="I74" s="65"/>
      <c r="J74" s="67"/>
      <c r="K74" s="67"/>
      <c r="P74" s="66"/>
    </row>
    <row r="75" spans="1:16" s="64" customFormat="1" ht="21.75" customHeight="1" thickBot="1" x14ac:dyDescent="0.35">
      <c r="A75" s="63"/>
      <c r="C75" s="63"/>
      <c r="I75" s="65"/>
      <c r="J75" s="71"/>
      <c r="K75" s="71"/>
      <c r="P75" s="66"/>
    </row>
    <row r="76" spans="1:16" s="64" customFormat="1" ht="21.75" customHeight="1" thickBot="1" x14ac:dyDescent="0.35">
      <c r="A76" s="63"/>
      <c r="C76" s="63"/>
      <c r="I76" s="65"/>
      <c r="J76" s="67"/>
      <c r="K76" s="67"/>
      <c r="P76" s="66"/>
    </row>
    <row r="77" spans="1:16" s="64" customFormat="1" ht="21.75" customHeight="1" thickBot="1" x14ac:dyDescent="0.35">
      <c r="A77" s="63"/>
      <c r="C77" s="63"/>
      <c r="I77" s="65"/>
      <c r="P77" s="66"/>
    </row>
    <row r="78" spans="1:16" s="64" customFormat="1" ht="21.75" customHeight="1" thickBot="1" x14ac:dyDescent="0.35">
      <c r="A78" s="63"/>
      <c r="C78" s="63"/>
      <c r="I78" s="65"/>
      <c r="J78" s="67"/>
      <c r="K78" s="67"/>
      <c r="P78" s="66"/>
    </row>
    <row r="79" spans="1:16" s="64" customFormat="1" ht="21.75" customHeight="1" thickBot="1" x14ac:dyDescent="0.35">
      <c r="A79" s="63"/>
      <c r="C79" s="63"/>
      <c r="I79" s="65"/>
      <c r="P79" s="66"/>
    </row>
    <row r="80" spans="1:16" s="64" customFormat="1" ht="21.75" customHeight="1" thickBot="1" x14ac:dyDescent="0.35">
      <c r="A80" s="63"/>
      <c r="C80" s="63"/>
      <c r="I80" s="65"/>
      <c r="J80" s="67"/>
      <c r="K80" s="67"/>
      <c r="P80" s="66"/>
    </row>
    <row r="81" spans="1:16" s="64" customFormat="1" ht="21.75" customHeight="1" thickBot="1" x14ac:dyDescent="0.35">
      <c r="A81" s="63"/>
      <c r="C81" s="63"/>
      <c r="I81" s="65"/>
      <c r="P81" s="66"/>
    </row>
    <row r="82" spans="1:16" s="64" customFormat="1" ht="21.75" customHeight="1" thickBot="1" x14ac:dyDescent="0.35">
      <c r="A82" s="63"/>
      <c r="C82" s="63"/>
      <c r="I82" s="65"/>
      <c r="J82" s="67"/>
      <c r="K82" s="67"/>
      <c r="P82" s="66"/>
    </row>
    <row r="83" spans="1:16" s="64" customFormat="1" ht="21.75" customHeight="1" thickBot="1" x14ac:dyDescent="0.35">
      <c r="A83" s="63"/>
      <c r="C83" s="63"/>
      <c r="I83" s="65"/>
      <c r="P83" s="66"/>
    </row>
    <row r="84" spans="1:16" s="64" customFormat="1" ht="21.75" customHeight="1" thickBot="1" x14ac:dyDescent="0.35">
      <c r="A84" s="63"/>
      <c r="C84" s="63"/>
      <c r="I84" s="65"/>
      <c r="J84" s="67"/>
      <c r="K84" s="67"/>
      <c r="P84" s="66"/>
    </row>
    <row r="85" spans="1:16" s="64" customFormat="1" ht="21.75" customHeight="1" thickBot="1" x14ac:dyDescent="0.35">
      <c r="A85" s="63"/>
      <c r="C85" s="63"/>
      <c r="I85" s="65"/>
      <c r="P85" s="66"/>
    </row>
    <row r="86" spans="1:16" s="61" customFormat="1" ht="21.75" customHeight="1" thickBot="1" x14ac:dyDescent="0.35">
      <c r="A86" s="63"/>
      <c r="B86" s="64"/>
      <c r="C86" s="63"/>
      <c r="D86" s="64"/>
      <c r="E86" s="64"/>
      <c r="F86" s="64"/>
      <c r="G86" s="64"/>
      <c r="H86" s="64"/>
      <c r="I86" s="65"/>
      <c r="J86" s="67"/>
      <c r="K86" s="67"/>
      <c r="L86" s="64"/>
      <c r="M86" s="64"/>
      <c r="N86" s="64"/>
      <c r="O86" s="64"/>
      <c r="P86" s="66"/>
    </row>
    <row r="87" spans="1:16" s="64" customFormat="1" ht="21.75" customHeight="1" thickBot="1" x14ac:dyDescent="0.35">
      <c r="A87" s="63"/>
      <c r="C87" s="63"/>
      <c r="I87" s="65"/>
      <c r="P87" s="66"/>
    </row>
    <row r="88" spans="1:16" s="64" customFormat="1" ht="21.75" customHeight="1" thickBot="1" x14ac:dyDescent="0.35">
      <c r="A88" s="63"/>
      <c r="C88" s="63"/>
      <c r="I88" s="65"/>
      <c r="J88" s="67"/>
      <c r="K88" s="67"/>
      <c r="P88" s="66"/>
    </row>
    <row r="89" spans="1:16" s="64" customFormat="1" ht="21.75" customHeight="1" thickBot="1" x14ac:dyDescent="0.35">
      <c r="A89" s="63"/>
      <c r="C89" s="63"/>
      <c r="I89" s="65"/>
      <c r="P89" s="66"/>
    </row>
    <row r="90" spans="1:16" s="64" customFormat="1" ht="21.75" customHeight="1" thickBot="1" x14ac:dyDescent="0.35">
      <c r="A90" s="63"/>
      <c r="C90" s="63"/>
      <c r="I90" s="65"/>
      <c r="J90" s="67"/>
      <c r="K90" s="67"/>
      <c r="P90" s="66"/>
    </row>
    <row r="91" spans="1:16" s="64" customFormat="1" ht="21.75" customHeight="1" thickBot="1" x14ac:dyDescent="0.35">
      <c r="A91" s="63"/>
      <c r="C91" s="63"/>
      <c r="I91" s="65"/>
      <c r="P91" s="66"/>
    </row>
    <row r="92" spans="1:16" s="64" customFormat="1" ht="21.75" customHeight="1" thickBot="1" x14ac:dyDescent="0.35">
      <c r="A92" s="63"/>
      <c r="C92" s="63"/>
      <c r="I92" s="65"/>
      <c r="J92" s="67"/>
      <c r="K92" s="67"/>
      <c r="P92" s="66"/>
    </row>
    <row r="93" spans="1:16" s="64" customFormat="1" ht="21.75" customHeight="1" thickBot="1" x14ac:dyDescent="0.35">
      <c r="A93" s="63"/>
      <c r="C93" s="63"/>
      <c r="I93" s="65"/>
      <c r="P93" s="66"/>
    </row>
    <row r="94" spans="1:16" s="64" customFormat="1" ht="21.75" customHeight="1" thickBot="1" x14ac:dyDescent="0.35">
      <c r="A94" s="63"/>
      <c r="C94" s="63"/>
      <c r="I94" s="65"/>
      <c r="J94" s="67"/>
      <c r="K94" s="67"/>
      <c r="P94" s="66"/>
    </row>
    <row r="95" spans="1:16" s="64" customFormat="1" ht="21.75" customHeight="1" thickBot="1" x14ac:dyDescent="0.35">
      <c r="A95" s="63"/>
      <c r="C95" s="63"/>
      <c r="I95" s="65"/>
      <c r="P95" s="66"/>
    </row>
    <row r="96" spans="1:16" s="64" customFormat="1" ht="21.75" customHeight="1" thickBot="1" x14ac:dyDescent="0.35">
      <c r="A96" s="60"/>
      <c r="B96" s="61"/>
      <c r="C96" s="63"/>
      <c r="D96" s="61"/>
      <c r="F96" s="61"/>
      <c r="G96" s="61"/>
      <c r="H96" s="61"/>
      <c r="I96" s="68"/>
      <c r="J96" s="69"/>
      <c r="K96" s="69"/>
      <c r="L96" s="61"/>
      <c r="M96" s="61"/>
      <c r="N96" s="61"/>
      <c r="O96" s="61"/>
      <c r="P96" s="62"/>
    </row>
    <row r="97" spans="1:16" s="64" customFormat="1" ht="21.75" customHeight="1" thickBot="1" x14ac:dyDescent="0.35">
      <c r="A97" s="63"/>
      <c r="C97" s="63"/>
      <c r="I97" s="65"/>
      <c r="P97" s="66"/>
    </row>
    <row r="98" spans="1:16" s="64" customFormat="1" ht="21.75" customHeight="1" thickBot="1" x14ac:dyDescent="0.35">
      <c r="A98" s="63"/>
      <c r="C98" s="63"/>
      <c r="I98" s="65"/>
      <c r="J98" s="67"/>
      <c r="K98" s="67"/>
      <c r="P98" s="66"/>
    </row>
    <row r="99" spans="1:16" s="64" customFormat="1" ht="21.75" customHeight="1" thickBot="1" x14ac:dyDescent="0.35">
      <c r="A99" s="63"/>
      <c r="C99" s="63"/>
      <c r="I99" s="65"/>
      <c r="P99" s="66"/>
    </row>
    <row r="100" spans="1:16" s="64" customFormat="1" ht="21.75" customHeight="1" thickBot="1" x14ac:dyDescent="0.35">
      <c r="A100" s="63"/>
      <c r="C100" s="63"/>
      <c r="I100" s="65"/>
      <c r="J100" s="67"/>
      <c r="K100" s="67"/>
      <c r="P100" s="66"/>
    </row>
    <row r="101" spans="1:16" s="61" customFormat="1" ht="21.75" customHeight="1" thickBot="1" x14ac:dyDescent="0.35">
      <c r="A101" s="63"/>
      <c r="B101" s="64"/>
      <c r="C101" s="63"/>
      <c r="D101" s="64"/>
      <c r="E101" s="64"/>
      <c r="F101" s="64"/>
      <c r="G101" s="64"/>
      <c r="H101" s="64"/>
      <c r="I101" s="65"/>
      <c r="J101" s="64"/>
      <c r="K101" s="64"/>
      <c r="L101" s="64"/>
      <c r="M101" s="64"/>
      <c r="N101" s="64"/>
      <c r="O101" s="64"/>
      <c r="P101" s="66"/>
    </row>
    <row r="102" spans="1:16" s="64" customFormat="1" ht="21.75" customHeight="1" thickBot="1" x14ac:dyDescent="0.35">
      <c r="A102" s="63"/>
      <c r="C102" s="63"/>
      <c r="I102" s="65"/>
      <c r="J102" s="67"/>
      <c r="K102" s="67"/>
      <c r="P102" s="66"/>
    </row>
    <row r="103" spans="1:16" s="64" customFormat="1" ht="21.75" customHeight="1" thickBot="1" x14ac:dyDescent="0.35">
      <c r="A103" s="63"/>
      <c r="C103" s="63"/>
      <c r="I103" s="65"/>
      <c r="P103" s="66"/>
    </row>
    <row r="104" spans="1:16" s="64" customFormat="1" ht="21.75" customHeight="1" thickBot="1" x14ac:dyDescent="0.35">
      <c r="A104" s="63"/>
      <c r="C104" s="63"/>
      <c r="I104" s="65"/>
      <c r="J104" s="67"/>
      <c r="K104" s="67"/>
      <c r="P104" s="66"/>
    </row>
    <row r="105" spans="1:16" s="64" customFormat="1" ht="21.75" customHeight="1" thickBot="1" x14ac:dyDescent="0.35">
      <c r="A105" s="63"/>
      <c r="C105" s="63"/>
      <c r="I105" s="65"/>
      <c r="J105" s="70"/>
      <c r="K105" s="70"/>
      <c r="P105" s="66"/>
    </row>
    <row r="106" spans="1:16" s="64" customFormat="1" ht="21.75" customHeight="1" thickBot="1" x14ac:dyDescent="0.35">
      <c r="A106" s="63"/>
      <c r="C106" s="63"/>
      <c r="I106" s="65"/>
      <c r="J106" s="67"/>
      <c r="K106" s="67"/>
      <c r="P106" s="66"/>
    </row>
    <row r="107" spans="1:16" s="64" customFormat="1" ht="21.75" customHeight="1" thickBot="1" x14ac:dyDescent="0.35">
      <c r="A107" s="63"/>
      <c r="C107" s="63"/>
      <c r="I107" s="65"/>
      <c r="P107" s="66"/>
    </row>
    <row r="108" spans="1:16" s="64" customFormat="1" ht="21.75" customHeight="1" thickBot="1" x14ac:dyDescent="0.35">
      <c r="A108" s="63"/>
      <c r="C108" s="63"/>
      <c r="I108" s="65"/>
      <c r="J108" s="67"/>
      <c r="K108" s="67"/>
      <c r="P108" s="66"/>
    </row>
    <row r="109" spans="1:16" s="64" customFormat="1" ht="21.75" customHeight="1" thickBot="1" x14ac:dyDescent="0.35">
      <c r="A109" s="63"/>
      <c r="C109" s="63"/>
      <c r="I109" s="65"/>
      <c r="P109" s="66"/>
    </row>
    <row r="110" spans="1:16" s="64" customFormat="1" ht="21.75" customHeight="1" thickBot="1" x14ac:dyDescent="0.35">
      <c r="A110" s="63"/>
      <c r="C110" s="63"/>
      <c r="I110" s="65"/>
      <c r="J110" s="67"/>
      <c r="K110" s="67"/>
      <c r="P110" s="66"/>
    </row>
    <row r="111" spans="1:16" s="61" customFormat="1" ht="21.75" customHeight="1" thickBot="1" x14ac:dyDescent="0.35">
      <c r="A111" s="60"/>
      <c r="C111" s="63"/>
      <c r="E111" s="64"/>
      <c r="I111" s="68"/>
      <c r="P111" s="62"/>
    </row>
    <row r="112" spans="1:16" s="64" customFormat="1" ht="21.75" customHeight="1" thickBot="1" x14ac:dyDescent="0.35">
      <c r="A112" s="63"/>
      <c r="C112" s="63"/>
      <c r="I112" s="65"/>
      <c r="J112" s="67"/>
      <c r="K112" s="67"/>
      <c r="P112" s="66"/>
    </row>
    <row r="113" spans="1:16" s="64" customFormat="1" ht="21.75" customHeight="1" thickBot="1" x14ac:dyDescent="0.35">
      <c r="A113" s="63"/>
      <c r="C113" s="63"/>
      <c r="I113" s="65"/>
      <c r="P113" s="66"/>
    </row>
    <row r="114" spans="1:16" s="64" customFormat="1" ht="21.75" customHeight="1" thickBot="1" x14ac:dyDescent="0.35">
      <c r="A114" s="63"/>
      <c r="C114" s="63"/>
      <c r="I114" s="65"/>
      <c r="J114" s="67"/>
      <c r="K114" s="67"/>
      <c r="P114" s="66"/>
    </row>
    <row r="115" spans="1:16" s="64" customFormat="1" ht="21.75" customHeight="1" thickBot="1" x14ac:dyDescent="0.35">
      <c r="A115" s="63"/>
      <c r="C115" s="63"/>
      <c r="I115" s="65"/>
      <c r="P115" s="66"/>
    </row>
    <row r="116" spans="1:16" s="64" customFormat="1" ht="21.75" customHeight="1" thickBot="1" x14ac:dyDescent="0.35">
      <c r="A116" s="63"/>
      <c r="C116" s="63"/>
      <c r="I116" s="65"/>
      <c r="J116" s="73"/>
      <c r="K116" s="73"/>
      <c r="P116" s="66"/>
    </row>
    <row r="117" spans="1:16" s="64" customFormat="1" ht="21.75" customHeight="1" thickBot="1" x14ac:dyDescent="0.35">
      <c r="A117" s="63"/>
      <c r="C117" s="63"/>
      <c r="I117" s="65"/>
      <c r="P117" s="66"/>
    </row>
    <row r="118" spans="1:16" s="64" customFormat="1" ht="21.75" customHeight="1" thickBot="1" x14ac:dyDescent="0.35">
      <c r="A118" s="63"/>
      <c r="C118" s="63"/>
      <c r="I118" s="65"/>
      <c r="J118" s="67"/>
      <c r="K118" s="67"/>
      <c r="P118" s="66"/>
    </row>
    <row r="119" spans="1:16" s="64" customFormat="1" ht="21.75" customHeight="1" thickBot="1" x14ac:dyDescent="0.35">
      <c r="A119" s="63"/>
      <c r="C119" s="63"/>
      <c r="I119" s="65"/>
      <c r="P119" s="66"/>
    </row>
    <row r="120" spans="1:16" s="64" customFormat="1" ht="21.75" customHeight="1" thickBot="1" x14ac:dyDescent="0.35">
      <c r="A120" s="63"/>
      <c r="C120" s="63"/>
      <c r="I120" s="65"/>
      <c r="J120" s="67"/>
      <c r="K120" s="67"/>
      <c r="P120" s="66"/>
    </row>
    <row r="121" spans="1:16" s="64" customFormat="1" ht="21.75" customHeight="1" thickBot="1" x14ac:dyDescent="0.35">
      <c r="A121" s="60"/>
      <c r="B121" s="61"/>
      <c r="C121" s="63"/>
      <c r="D121" s="61"/>
      <c r="F121" s="61"/>
      <c r="G121" s="61"/>
      <c r="H121" s="61"/>
      <c r="I121" s="68"/>
      <c r="J121" s="61"/>
      <c r="K121" s="61"/>
      <c r="L121" s="61"/>
      <c r="M121" s="61"/>
      <c r="N121" s="61"/>
      <c r="O121" s="61"/>
      <c r="P121" s="62"/>
    </row>
    <row r="122" spans="1:16" s="64" customFormat="1" ht="21.75" customHeight="1" thickBot="1" x14ac:dyDescent="0.35">
      <c r="A122" s="63"/>
      <c r="C122" s="63"/>
      <c r="I122" s="65"/>
      <c r="J122" s="67"/>
      <c r="K122" s="67"/>
      <c r="P122" s="66"/>
    </row>
    <row r="123" spans="1:16" s="64" customFormat="1" ht="21.75" customHeight="1" thickBot="1" x14ac:dyDescent="0.35">
      <c r="A123" s="63"/>
      <c r="C123" s="63"/>
      <c r="I123" s="65"/>
      <c r="P123" s="66"/>
    </row>
    <row r="124" spans="1:16" s="64" customFormat="1" ht="21.75" customHeight="1" thickBot="1" x14ac:dyDescent="0.35">
      <c r="A124" s="63"/>
      <c r="C124" s="63"/>
      <c r="I124" s="65"/>
      <c r="J124" s="67"/>
      <c r="K124" s="67"/>
      <c r="P124" s="66"/>
    </row>
    <row r="125" spans="1:16" s="64" customFormat="1" ht="21.75" customHeight="1" thickBot="1" x14ac:dyDescent="0.35">
      <c r="A125" s="63"/>
      <c r="C125" s="63"/>
      <c r="I125" s="65"/>
      <c r="P125" s="66"/>
    </row>
    <row r="126" spans="1:16" s="64" customFormat="1" ht="21.75" customHeight="1" thickBot="1" x14ac:dyDescent="0.35">
      <c r="A126" s="63"/>
      <c r="C126" s="63"/>
      <c r="I126" s="65"/>
      <c r="J126" s="67"/>
      <c r="K126" s="67"/>
      <c r="P126" s="66"/>
    </row>
    <row r="127" spans="1:16" s="64" customFormat="1" ht="21.75" customHeight="1" thickBot="1" x14ac:dyDescent="0.35">
      <c r="A127" s="63"/>
      <c r="C127" s="63"/>
      <c r="I127" s="65"/>
      <c r="P127" s="66"/>
    </row>
    <row r="128" spans="1:16" s="64" customFormat="1" ht="21.75" customHeight="1" thickBot="1" x14ac:dyDescent="0.35">
      <c r="A128" s="63"/>
      <c r="C128" s="63"/>
      <c r="I128" s="65"/>
      <c r="J128" s="67"/>
      <c r="K128" s="67"/>
      <c r="P128" s="66"/>
    </row>
    <row r="129" spans="1:16" s="64" customFormat="1" ht="21.75" customHeight="1" thickBot="1" x14ac:dyDescent="0.35">
      <c r="A129" s="63"/>
      <c r="C129" s="63"/>
      <c r="I129" s="65"/>
      <c r="P129" s="66"/>
    </row>
    <row r="130" spans="1:16" s="61" customFormat="1" ht="21.75" customHeight="1" thickBot="1" x14ac:dyDescent="0.35">
      <c r="A130" s="63"/>
      <c r="B130" s="64"/>
      <c r="C130" s="63"/>
      <c r="D130" s="64"/>
      <c r="E130" s="64"/>
      <c r="F130" s="64"/>
      <c r="G130" s="64"/>
      <c r="H130" s="64"/>
      <c r="I130" s="65"/>
      <c r="J130" s="67"/>
      <c r="K130" s="67"/>
      <c r="L130" s="64"/>
      <c r="M130" s="64"/>
      <c r="N130" s="64"/>
      <c r="O130" s="64"/>
      <c r="P130" s="66"/>
    </row>
    <row r="131" spans="1:16" s="64" customFormat="1" ht="21.75" customHeight="1" thickBot="1" x14ac:dyDescent="0.35">
      <c r="A131" s="63"/>
      <c r="C131" s="63"/>
      <c r="I131" s="65"/>
      <c r="P131" s="66"/>
    </row>
    <row r="132" spans="1:16" s="64" customFormat="1" ht="21.75" customHeight="1" thickBot="1" x14ac:dyDescent="0.35">
      <c r="A132" s="63"/>
      <c r="C132" s="63"/>
      <c r="I132" s="65"/>
      <c r="J132" s="67"/>
      <c r="K132" s="67"/>
      <c r="P132" s="66"/>
    </row>
    <row r="133" spans="1:16" s="64" customFormat="1" ht="21.75" customHeight="1" thickBot="1" x14ac:dyDescent="0.35">
      <c r="A133" s="63"/>
      <c r="C133" s="63"/>
      <c r="I133" s="65"/>
      <c r="P133" s="66"/>
    </row>
    <row r="134" spans="1:16" s="64" customFormat="1" ht="21.75" customHeight="1" thickBot="1" x14ac:dyDescent="0.35">
      <c r="A134" s="63"/>
      <c r="C134" s="63"/>
      <c r="I134" s="65"/>
      <c r="J134" s="67"/>
      <c r="K134" s="67"/>
      <c r="P134" s="66"/>
    </row>
    <row r="135" spans="1:16" s="64" customFormat="1" ht="21.75" customHeight="1" thickBot="1" x14ac:dyDescent="0.35">
      <c r="A135" s="63"/>
      <c r="C135" s="63"/>
      <c r="I135" s="65"/>
      <c r="P135" s="66"/>
    </row>
    <row r="136" spans="1:16" s="64" customFormat="1" ht="21.75" customHeight="1" thickBot="1" x14ac:dyDescent="0.35">
      <c r="A136" s="63"/>
      <c r="C136" s="63"/>
      <c r="I136" s="65"/>
      <c r="J136" s="67"/>
      <c r="K136" s="67"/>
      <c r="P136" s="66"/>
    </row>
    <row r="137" spans="1:16" s="64" customFormat="1" ht="21.75" customHeight="1" thickBot="1" x14ac:dyDescent="0.35">
      <c r="A137" s="63"/>
      <c r="C137" s="63"/>
      <c r="I137" s="65"/>
      <c r="P137" s="66"/>
    </row>
    <row r="138" spans="1:16" s="64" customFormat="1" ht="21.75" customHeight="1" thickBot="1" x14ac:dyDescent="0.35">
      <c r="A138" s="63"/>
      <c r="C138" s="63"/>
      <c r="I138" s="65"/>
      <c r="J138" s="67"/>
      <c r="K138" s="67"/>
      <c r="P138" s="66"/>
    </row>
    <row r="139" spans="1:16" s="64" customFormat="1" ht="21.75" customHeight="1" thickBot="1" x14ac:dyDescent="0.35">
      <c r="A139" s="63"/>
      <c r="C139" s="63"/>
      <c r="I139" s="65"/>
      <c r="P139" s="66"/>
    </row>
    <row r="140" spans="1:16" s="64" customFormat="1" ht="21.75" customHeight="1" thickBot="1" x14ac:dyDescent="0.35">
      <c r="A140" s="60"/>
      <c r="B140" s="61"/>
      <c r="C140" s="63"/>
      <c r="D140" s="61"/>
      <c r="F140" s="61"/>
      <c r="G140" s="61"/>
      <c r="H140" s="61"/>
      <c r="I140" s="68"/>
      <c r="J140" s="69"/>
      <c r="K140" s="69"/>
      <c r="L140" s="61"/>
      <c r="M140" s="61"/>
      <c r="N140" s="61"/>
      <c r="O140" s="61"/>
      <c r="P140" s="62"/>
    </row>
    <row r="141" spans="1:16" s="64" customFormat="1" ht="21.75" customHeight="1" thickBot="1" x14ac:dyDescent="0.35">
      <c r="A141" s="63"/>
      <c r="C141" s="63"/>
      <c r="I141" s="65"/>
      <c r="P141" s="66"/>
    </row>
    <row r="142" spans="1:16" s="64" customFormat="1" ht="21.75" customHeight="1" thickBot="1" x14ac:dyDescent="0.35">
      <c r="A142" s="63"/>
      <c r="C142" s="63"/>
      <c r="I142" s="65"/>
      <c r="J142" s="67"/>
      <c r="K142" s="67"/>
      <c r="P142" s="66"/>
    </row>
    <row r="143" spans="1:16" s="64" customFormat="1" ht="21.75" customHeight="1" thickBot="1" x14ac:dyDescent="0.35">
      <c r="A143" s="63"/>
      <c r="C143" s="63"/>
      <c r="I143" s="65"/>
      <c r="P143" s="66"/>
    </row>
    <row r="144" spans="1:16" s="61" customFormat="1" ht="21.75" customHeight="1" thickBot="1" x14ac:dyDescent="0.35">
      <c r="A144" s="63"/>
      <c r="B144" s="64"/>
      <c r="C144" s="63"/>
      <c r="D144" s="64"/>
      <c r="E144" s="64"/>
      <c r="F144" s="64"/>
      <c r="G144" s="64"/>
      <c r="H144" s="64"/>
      <c r="I144" s="65"/>
      <c r="J144" s="67"/>
      <c r="K144" s="67"/>
      <c r="L144" s="64"/>
      <c r="M144" s="64"/>
      <c r="N144" s="64"/>
      <c r="O144" s="64"/>
      <c r="P144" s="66"/>
    </row>
    <row r="145" spans="1:16" s="64" customFormat="1" ht="21.75" customHeight="1" thickBot="1" x14ac:dyDescent="0.35">
      <c r="A145" s="63"/>
      <c r="C145" s="63"/>
      <c r="I145" s="65"/>
      <c r="P145" s="66"/>
    </row>
    <row r="146" spans="1:16" s="64" customFormat="1" ht="21.75" customHeight="1" thickBot="1" x14ac:dyDescent="0.35">
      <c r="A146" s="63"/>
      <c r="C146" s="63"/>
      <c r="I146" s="65"/>
      <c r="J146" s="67"/>
      <c r="K146" s="67"/>
      <c r="P146" s="66"/>
    </row>
    <row r="147" spans="1:16" s="64" customFormat="1" ht="21.75" customHeight="1" thickBot="1" x14ac:dyDescent="0.35">
      <c r="A147" s="63"/>
      <c r="C147" s="63"/>
      <c r="I147" s="65"/>
      <c r="P147" s="66"/>
    </row>
    <row r="148" spans="1:16" s="64" customFormat="1" ht="21.75" customHeight="1" thickBot="1" x14ac:dyDescent="0.35">
      <c r="A148" s="63"/>
      <c r="C148" s="63"/>
      <c r="I148" s="65"/>
      <c r="J148" s="67"/>
      <c r="K148" s="67"/>
      <c r="P148" s="66"/>
    </row>
    <row r="149" spans="1:16" s="64" customFormat="1" ht="21.75" customHeight="1" thickBot="1" x14ac:dyDescent="0.35">
      <c r="A149" s="63"/>
      <c r="C149" s="63"/>
      <c r="I149" s="65"/>
      <c r="P149" s="66"/>
    </row>
    <row r="150" spans="1:16" s="64" customFormat="1" ht="19.5" customHeight="1" thickBot="1" x14ac:dyDescent="0.35">
      <c r="A150" s="63"/>
      <c r="C150" s="63"/>
      <c r="I150" s="65"/>
      <c r="J150" s="67"/>
      <c r="K150" s="67"/>
      <c r="P150" s="66"/>
    </row>
    <row r="151" spans="1:16" s="64" customFormat="1" ht="19.5" customHeight="1" thickBot="1" x14ac:dyDescent="0.35">
      <c r="A151" s="63"/>
      <c r="C151" s="63"/>
      <c r="I151" s="65"/>
      <c r="P151" s="66"/>
    </row>
    <row r="152" spans="1:16" s="64" customFormat="1" ht="19.5" customHeight="1" thickBot="1" x14ac:dyDescent="0.35">
      <c r="A152" s="63"/>
      <c r="C152" s="63"/>
      <c r="I152" s="65"/>
      <c r="J152" s="72"/>
      <c r="K152" s="72"/>
      <c r="P152" s="66"/>
    </row>
    <row r="153" spans="1:16" s="64" customFormat="1" ht="19.5" customHeight="1" thickBot="1" x14ac:dyDescent="0.35">
      <c r="A153" s="63"/>
      <c r="C153" s="63"/>
      <c r="I153" s="65"/>
      <c r="P153" s="66"/>
    </row>
    <row r="154" spans="1:16" s="64" customFormat="1" ht="19.5" customHeight="1" thickBot="1" x14ac:dyDescent="0.35">
      <c r="A154" s="60"/>
      <c r="B154" s="61"/>
      <c r="C154" s="63"/>
      <c r="D154" s="61"/>
      <c r="F154" s="61"/>
      <c r="G154" s="61"/>
      <c r="H154" s="61"/>
      <c r="I154" s="68"/>
      <c r="J154" s="69"/>
      <c r="K154" s="69"/>
      <c r="L154" s="61"/>
      <c r="M154" s="61"/>
      <c r="N154" s="61"/>
      <c r="O154" s="61"/>
      <c r="P154" s="62"/>
    </row>
    <row r="155" spans="1:16" s="64" customFormat="1" ht="19.5" customHeight="1" thickBot="1" x14ac:dyDescent="0.35">
      <c r="A155" s="63"/>
      <c r="C155" s="63"/>
      <c r="I155" s="65"/>
      <c r="P155" s="66"/>
    </row>
    <row r="156" spans="1:16" s="61" customFormat="1" ht="19.5" customHeight="1" thickBot="1" x14ac:dyDescent="0.35">
      <c r="A156" s="63"/>
      <c r="B156" s="64"/>
      <c r="C156" s="63"/>
      <c r="D156" s="64"/>
      <c r="E156" s="64"/>
      <c r="F156" s="64"/>
      <c r="G156" s="64"/>
      <c r="H156" s="64"/>
      <c r="I156" s="65"/>
      <c r="J156" s="67"/>
      <c r="K156" s="67"/>
      <c r="L156" s="64"/>
      <c r="M156" s="64"/>
      <c r="N156" s="64"/>
      <c r="O156" s="64"/>
      <c r="P156" s="66"/>
    </row>
    <row r="157" spans="1:16" s="61" customFormat="1" ht="19.5" customHeight="1" thickBot="1" x14ac:dyDescent="0.35">
      <c r="A157" s="63"/>
      <c r="B157" s="64"/>
      <c r="C157" s="63"/>
      <c r="D157" s="64"/>
      <c r="E157" s="64"/>
      <c r="F157" s="64"/>
      <c r="G157" s="64"/>
      <c r="H157" s="64"/>
      <c r="I157" s="65"/>
      <c r="J157" s="64"/>
      <c r="K157" s="64"/>
      <c r="L157" s="64"/>
      <c r="M157" s="64"/>
      <c r="N157" s="64"/>
      <c r="O157" s="64"/>
      <c r="P157" s="66"/>
    </row>
    <row r="158" spans="1:16" thickBot="1" x14ac:dyDescent="0.35">
      <c r="A158" s="63"/>
      <c r="B158" s="64"/>
      <c r="C158" s="63"/>
      <c r="D158" s="64"/>
      <c r="E158" s="64"/>
      <c r="F158" s="64"/>
      <c r="G158" s="64"/>
      <c r="H158" s="64"/>
      <c r="I158" s="65"/>
      <c r="J158" s="67"/>
      <c r="K158" s="67"/>
      <c r="L158" s="64"/>
      <c r="M158" s="64"/>
      <c r="N158" s="64"/>
      <c r="O158" s="64"/>
      <c r="P158" s="66"/>
    </row>
    <row r="159" spans="1:16" thickBot="1" x14ac:dyDescent="0.35">
      <c r="A159" s="63"/>
      <c r="B159" s="64"/>
      <c r="C159" s="63"/>
      <c r="D159" s="64"/>
      <c r="E159" s="64"/>
      <c r="F159" s="64"/>
      <c r="G159" s="64"/>
      <c r="H159" s="64"/>
      <c r="I159" s="65"/>
      <c r="J159" s="64"/>
      <c r="K159" s="64"/>
      <c r="L159" s="64"/>
      <c r="M159" s="64"/>
      <c r="N159" s="64"/>
      <c r="O159" s="64"/>
      <c r="P159" s="66"/>
    </row>
    <row r="160" spans="1:16" thickBot="1" x14ac:dyDescent="0.35">
      <c r="A160" s="63"/>
      <c r="B160" s="64"/>
      <c r="C160" s="63"/>
      <c r="D160" s="64"/>
      <c r="E160" s="64"/>
      <c r="F160" s="64"/>
      <c r="G160" s="64"/>
      <c r="H160" s="64"/>
      <c r="I160" s="65"/>
      <c r="J160" s="67"/>
      <c r="K160" s="67"/>
      <c r="L160" s="64"/>
      <c r="M160" s="64"/>
      <c r="N160" s="64"/>
      <c r="O160" s="64"/>
      <c r="P160" s="66"/>
    </row>
    <row r="161" spans="1:16" thickBot="1" x14ac:dyDescent="0.35">
      <c r="A161" s="63"/>
      <c r="B161" s="64"/>
      <c r="C161" s="63"/>
      <c r="D161" s="64"/>
      <c r="E161" s="64"/>
      <c r="F161" s="64"/>
      <c r="G161" s="64"/>
      <c r="H161" s="64"/>
      <c r="I161" s="65"/>
      <c r="J161" s="64"/>
      <c r="K161" s="64"/>
      <c r="L161" s="64"/>
      <c r="M161" s="64"/>
      <c r="N161" s="64"/>
      <c r="O161" s="64"/>
      <c r="P161" s="66"/>
    </row>
    <row r="162" spans="1:16" thickBot="1" x14ac:dyDescent="0.35">
      <c r="A162" s="63"/>
      <c r="B162" s="64"/>
      <c r="C162" s="63"/>
      <c r="D162" s="64"/>
      <c r="E162" s="64"/>
      <c r="F162" s="64"/>
      <c r="G162" s="64"/>
      <c r="H162" s="64"/>
      <c r="I162" s="65"/>
      <c r="J162" s="67"/>
      <c r="K162" s="67"/>
      <c r="L162" s="64"/>
      <c r="M162" s="64"/>
      <c r="N162" s="64"/>
      <c r="O162" s="64"/>
      <c r="P162" s="66"/>
    </row>
    <row r="163" spans="1:16" thickBot="1" x14ac:dyDescent="0.35">
      <c r="A163" s="63"/>
      <c r="B163" s="64"/>
      <c r="C163" s="63"/>
      <c r="D163" s="64"/>
      <c r="E163" s="64"/>
      <c r="F163" s="64"/>
      <c r="G163" s="64"/>
      <c r="H163" s="64"/>
      <c r="I163" s="65"/>
      <c r="J163" s="64"/>
      <c r="K163" s="64"/>
      <c r="L163" s="64"/>
      <c r="M163" s="64"/>
      <c r="N163" s="64"/>
      <c r="O163" s="64"/>
      <c r="P163" s="66"/>
    </row>
    <row r="164" spans="1:16" thickBot="1" x14ac:dyDescent="0.35">
      <c r="A164" s="63"/>
      <c r="B164" s="64"/>
      <c r="C164" s="63"/>
      <c r="D164" s="64"/>
      <c r="E164" s="64"/>
      <c r="F164" s="64"/>
      <c r="G164" s="64"/>
      <c r="H164" s="64"/>
      <c r="I164" s="65"/>
      <c r="J164" s="67"/>
      <c r="K164" s="67"/>
      <c r="L164" s="64"/>
      <c r="M164" s="64"/>
      <c r="N164" s="64"/>
      <c r="O164" s="64"/>
      <c r="P164" s="66"/>
    </row>
    <row r="165" spans="1:16" thickBot="1" x14ac:dyDescent="0.35">
      <c r="A165" s="63"/>
      <c r="B165" s="64"/>
      <c r="C165" s="63"/>
      <c r="D165" s="64"/>
      <c r="E165" s="64"/>
      <c r="F165" s="64"/>
      <c r="G165" s="64"/>
      <c r="H165" s="64"/>
      <c r="I165" s="65"/>
      <c r="J165" s="64"/>
      <c r="K165" s="64"/>
      <c r="L165" s="64"/>
      <c r="M165" s="64"/>
      <c r="N165" s="64"/>
      <c r="O165" s="64"/>
      <c r="P165" s="66"/>
    </row>
    <row r="166" spans="1:16" thickBot="1" x14ac:dyDescent="0.35">
      <c r="A166" s="60"/>
      <c r="B166" s="61"/>
      <c r="C166" s="63"/>
      <c r="D166" s="61"/>
      <c r="E166" s="64"/>
      <c r="F166" s="61"/>
      <c r="G166" s="61"/>
      <c r="H166" s="61"/>
      <c r="I166" s="68"/>
      <c r="J166" s="69"/>
      <c r="K166" s="69"/>
      <c r="L166" s="61"/>
      <c r="M166" s="61"/>
      <c r="N166" s="61"/>
      <c r="O166" s="61"/>
      <c r="P166" s="62"/>
    </row>
    <row r="167" spans="1:16" thickBot="1" x14ac:dyDescent="0.35">
      <c r="A167" s="60"/>
      <c r="B167" s="61"/>
      <c r="C167" s="63"/>
      <c r="D167" s="61"/>
      <c r="E167" s="64"/>
      <c r="F167" s="61"/>
      <c r="G167" s="61"/>
      <c r="H167" s="61"/>
      <c r="I167" s="68"/>
      <c r="J167" s="61"/>
      <c r="K167" s="61"/>
      <c r="L167" s="61"/>
      <c r="M167" s="61"/>
      <c r="N167" s="61"/>
      <c r="O167" s="61"/>
      <c r="P167" s="62"/>
    </row>
    <row r="168" spans="1:16" thickBot="1" x14ac:dyDescent="0.35">
      <c r="A168" s="1"/>
      <c r="B168" s="1"/>
      <c r="C168" s="1"/>
      <c r="D168" s="1"/>
    </row>
    <row r="169" spans="1:16" thickBot="1" x14ac:dyDescent="0.35">
      <c r="A169" s="1"/>
      <c r="B169" s="1"/>
      <c r="C169" s="1"/>
      <c r="D169" s="1"/>
    </row>
    <row r="170" spans="1:16" thickBot="1" x14ac:dyDescent="0.35">
      <c r="A170" s="1"/>
      <c r="B170" s="1"/>
      <c r="C170" s="1"/>
      <c r="D170" s="1"/>
    </row>
    <row r="171" spans="1:16" thickBot="1" x14ac:dyDescent="0.35">
      <c r="A171" s="1"/>
      <c r="B171" s="1"/>
      <c r="C171" s="1"/>
      <c r="D171" s="1"/>
    </row>
    <row r="172" spans="1:16" thickBot="1" x14ac:dyDescent="0.35">
      <c r="A172" s="1"/>
      <c r="B172" s="1"/>
      <c r="C172" s="1"/>
      <c r="D172" s="1"/>
    </row>
    <row r="173" spans="1:16" thickBot="1" x14ac:dyDescent="0.35">
      <c r="A173" s="1"/>
      <c r="B173" s="1"/>
      <c r="C173" s="1"/>
      <c r="D173" s="1"/>
    </row>
    <row r="174" spans="1:16" thickBot="1" x14ac:dyDescent="0.35">
      <c r="A174" s="1"/>
      <c r="B174" s="1"/>
      <c r="C174" s="1"/>
      <c r="D174" s="1"/>
    </row>
    <row r="175" spans="1:16" thickBot="1" x14ac:dyDescent="0.35">
      <c r="A175" s="1"/>
      <c r="B175" s="1"/>
      <c r="C175" s="1"/>
      <c r="D175" s="1"/>
    </row>
    <row r="176" spans="1:16" thickBot="1" x14ac:dyDescent="0.35">
      <c r="A176" s="1"/>
      <c r="B176" s="1"/>
      <c r="C176" s="1"/>
      <c r="D176" s="1"/>
    </row>
    <row r="177" spans="1:4" thickBot="1" x14ac:dyDescent="0.35">
      <c r="A177" s="1"/>
      <c r="B177" s="1"/>
      <c r="C177" s="1"/>
      <c r="D177" s="1"/>
    </row>
    <row r="178" spans="1:4" thickBot="1" x14ac:dyDescent="0.35">
      <c r="A178" s="1"/>
      <c r="B178" s="1"/>
      <c r="C178" s="1"/>
      <c r="D178" s="1"/>
    </row>
    <row r="179" spans="1:4" thickBot="1" x14ac:dyDescent="0.35">
      <c r="A179" s="1"/>
      <c r="B179" s="1"/>
      <c r="C179" s="1"/>
      <c r="D179" s="1"/>
    </row>
    <row r="180" spans="1:4" thickBot="1" x14ac:dyDescent="0.35">
      <c r="A180" s="1"/>
      <c r="B180" s="1"/>
      <c r="C180" s="1"/>
      <c r="D180" s="1"/>
    </row>
    <row r="181" spans="1:4" thickBot="1" x14ac:dyDescent="0.35">
      <c r="A181" s="1"/>
      <c r="B181" s="1"/>
      <c r="C181" s="1"/>
      <c r="D181" s="1"/>
    </row>
    <row r="182" spans="1:4" thickBot="1" x14ac:dyDescent="0.35">
      <c r="A182" s="1"/>
      <c r="B182" s="1"/>
      <c r="C182" s="1"/>
      <c r="D182" s="1"/>
    </row>
    <row r="183" spans="1:4" thickBot="1" x14ac:dyDescent="0.35">
      <c r="A183" s="1"/>
      <c r="B183" s="1"/>
      <c r="C183" s="1"/>
      <c r="D183" s="1"/>
    </row>
    <row r="184" spans="1:4" thickBot="1" x14ac:dyDescent="0.35">
      <c r="A184" s="1"/>
      <c r="B184" s="1"/>
      <c r="C184" s="1"/>
      <c r="D184" s="1"/>
    </row>
    <row r="185" spans="1:4" thickBot="1" x14ac:dyDescent="0.35">
      <c r="A185" s="1"/>
      <c r="B185" s="1"/>
      <c r="C185" s="1"/>
      <c r="D185" s="1"/>
    </row>
    <row r="186" spans="1:4" thickBot="1" x14ac:dyDescent="0.35">
      <c r="A186" s="1"/>
      <c r="B186" s="1"/>
      <c r="C186" s="1"/>
      <c r="D186" s="1"/>
    </row>
    <row r="187" spans="1:4" thickBot="1" x14ac:dyDescent="0.35">
      <c r="A187" s="1"/>
      <c r="B187" s="1"/>
      <c r="C187" s="1"/>
      <c r="D187" s="1"/>
    </row>
    <row r="188" spans="1:4" thickBot="1" x14ac:dyDescent="0.35">
      <c r="A188" s="1"/>
      <c r="B188" s="1"/>
      <c r="C188" s="1"/>
      <c r="D188" s="1"/>
    </row>
    <row r="189" spans="1:4" thickBot="1" x14ac:dyDescent="0.35">
      <c r="A189" s="1"/>
      <c r="B189" s="1"/>
      <c r="C189" s="1"/>
      <c r="D189" s="1"/>
    </row>
    <row r="190" spans="1:4" thickBot="1" x14ac:dyDescent="0.35">
      <c r="A190" s="1"/>
      <c r="B190" s="1"/>
      <c r="C190" s="1"/>
      <c r="D190" s="1"/>
    </row>
    <row r="191" spans="1:4" thickBot="1" x14ac:dyDescent="0.35">
      <c r="A191" s="1"/>
      <c r="B191" s="1"/>
      <c r="C191" s="1"/>
      <c r="D191" s="1"/>
    </row>
    <row r="192" spans="1:4" thickBot="1" x14ac:dyDescent="0.35">
      <c r="A192" s="1"/>
      <c r="B192" s="1"/>
      <c r="C192" s="1"/>
      <c r="D192" s="1"/>
    </row>
    <row r="193" spans="1:4" thickBot="1" x14ac:dyDescent="0.35">
      <c r="A193" s="1"/>
      <c r="B193" s="1"/>
      <c r="C193" s="1"/>
      <c r="D193" s="1"/>
    </row>
    <row r="194" spans="1:4" thickBot="1" x14ac:dyDescent="0.35">
      <c r="A194" s="1"/>
      <c r="B194" s="1"/>
      <c r="C194" s="1"/>
      <c r="D194" s="1"/>
    </row>
    <row r="195" spans="1:4" thickBot="1" x14ac:dyDescent="0.35">
      <c r="A195" s="1"/>
      <c r="B195" s="1"/>
      <c r="C195" s="1"/>
      <c r="D195" s="1"/>
    </row>
    <row r="196" spans="1:4" thickBot="1" x14ac:dyDescent="0.35">
      <c r="A196" s="1"/>
      <c r="B196" s="1"/>
      <c r="C196" s="1"/>
      <c r="D196" s="1"/>
    </row>
    <row r="197" spans="1:4" thickBot="1" x14ac:dyDescent="0.35">
      <c r="A197" s="1"/>
      <c r="B197" s="1"/>
      <c r="C197" s="1"/>
      <c r="D197" s="1"/>
    </row>
    <row r="198" spans="1:4" thickBot="1" x14ac:dyDescent="0.35">
      <c r="A198" s="1"/>
      <c r="B198" s="1"/>
      <c r="C198" s="1"/>
      <c r="D198" s="1"/>
    </row>
    <row r="199" spans="1:4" thickBot="1" x14ac:dyDescent="0.35">
      <c r="A199" s="1"/>
      <c r="B199" s="1"/>
      <c r="C199" s="1"/>
      <c r="D199" s="1"/>
    </row>
    <row r="200" spans="1:4" thickBot="1" x14ac:dyDescent="0.35">
      <c r="A200" s="1"/>
      <c r="B200" s="1"/>
      <c r="C200" s="1"/>
      <c r="D200" s="1"/>
    </row>
    <row r="201" spans="1:4" thickBot="1" x14ac:dyDescent="0.35">
      <c r="A201" s="1"/>
      <c r="B201" s="1"/>
      <c r="C201" s="1"/>
      <c r="D201" s="1"/>
    </row>
    <row r="202" spans="1:4" thickBot="1" x14ac:dyDescent="0.35">
      <c r="A202" s="1"/>
      <c r="B202" s="1"/>
      <c r="C202" s="1"/>
      <c r="D202" s="1"/>
    </row>
    <row r="203" spans="1:4" thickBot="1" x14ac:dyDescent="0.35">
      <c r="A203" s="1"/>
      <c r="B203" s="1"/>
      <c r="C203" s="1"/>
      <c r="D203" s="1"/>
    </row>
    <row r="204" spans="1:4" thickBot="1" x14ac:dyDescent="0.35">
      <c r="A204" s="1"/>
      <c r="B204" s="1"/>
      <c r="C204" s="1"/>
      <c r="D204" s="1"/>
    </row>
    <row r="205" spans="1:4" thickBot="1" x14ac:dyDescent="0.35">
      <c r="A205" s="1"/>
      <c r="B205" s="1"/>
      <c r="C205" s="1"/>
      <c r="D205" s="1"/>
    </row>
    <row r="206" spans="1:4" thickBot="1" x14ac:dyDescent="0.35">
      <c r="A206" s="1"/>
      <c r="B206" s="1"/>
      <c r="C206" s="1"/>
      <c r="D206" s="1"/>
    </row>
    <row r="207" spans="1:4" thickBot="1" x14ac:dyDescent="0.35">
      <c r="A207" s="1"/>
      <c r="B207" s="1"/>
      <c r="C207" s="1"/>
      <c r="D207" s="1"/>
    </row>
    <row r="208" spans="1:4" thickBot="1" x14ac:dyDescent="0.35">
      <c r="A208" s="1"/>
      <c r="B208" s="1"/>
      <c r="C208" s="1"/>
      <c r="D208" s="1"/>
    </row>
    <row r="209" spans="1:4" thickBot="1" x14ac:dyDescent="0.35">
      <c r="A209" s="1"/>
      <c r="B209" s="1"/>
      <c r="C209" s="1"/>
      <c r="D209" s="1"/>
    </row>
    <row r="210" spans="1:4" thickBot="1" x14ac:dyDescent="0.35">
      <c r="A210" s="1"/>
      <c r="B210" s="1"/>
      <c r="C210" s="1"/>
      <c r="D210" s="1"/>
    </row>
    <row r="211" spans="1:4" thickBot="1" x14ac:dyDescent="0.35">
      <c r="A211" s="1"/>
      <c r="B211" s="1"/>
      <c r="C211" s="1"/>
      <c r="D211" s="1"/>
    </row>
    <row r="212" spans="1:4" thickBot="1" x14ac:dyDescent="0.35">
      <c r="A212" s="1"/>
      <c r="B212" s="1"/>
      <c r="C212" s="1"/>
      <c r="D212" s="1"/>
    </row>
    <row r="213" spans="1:4" thickBot="1" x14ac:dyDescent="0.35">
      <c r="A213" s="1"/>
      <c r="B213" s="1"/>
      <c r="C213" s="1"/>
      <c r="D213" s="1"/>
    </row>
    <row r="214" spans="1:4" thickBot="1" x14ac:dyDescent="0.35">
      <c r="A214" s="1"/>
      <c r="B214" s="1"/>
      <c r="C214" s="1"/>
      <c r="D214" s="1"/>
    </row>
    <row r="215" spans="1:4" thickBot="1" x14ac:dyDescent="0.35">
      <c r="A215" s="1"/>
      <c r="B215" s="1"/>
      <c r="C215" s="1"/>
      <c r="D215" s="1"/>
    </row>
    <row r="216" spans="1:4" thickBot="1" x14ac:dyDescent="0.35">
      <c r="A216" s="1"/>
      <c r="B216" s="1"/>
      <c r="C216" s="1"/>
      <c r="D216" s="1"/>
    </row>
    <row r="217" spans="1:4" thickBot="1" x14ac:dyDescent="0.35">
      <c r="A217" s="1"/>
      <c r="B217" s="1"/>
      <c r="C217" s="1"/>
      <c r="D217" s="1"/>
    </row>
    <row r="218" spans="1:4" thickBot="1" x14ac:dyDescent="0.35">
      <c r="A218" s="1"/>
      <c r="B218" s="1"/>
      <c r="C218" s="1"/>
      <c r="D218" s="1"/>
    </row>
    <row r="219" spans="1:4" thickBot="1" x14ac:dyDescent="0.35">
      <c r="A219" s="1"/>
      <c r="B219" s="1"/>
      <c r="C219" s="1"/>
      <c r="D219" s="1"/>
    </row>
    <row r="220" spans="1:4" thickBot="1" x14ac:dyDescent="0.35">
      <c r="A220" s="1"/>
      <c r="B220" s="1"/>
      <c r="C220" s="1"/>
      <c r="D220" s="1"/>
    </row>
    <row r="221" spans="1:4" thickBot="1" x14ac:dyDescent="0.35">
      <c r="A221" s="1"/>
      <c r="B221" s="1"/>
      <c r="C221" s="1"/>
      <c r="D221" s="1"/>
    </row>
    <row r="222" spans="1:4" thickBot="1" x14ac:dyDescent="0.35">
      <c r="A222" s="1"/>
      <c r="B222" s="1"/>
      <c r="C222" s="1"/>
      <c r="D222" s="1"/>
    </row>
    <row r="223" spans="1:4" thickBot="1" x14ac:dyDescent="0.35">
      <c r="A223" s="1"/>
      <c r="B223" s="1"/>
      <c r="C223" s="1"/>
      <c r="D223" s="1"/>
    </row>
    <row r="224" spans="1:4" thickBot="1" x14ac:dyDescent="0.35">
      <c r="A224" s="1"/>
      <c r="B224" s="1"/>
      <c r="C224" s="1"/>
      <c r="D224" s="1"/>
    </row>
    <row r="225" spans="1:4" thickBot="1" x14ac:dyDescent="0.35">
      <c r="A225" s="1"/>
      <c r="B225" s="1"/>
      <c r="C225" s="1"/>
      <c r="D225" s="1"/>
    </row>
    <row r="226" spans="1:4" thickBot="1" x14ac:dyDescent="0.35">
      <c r="A226" s="1"/>
      <c r="B226" s="1"/>
      <c r="C226" s="1"/>
      <c r="D226" s="1"/>
    </row>
    <row r="227" spans="1:4" thickBot="1" x14ac:dyDescent="0.35">
      <c r="A227" s="1"/>
      <c r="B227" s="1"/>
      <c r="C227" s="1"/>
      <c r="D227" s="1"/>
    </row>
    <row r="228" spans="1:4" thickBot="1" x14ac:dyDescent="0.35">
      <c r="A228" s="1"/>
      <c r="B228" s="1"/>
      <c r="C228" s="1"/>
      <c r="D228" s="1"/>
    </row>
    <row r="229" spans="1:4" thickBot="1" x14ac:dyDescent="0.35">
      <c r="A229" s="1"/>
      <c r="B229" s="1"/>
      <c r="C229" s="1"/>
      <c r="D229" s="1"/>
    </row>
    <row r="230" spans="1:4" thickBot="1" x14ac:dyDescent="0.35">
      <c r="A230" s="1"/>
      <c r="B230" s="1"/>
      <c r="C230" s="1"/>
      <c r="D230" s="1"/>
    </row>
    <row r="231" spans="1:4" thickBot="1" x14ac:dyDescent="0.35">
      <c r="A231" s="1"/>
      <c r="B231" s="1"/>
      <c r="C231" s="1"/>
      <c r="D231" s="1"/>
    </row>
    <row r="232" spans="1:4" thickBot="1" x14ac:dyDescent="0.35">
      <c r="A232" s="1"/>
      <c r="B232" s="1"/>
      <c r="C232" s="1"/>
      <c r="D232" s="1"/>
    </row>
    <row r="233" spans="1:4" thickBot="1" x14ac:dyDescent="0.35">
      <c r="A233" s="1"/>
      <c r="B233" s="1"/>
      <c r="C233" s="1"/>
      <c r="D233" s="1"/>
    </row>
    <row r="234" spans="1:4" thickBot="1" x14ac:dyDescent="0.35">
      <c r="A234" s="1"/>
      <c r="B234" s="1"/>
      <c r="C234" s="1"/>
      <c r="D234" s="1"/>
    </row>
    <row r="235" spans="1:4" thickBot="1" x14ac:dyDescent="0.35">
      <c r="A235" s="1"/>
      <c r="B235" s="1"/>
      <c r="C235" s="1"/>
      <c r="D235" s="1"/>
    </row>
    <row r="236" spans="1:4" thickBot="1" x14ac:dyDescent="0.35">
      <c r="A236" s="1"/>
      <c r="B236" s="1"/>
      <c r="C236" s="1"/>
      <c r="D236" s="1"/>
    </row>
    <row r="237" spans="1:4" thickBot="1" x14ac:dyDescent="0.35">
      <c r="A237" s="1"/>
      <c r="B237" s="1"/>
      <c r="C237" s="1"/>
      <c r="D237" s="1"/>
    </row>
    <row r="238" spans="1:4" thickBot="1" x14ac:dyDescent="0.35">
      <c r="A238" s="1"/>
      <c r="B238" s="1"/>
      <c r="C238" s="1"/>
      <c r="D238" s="1"/>
    </row>
    <row r="239" spans="1:4" thickBot="1" x14ac:dyDescent="0.35">
      <c r="A239" s="1"/>
      <c r="B239" s="1"/>
      <c r="C239" s="1"/>
      <c r="D239" s="1"/>
    </row>
    <row r="240" spans="1:4" thickBot="1" x14ac:dyDescent="0.35">
      <c r="A240" s="1"/>
      <c r="B240" s="1"/>
      <c r="C240" s="1"/>
      <c r="D240" s="1"/>
    </row>
    <row r="241" spans="1:4" thickBot="1" x14ac:dyDescent="0.35">
      <c r="A241" s="1"/>
      <c r="B241" s="1"/>
      <c r="C241" s="1"/>
      <c r="D241" s="1"/>
    </row>
    <row r="242" spans="1:4" thickBot="1" x14ac:dyDescent="0.35">
      <c r="A242" s="1"/>
      <c r="B242" s="1"/>
      <c r="C242" s="1"/>
      <c r="D242" s="1"/>
    </row>
    <row r="243" spans="1:4" thickBot="1" x14ac:dyDescent="0.35">
      <c r="A243" s="1"/>
      <c r="B243" s="1"/>
      <c r="C243" s="1"/>
      <c r="D243" s="1"/>
    </row>
    <row r="244" spans="1:4" thickBot="1" x14ac:dyDescent="0.35">
      <c r="A244" s="1"/>
      <c r="B244" s="1"/>
      <c r="C244" s="1"/>
      <c r="D244" s="1"/>
    </row>
    <row r="245" spans="1:4" thickBot="1" x14ac:dyDescent="0.35">
      <c r="A245" s="1"/>
      <c r="B245" s="1"/>
      <c r="C245" s="1"/>
      <c r="D245" s="1"/>
    </row>
    <row r="246" spans="1:4" thickBot="1" x14ac:dyDescent="0.35">
      <c r="A246" s="1"/>
      <c r="B246" s="1"/>
      <c r="C246" s="1"/>
      <c r="D246" s="1"/>
    </row>
    <row r="247" spans="1:4" thickBot="1" x14ac:dyDescent="0.35">
      <c r="A247" s="1"/>
      <c r="B247" s="1"/>
      <c r="C247" s="1"/>
      <c r="D247" s="1"/>
    </row>
    <row r="248" spans="1:4" thickBot="1" x14ac:dyDescent="0.35">
      <c r="A248" s="1"/>
      <c r="B248" s="1"/>
      <c r="C248" s="1"/>
      <c r="D248" s="1"/>
    </row>
    <row r="249" spans="1:4" thickBot="1" x14ac:dyDescent="0.35">
      <c r="A249" s="1"/>
      <c r="B249" s="1"/>
      <c r="C249" s="1"/>
      <c r="D249" s="1"/>
    </row>
    <row r="250" spans="1:4" thickBot="1" x14ac:dyDescent="0.35">
      <c r="A250" s="1"/>
      <c r="B250" s="1"/>
      <c r="C250" s="1"/>
      <c r="D250" s="1"/>
    </row>
    <row r="251" spans="1:4" thickBot="1" x14ac:dyDescent="0.35">
      <c r="A251" s="1"/>
      <c r="B251" s="1"/>
      <c r="C251" s="1"/>
      <c r="D251" s="1"/>
    </row>
    <row r="252" spans="1:4" thickBot="1" x14ac:dyDescent="0.35">
      <c r="A252" s="1"/>
      <c r="B252" s="1"/>
      <c r="C252" s="1"/>
      <c r="D252" s="1"/>
    </row>
    <row r="253" spans="1:4" thickBot="1" x14ac:dyDescent="0.35">
      <c r="A253" s="1"/>
      <c r="B253" s="1"/>
      <c r="C253" s="1"/>
      <c r="D253" s="1"/>
    </row>
    <row r="254" spans="1:4" thickBot="1" x14ac:dyDescent="0.35">
      <c r="A254" s="1"/>
      <c r="B254" s="1"/>
      <c r="C254" s="1"/>
      <c r="D254" s="1"/>
    </row>
    <row r="255" spans="1:4" thickBot="1" x14ac:dyDescent="0.35">
      <c r="A255" s="1"/>
      <c r="B255" s="1"/>
      <c r="C255" s="1"/>
      <c r="D255" s="1"/>
    </row>
    <row r="256" spans="1:4" thickBot="1" x14ac:dyDescent="0.35">
      <c r="A256" s="1"/>
      <c r="B256" s="1"/>
      <c r="C256" s="1"/>
      <c r="D256" s="1"/>
    </row>
    <row r="257" spans="1:4" thickBot="1" x14ac:dyDescent="0.35">
      <c r="A257" s="1"/>
      <c r="B257" s="1"/>
      <c r="C257" s="1"/>
      <c r="D257" s="1"/>
    </row>
    <row r="258" spans="1:4" thickBot="1" x14ac:dyDescent="0.35">
      <c r="A258" s="1"/>
      <c r="B258" s="1"/>
      <c r="C258" s="1"/>
      <c r="D258" s="1"/>
    </row>
    <row r="259" spans="1:4" thickBot="1" x14ac:dyDescent="0.35">
      <c r="A259" s="1"/>
      <c r="B259" s="1"/>
      <c r="C259" s="1"/>
      <c r="D259" s="1"/>
    </row>
    <row r="260" spans="1:4" thickBot="1" x14ac:dyDescent="0.35">
      <c r="A260" s="1"/>
      <c r="B260" s="1"/>
      <c r="C260" s="1"/>
      <c r="D260" s="1"/>
    </row>
    <row r="261" spans="1:4" thickBot="1" x14ac:dyDescent="0.35">
      <c r="A261" s="1"/>
      <c r="B261" s="1"/>
      <c r="C261" s="1"/>
      <c r="D261" s="1"/>
    </row>
    <row r="262" spans="1:4" thickBot="1" x14ac:dyDescent="0.35">
      <c r="A262" s="1"/>
      <c r="B262" s="1"/>
      <c r="C262" s="1"/>
      <c r="D262" s="1"/>
    </row>
    <row r="263" spans="1:4" thickBot="1" x14ac:dyDescent="0.35">
      <c r="A263" s="1"/>
      <c r="B263" s="1"/>
      <c r="C263" s="1"/>
      <c r="D263" s="1"/>
    </row>
    <row r="264" spans="1:4" thickBot="1" x14ac:dyDescent="0.35">
      <c r="A264" s="1"/>
      <c r="B264" s="1"/>
      <c r="C264" s="1"/>
      <c r="D264" s="1"/>
    </row>
    <row r="265" spans="1:4" thickBot="1" x14ac:dyDescent="0.35">
      <c r="A265" s="1"/>
      <c r="B265" s="1"/>
      <c r="C265" s="1"/>
      <c r="D265" s="1"/>
    </row>
    <row r="266" spans="1:4" thickBot="1" x14ac:dyDescent="0.35">
      <c r="A266" s="1"/>
      <c r="B266" s="1"/>
      <c r="C266" s="1"/>
      <c r="D266" s="1"/>
    </row>
    <row r="267" spans="1:4" thickBot="1" x14ac:dyDescent="0.35">
      <c r="A267" s="1"/>
      <c r="B267" s="1"/>
      <c r="C267" s="1"/>
      <c r="D267" s="1"/>
    </row>
    <row r="268" spans="1:4" thickBot="1" x14ac:dyDescent="0.35">
      <c r="A268" s="1"/>
      <c r="B268" s="1"/>
      <c r="C268" s="1"/>
      <c r="D268" s="1"/>
    </row>
    <row r="269" spans="1:4" thickBot="1" x14ac:dyDescent="0.35">
      <c r="A269" s="1"/>
      <c r="B269" s="1"/>
      <c r="C269" s="1"/>
      <c r="D269" s="1"/>
    </row>
    <row r="270" spans="1:4" thickBot="1" x14ac:dyDescent="0.35">
      <c r="A270" s="1"/>
      <c r="B270" s="1"/>
      <c r="C270" s="1"/>
      <c r="D270" s="1"/>
    </row>
    <row r="271" spans="1:4" thickBot="1" x14ac:dyDescent="0.35">
      <c r="A271" s="1"/>
      <c r="B271" s="1"/>
      <c r="C271" s="1"/>
      <c r="D271" s="1"/>
    </row>
    <row r="272" spans="1:4" thickBot="1" x14ac:dyDescent="0.35">
      <c r="A272" s="1"/>
      <c r="B272" s="1"/>
      <c r="C272" s="1"/>
      <c r="D272" s="1"/>
    </row>
    <row r="273" spans="1:4" thickBot="1" x14ac:dyDescent="0.35">
      <c r="A273" s="1"/>
      <c r="B273" s="1"/>
      <c r="C273" s="1"/>
      <c r="D273" s="1"/>
    </row>
    <row r="274" spans="1:4" thickBot="1" x14ac:dyDescent="0.35">
      <c r="A274" s="1"/>
      <c r="B274" s="1"/>
      <c r="C274" s="1"/>
      <c r="D274" s="1"/>
    </row>
    <row r="275" spans="1:4" thickBot="1" x14ac:dyDescent="0.35">
      <c r="A275" s="1"/>
      <c r="B275" s="1"/>
      <c r="C275" s="1"/>
      <c r="D275" s="1"/>
    </row>
    <row r="276" spans="1:4" thickBot="1" x14ac:dyDescent="0.35">
      <c r="A276" s="1"/>
      <c r="B276" s="1"/>
      <c r="C276" s="1"/>
      <c r="D276" s="1"/>
    </row>
    <row r="277" spans="1:4" thickBot="1" x14ac:dyDescent="0.35">
      <c r="A277" s="1"/>
      <c r="B277" s="1"/>
      <c r="C277" s="1"/>
      <c r="D277" s="1"/>
    </row>
    <row r="278" spans="1:4" thickBot="1" x14ac:dyDescent="0.35">
      <c r="A278" s="1"/>
      <c r="B278" s="1"/>
      <c r="C278" s="1"/>
      <c r="D278" s="1"/>
    </row>
    <row r="279" spans="1:4" thickBot="1" x14ac:dyDescent="0.35">
      <c r="A279" s="1"/>
      <c r="B279" s="1"/>
      <c r="C279" s="1"/>
      <c r="D279" s="1"/>
    </row>
    <row r="280" spans="1:4" thickBot="1" x14ac:dyDescent="0.35">
      <c r="A280" s="1"/>
      <c r="B280" s="1"/>
      <c r="C280" s="1"/>
      <c r="D280" s="1"/>
    </row>
    <row r="281" spans="1:4" thickBot="1" x14ac:dyDescent="0.35">
      <c r="A281" s="1"/>
      <c r="B281" s="1"/>
      <c r="C281" s="1"/>
      <c r="D281" s="1"/>
    </row>
    <row r="282" spans="1:4" thickBot="1" x14ac:dyDescent="0.35">
      <c r="A282" s="1"/>
      <c r="B282" s="1"/>
      <c r="C282" s="1"/>
      <c r="D282" s="1"/>
    </row>
    <row r="283" spans="1:4" thickBot="1" x14ac:dyDescent="0.35">
      <c r="A283" s="1"/>
      <c r="B283" s="1"/>
      <c r="C283" s="1"/>
      <c r="D283" s="1"/>
    </row>
    <row r="284" spans="1:4" thickBot="1" x14ac:dyDescent="0.35">
      <c r="A284" s="1"/>
      <c r="B284" s="1"/>
      <c r="C284" s="1"/>
      <c r="D284" s="1"/>
    </row>
    <row r="285" spans="1:4" thickBot="1" x14ac:dyDescent="0.35">
      <c r="A285" s="1"/>
      <c r="B285" s="1"/>
      <c r="C285" s="1"/>
      <c r="D285" s="1"/>
    </row>
    <row r="286" spans="1:4" thickBot="1" x14ac:dyDescent="0.35">
      <c r="A286" s="1"/>
      <c r="B286" s="1"/>
      <c r="C286" s="1"/>
      <c r="D286" s="1"/>
    </row>
    <row r="287" spans="1:4" thickBot="1" x14ac:dyDescent="0.35">
      <c r="A287" s="1"/>
      <c r="B287" s="1"/>
      <c r="C287" s="1"/>
      <c r="D287" s="1"/>
    </row>
    <row r="288" spans="1:4" thickBot="1" x14ac:dyDescent="0.35">
      <c r="A288" s="1"/>
      <c r="B288" s="1"/>
      <c r="C288" s="1"/>
      <c r="D288" s="1"/>
    </row>
    <row r="289" spans="1:4" thickBot="1" x14ac:dyDescent="0.35">
      <c r="A289" s="1"/>
      <c r="B289" s="1"/>
      <c r="C289" s="1"/>
      <c r="D289" s="1"/>
    </row>
    <row r="290" spans="1:4" thickBot="1" x14ac:dyDescent="0.35">
      <c r="A290" s="1"/>
      <c r="B290" s="1"/>
      <c r="C290" s="1"/>
      <c r="D290" s="1"/>
    </row>
    <row r="291" spans="1:4" thickBot="1" x14ac:dyDescent="0.35">
      <c r="A291" s="1"/>
      <c r="B291" s="1"/>
      <c r="C291" s="1"/>
      <c r="D291" s="1"/>
    </row>
    <row r="292" spans="1:4" thickBot="1" x14ac:dyDescent="0.35">
      <c r="A292" s="1"/>
      <c r="B292" s="1"/>
      <c r="C292" s="1"/>
      <c r="D292" s="1"/>
    </row>
    <row r="293" spans="1:4" thickBot="1" x14ac:dyDescent="0.35">
      <c r="A293" s="1"/>
      <c r="B293" s="1"/>
      <c r="C293" s="1"/>
      <c r="D293" s="1"/>
    </row>
    <row r="294" spans="1:4" thickBot="1" x14ac:dyDescent="0.35">
      <c r="A294" s="1"/>
      <c r="B294" s="1"/>
      <c r="C294" s="1"/>
      <c r="D294" s="1"/>
    </row>
    <row r="295" spans="1:4" thickBot="1" x14ac:dyDescent="0.35">
      <c r="A295" s="1"/>
      <c r="B295" s="1"/>
      <c r="C295" s="1"/>
      <c r="D295" s="1"/>
    </row>
    <row r="296" spans="1:4" thickBot="1" x14ac:dyDescent="0.35">
      <c r="A296" s="1"/>
      <c r="B296" s="1"/>
      <c r="C296" s="1"/>
      <c r="D296" s="1"/>
    </row>
    <row r="297" spans="1:4" thickBot="1" x14ac:dyDescent="0.35">
      <c r="A297" s="1"/>
      <c r="B297" s="1"/>
      <c r="C297" s="1"/>
      <c r="D297" s="1"/>
    </row>
    <row r="298" spans="1:4" thickBot="1" x14ac:dyDescent="0.35">
      <c r="A298" s="1"/>
      <c r="B298" s="1"/>
      <c r="C298" s="1"/>
      <c r="D298" s="1"/>
    </row>
    <row r="299" spans="1:4" thickBot="1" x14ac:dyDescent="0.35">
      <c r="A299" s="1"/>
      <c r="B299" s="1"/>
      <c r="C299" s="1"/>
      <c r="D299" s="1"/>
    </row>
    <row r="300" spans="1:4" thickBot="1" x14ac:dyDescent="0.35">
      <c r="A300" s="1"/>
      <c r="B300" s="1"/>
      <c r="C300" s="1"/>
      <c r="D300" s="1"/>
    </row>
    <row r="301" spans="1:4" thickBot="1" x14ac:dyDescent="0.35">
      <c r="A301" s="1"/>
      <c r="B301" s="1"/>
      <c r="C301" s="1"/>
      <c r="D301" s="1"/>
    </row>
    <row r="302" spans="1:4" thickBot="1" x14ac:dyDescent="0.35">
      <c r="A302" s="1"/>
      <c r="B302" s="1"/>
      <c r="C302" s="1"/>
      <c r="D302" s="1"/>
    </row>
    <row r="303" spans="1:4" thickBot="1" x14ac:dyDescent="0.35">
      <c r="A303" s="1"/>
      <c r="B303" s="1"/>
      <c r="C303" s="1"/>
      <c r="D303" s="1"/>
    </row>
    <row r="304" spans="1:4" thickBot="1" x14ac:dyDescent="0.35">
      <c r="A304" s="1"/>
      <c r="B304" s="1"/>
      <c r="C304" s="1"/>
      <c r="D304" s="1"/>
    </row>
    <row r="305" spans="1:4" thickBot="1" x14ac:dyDescent="0.35">
      <c r="A305" s="1"/>
      <c r="B305" s="1"/>
      <c r="C305" s="1"/>
      <c r="D305" s="1"/>
    </row>
    <row r="306" spans="1:4" thickBot="1" x14ac:dyDescent="0.35">
      <c r="A306" s="1"/>
      <c r="B306" s="1"/>
      <c r="C306" s="1"/>
      <c r="D306" s="1"/>
    </row>
    <row r="307" spans="1:4" thickBot="1" x14ac:dyDescent="0.35">
      <c r="A307" s="1"/>
      <c r="B307" s="1"/>
      <c r="C307" s="1"/>
      <c r="D307" s="1"/>
    </row>
    <row r="308" spans="1:4" thickBot="1" x14ac:dyDescent="0.35">
      <c r="A308" s="1"/>
      <c r="B308" s="1"/>
      <c r="C308" s="1"/>
      <c r="D308" s="1"/>
    </row>
    <row r="309" spans="1:4" thickBot="1" x14ac:dyDescent="0.35">
      <c r="A309" s="1"/>
      <c r="B309" s="1"/>
      <c r="C309" s="1"/>
      <c r="D309" s="1"/>
    </row>
    <row r="310" spans="1:4" thickBot="1" x14ac:dyDescent="0.35">
      <c r="A310" s="1"/>
      <c r="B310" s="1"/>
      <c r="C310" s="1"/>
      <c r="D310" s="1"/>
    </row>
    <row r="311" spans="1:4" thickBot="1" x14ac:dyDescent="0.35">
      <c r="A311" s="1"/>
      <c r="B311" s="1"/>
      <c r="C311" s="1"/>
      <c r="D311" s="1"/>
    </row>
    <row r="312" spans="1:4" thickBot="1" x14ac:dyDescent="0.35">
      <c r="A312" s="1"/>
      <c r="B312" s="1"/>
      <c r="C312" s="1"/>
      <c r="D312" s="1"/>
    </row>
    <row r="313" spans="1:4" thickBot="1" x14ac:dyDescent="0.35">
      <c r="A313" s="1"/>
      <c r="B313" s="1"/>
      <c r="C313" s="1"/>
      <c r="D313" s="1"/>
    </row>
    <row r="314" spans="1:4" thickBot="1" x14ac:dyDescent="0.35">
      <c r="A314" s="1"/>
      <c r="B314" s="1"/>
      <c r="C314" s="1"/>
      <c r="D314" s="1"/>
    </row>
    <row r="315" spans="1:4" thickBot="1" x14ac:dyDescent="0.35">
      <c r="A315" s="1"/>
      <c r="B315" s="1"/>
      <c r="C315" s="1"/>
      <c r="D315" s="1"/>
    </row>
    <row r="316" spans="1:4" thickBot="1" x14ac:dyDescent="0.35">
      <c r="A316" s="1"/>
      <c r="B316" s="1"/>
      <c r="C316" s="1"/>
      <c r="D316" s="1"/>
    </row>
    <row r="317" spans="1:4" thickBot="1" x14ac:dyDescent="0.35">
      <c r="A317" s="1"/>
      <c r="B317" s="1"/>
      <c r="C317" s="1"/>
      <c r="D317" s="1"/>
    </row>
    <row r="318" spans="1:4" thickBot="1" x14ac:dyDescent="0.35">
      <c r="A318" s="1"/>
      <c r="B318" s="1"/>
      <c r="C318" s="1"/>
      <c r="D318" s="1"/>
    </row>
    <row r="319" spans="1:4" thickBot="1" x14ac:dyDescent="0.35">
      <c r="A319" s="1"/>
      <c r="B319" s="1"/>
      <c r="C319" s="1"/>
      <c r="D319" s="1"/>
    </row>
    <row r="320" spans="1:4" thickBot="1" x14ac:dyDescent="0.35">
      <c r="A320" s="1"/>
      <c r="B320" s="1"/>
      <c r="C320" s="1"/>
      <c r="D320" s="1"/>
    </row>
    <row r="321" spans="1:4" thickBot="1" x14ac:dyDescent="0.35">
      <c r="A321" s="1"/>
      <c r="B321" s="1"/>
      <c r="C321" s="1"/>
      <c r="D321" s="1"/>
    </row>
    <row r="322" spans="1:4" thickBot="1" x14ac:dyDescent="0.35">
      <c r="A322" s="1"/>
      <c r="B322" s="1"/>
      <c r="C322" s="1"/>
      <c r="D322" s="1"/>
    </row>
    <row r="323" spans="1:4" thickBot="1" x14ac:dyDescent="0.35">
      <c r="A323" s="1"/>
      <c r="B323" s="1"/>
      <c r="C323" s="1"/>
      <c r="D323" s="1"/>
    </row>
    <row r="324" spans="1:4" thickBot="1" x14ac:dyDescent="0.35">
      <c r="A324" s="1"/>
      <c r="B324" s="1"/>
      <c r="C324" s="1"/>
      <c r="D324" s="1"/>
    </row>
    <row r="325" spans="1:4" thickBot="1" x14ac:dyDescent="0.35">
      <c r="A325" s="1"/>
      <c r="B325" s="1"/>
      <c r="C325" s="1"/>
      <c r="D325" s="1"/>
    </row>
    <row r="326" spans="1:4" thickBot="1" x14ac:dyDescent="0.35">
      <c r="A326" s="1"/>
      <c r="B326" s="1"/>
      <c r="C326" s="1"/>
      <c r="D326" s="1"/>
    </row>
    <row r="327" spans="1:4" thickBot="1" x14ac:dyDescent="0.35">
      <c r="A327" s="1"/>
      <c r="B327" s="1"/>
      <c r="C327" s="1"/>
      <c r="D327" s="1"/>
    </row>
    <row r="328" spans="1:4" thickBot="1" x14ac:dyDescent="0.35">
      <c r="A328" s="1"/>
      <c r="B328" s="1"/>
      <c r="C328" s="1"/>
      <c r="D328" s="1"/>
    </row>
    <row r="329" spans="1:4" thickBot="1" x14ac:dyDescent="0.35">
      <c r="A329" s="1"/>
      <c r="B329" s="1"/>
      <c r="C329" s="1"/>
      <c r="D329" s="1"/>
    </row>
    <row r="330" spans="1:4" thickBot="1" x14ac:dyDescent="0.35">
      <c r="A330" s="1"/>
      <c r="B330" s="1"/>
      <c r="C330" s="1"/>
      <c r="D330" s="1"/>
    </row>
    <row r="331" spans="1:4" thickBot="1" x14ac:dyDescent="0.35">
      <c r="A331" s="1"/>
      <c r="B331" s="1"/>
      <c r="C331" s="1"/>
      <c r="D331" s="1"/>
    </row>
    <row r="332" spans="1:4" thickBot="1" x14ac:dyDescent="0.35">
      <c r="A332" s="1"/>
      <c r="B332" s="1"/>
      <c r="C332" s="1"/>
      <c r="D332" s="1"/>
    </row>
    <row r="333" spans="1:4" thickBot="1" x14ac:dyDescent="0.35">
      <c r="A333" s="1"/>
      <c r="B333" s="1"/>
      <c r="C333" s="1"/>
      <c r="D333" s="1"/>
    </row>
    <row r="334" spans="1:4" thickBot="1" x14ac:dyDescent="0.35">
      <c r="A334" s="1"/>
      <c r="B334" s="1"/>
      <c r="C334" s="1"/>
      <c r="D334" s="1"/>
    </row>
    <row r="335" spans="1:4" thickBot="1" x14ac:dyDescent="0.35">
      <c r="A335" s="1"/>
      <c r="B335" s="1"/>
      <c r="C335" s="1"/>
      <c r="D335" s="1"/>
    </row>
    <row r="336" spans="1:4" thickBot="1" x14ac:dyDescent="0.35">
      <c r="A336" s="1"/>
      <c r="B336" s="1"/>
      <c r="C336" s="1"/>
      <c r="D336" s="1"/>
    </row>
    <row r="337" spans="1:4" thickBot="1" x14ac:dyDescent="0.35">
      <c r="A337" s="1"/>
      <c r="B337" s="1"/>
      <c r="C337" s="1"/>
      <c r="D337" s="1"/>
    </row>
    <row r="338" spans="1:4" thickBot="1" x14ac:dyDescent="0.35">
      <c r="A338" s="1"/>
      <c r="B338" s="1"/>
      <c r="C338" s="1"/>
      <c r="D338" s="1"/>
    </row>
    <row r="339" spans="1:4" thickBot="1" x14ac:dyDescent="0.35">
      <c r="A339" s="1"/>
      <c r="B339" s="1"/>
      <c r="C339" s="1"/>
      <c r="D339" s="1"/>
    </row>
    <row r="340" spans="1:4" thickBot="1" x14ac:dyDescent="0.35">
      <c r="A340" s="1"/>
      <c r="B340" s="1"/>
      <c r="C340" s="1"/>
      <c r="D340" s="1"/>
    </row>
    <row r="341" spans="1:4" thickBot="1" x14ac:dyDescent="0.35">
      <c r="A341" s="1"/>
      <c r="B341" s="1"/>
      <c r="C341" s="1"/>
      <c r="D341" s="1"/>
    </row>
    <row r="342" spans="1:4" thickBot="1" x14ac:dyDescent="0.35">
      <c r="A342" s="1"/>
      <c r="B342" s="1"/>
      <c r="C342" s="1"/>
      <c r="D342" s="1"/>
    </row>
    <row r="343" spans="1:4" thickBot="1" x14ac:dyDescent="0.35">
      <c r="A343" s="1"/>
      <c r="B343" s="1"/>
      <c r="C343" s="1"/>
      <c r="D343" s="1"/>
    </row>
    <row r="344" spans="1:4" thickBot="1" x14ac:dyDescent="0.35">
      <c r="A344" s="1"/>
      <c r="B344" s="1"/>
      <c r="C344" s="1"/>
      <c r="D344" s="1"/>
    </row>
    <row r="345" spans="1:4" thickBot="1" x14ac:dyDescent="0.35">
      <c r="A345" s="1"/>
      <c r="B345" s="1"/>
      <c r="C345" s="1"/>
      <c r="D345" s="1"/>
    </row>
    <row r="346" spans="1:4" thickBot="1" x14ac:dyDescent="0.35">
      <c r="A346" s="1"/>
      <c r="B346" s="1"/>
      <c r="C346" s="1"/>
      <c r="D346" s="1"/>
    </row>
    <row r="347" spans="1:4" thickBot="1" x14ac:dyDescent="0.35">
      <c r="A347" s="1"/>
      <c r="B347" s="1"/>
      <c r="C347" s="1"/>
      <c r="D347" s="1"/>
    </row>
    <row r="348" spans="1:4" thickBot="1" x14ac:dyDescent="0.35">
      <c r="A348" s="1"/>
      <c r="B348" s="1"/>
      <c r="C348" s="1"/>
      <c r="D348" s="1"/>
    </row>
    <row r="349" spans="1:4" thickBot="1" x14ac:dyDescent="0.35">
      <c r="A349" s="1"/>
      <c r="B349" s="1"/>
      <c r="C349" s="1"/>
      <c r="D349" s="1"/>
    </row>
    <row r="350" spans="1:4" thickBot="1" x14ac:dyDescent="0.35">
      <c r="A350" s="1"/>
      <c r="B350" s="1"/>
      <c r="C350" s="1"/>
      <c r="D350" s="1"/>
    </row>
    <row r="351" spans="1:4" thickBot="1" x14ac:dyDescent="0.35">
      <c r="A351" s="1"/>
      <c r="B351" s="1"/>
      <c r="C351" s="1"/>
      <c r="D351" s="1"/>
    </row>
    <row r="352" spans="1:4" thickBot="1" x14ac:dyDescent="0.35">
      <c r="A352" s="1"/>
      <c r="B352" s="1"/>
      <c r="C352" s="1"/>
      <c r="D352" s="1"/>
    </row>
    <row r="353" spans="1:4" thickBot="1" x14ac:dyDescent="0.35">
      <c r="A353" s="1"/>
      <c r="B353" s="1"/>
      <c r="C353" s="1"/>
      <c r="D353" s="1"/>
    </row>
    <row r="354" spans="1:4" thickBot="1" x14ac:dyDescent="0.35">
      <c r="A354" s="1"/>
      <c r="B354" s="1"/>
      <c r="C354" s="1"/>
      <c r="D354" s="1"/>
    </row>
    <row r="355" spans="1:4" thickBot="1" x14ac:dyDescent="0.35">
      <c r="A355" s="1"/>
      <c r="B355" s="1"/>
      <c r="C355" s="1"/>
      <c r="D355" s="1"/>
    </row>
    <row r="356" spans="1:4" thickBot="1" x14ac:dyDescent="0.35">
      <c r="A356" s="1"/>
      <c r="B356" s="1"/>
      <c r="C356" s="1"/>
      <c r="D356" s="1"/>
    </row>
    <row r="357" spans="1:4" thickBot="1" x14ac:dyDescent="0.35">
      <c r="A357" s="1"/>
      <c r="B357" s="1"/>
      <c r="C357" s="1"/>
      <c r="D357" s="1"/>
    </row>
    <row r="358" spans="1:4" thickBot="1" x14ac:dyDescent="0.35">
      <c r="A358" s="1"/>
      <c r="B358" s="1"/>
      <c r="C358" s="1"/>
      <c r="D358" s="1"/>
    </row>
    <row r="359" spans="1:4" thickBot="1" x14ac:dyDescent="0.35">
      <c r="A359" s="1"/>
      <c r="B359" s="1"/>
      <c r="C359" s="1"/>
      <c r="D359" s="1"/>
    </row>
    <row r="360" spans="1:4" thickBot="1" x14ac:dyDescent="0.35">
      <c r="A360" s="1"/>
      <c r="B360" s="1"/>
      <c r="C360" s="1"/>
      <c r="D360" s="1"/>
    </row>
    <row r="361" spans="1:4" thickBot="1" x14ac:dyDescent="0.35">
      <c r="A361" s="1"/>
      <c r="B361" s="1"/>
      <c r="C361" s="1"/>
      <c r="D361" s="1"/>
    </row>
    <row r="362" spans="1:4" thickBot="1" x14ac:dyDescent="0.35">
      <c r="A362" s="1"/>
      <c r="B362" s="1"/>
      <c r="C362" s="1"/>
      <c r="D362" s="1"/>
    </row>
    <row r="363" spans="1:4" thickBot="1" x14ac:dyDescent="0.35">
      <c r="A363" s="1"/>
      <c r="B363" s="1"/>
      <c r="C363" s="1"/>
      <c r="D363" s="1"/>
    </row>
    <row r="364" spans="1:4" thickBot="1" x14ac:dyDescent="0.35">
      <c r="A364" s="1"/>
      <c r="B364" s="1"/>
      <c r="C364" s="1"/>
      <c r="D364" s="1"/>
    </row>
    <row r="365" spans="1:4" thickBot="1" x14ac:dyDescent="0.35">
      <c r="A365" s="1"/>
      <c r="B365" s="1"/>
      <c r="C365" s="1"/>
      <c r="D365" s="1"/>
    </row>
    <row r="366" spans="1:4" thickBot="1" x14ac:dyDescent="0.35">
      <c r="A366" s="1"/>
      <c r="B366" s="1"/>
      <c r="C366" s="1"/>
      <c r="D366" s="1"/>
    </row>
    <row r="367" spans="1:4" thickBot="1" x14ac:dyDescent="0.35">
      <c r="A367" s="1"/>
      <c r="B367" s="1"/>
      <c r="C367" s="1"/>
      <c r="D367" s="1"/>
    </row>
    <row r="368" spans="1:4" thickBot="1" x14ac:dyDescent="0.35">
      <c r="A368" s="1"/>
      <c r="B368" s="1"/>
      <c r="C368" s="1"/>
      <c r="D368" s="1"/>
    </row>
    <row r="369" spans="1:4" thickBot="1" x14ac:dyDescent="0.35">
      <c r="A369" s="1"/>
      <c r="B369" s="1"/>
      <c r="C369" s="1"/>
      <c r="D369" s="1"/>
    </row>
    <row r="370" spans="1:4" thickBot="1" x14ac:dyDescent="0.35">
      <c r="A370" s="1"/>
      <c r="B370" s="1"/>
      <c r="C370" s="1"/>
      <c r="D370" s="1"/>
    </row>
    <row r="371" spans="1:4" thickBot="1" x14ac:dyDescent="0.35">
      <c r="A371" s="1"/>
      <c r="B371" s="1"/>
      <c r="C371" s="1"/>
      <c r="D371" s="1"/>
    </row>
    <row r="372" spans="1:4" thickBot="1" x14ac:dyDescent="0.35">
      <c r="A372" s="1"/>
      <c r="B372" s="1"/>
      <c r="C372" s="1"/>
      <c r="D372" s="1"/>
    </row>
    <row r="373" spans="1:4" thickBot="1" x14ac:dyDescent="0.35">
      <c r="A373" s="1"/>
      <c r="B373" s="1"/>
      <c r="C373" s="1"/>
      <c r="D373" s="1"/>
    </row>
    <row r="374" spans="1:4" thickBot="1" x14ac:dyDescent="0.35">
      <c r="A374" s="1"/>
      <c r="B374" s="1"/>
      <c r="C374" s="1"/>
      <c r="D374" s="1"/>
    </row>
    <row r="375" spans="1:4" thickBot="1" x14ac:dyDescent="0.35">
      <c r="A375" s="1"/>
      <c r="B375" s="1"/>
      <c r="C375" s="1"/>
      <c r="D375" s="1"/>
    </row>
    <row r="376" spans="1:4" thickBot="1" x14ac:dyDescent="0.35">
      <c r="A376" s="1"/>
      <c r="B376" s="1"/>
      <c r="C376" s="1"/>
      <c r="D376" s="1"/>
    </row>
    <row r="377" spans="1:4" thickBot="1" x14ac:dyDescent="0.35">
      <c r="A377" s="1"/>
      <c r="B377" s="1"/>
      <c r="C377" s="1"/>
      <c r="D377" s="1"/>
    </row>
    <row r="378" spans="1:4" thickBot="1" x14ac:dyDescent="0.35">
      <c r="A378" s="1"/>
      <c r="B378" s="1"/>
      <c r="C378" s="1"/>
      <c r="D378" s="1"/>
    </row>
    <row r="379" spans="1:4" thickBot="1" x14ac:dyDescent="0.35">
      <c r="A379" s="1"/>
      <c r="B379" s="1"/>
      <c r="C379" s="1"/>
      <c r="D379" s="1"/>
    </row>
    <row r="380" spans="1:4" thickBot="1" x14ac:dyDescent="0.35">
      <c r="A380" s="1"/>
      <c r="B380" s="1"/>
      <c r="C380" s="1"/>
      <c r="D380" s="1"/>
    </row>
    <row r="381" spans="1:4" thickBot="1" x14ac:dyDescent="0.35">
      <c r="A381" s="1"/>
      <c r="B381" s="1"/>
      <c r="C381" s="1"/>
      <c r="D381" s="1"/>
    </row>
    <row r="382" spans="1:4" thickBot="1" x14ac:dyDescent="0.35">
      <c r="A382" s="1"/>
      <c r="B382" s="1"/>
      <c r="C382" s="1"/>
      <c r="D382" s="1"/>
    </row>
    <row r="383" spans="1:4" thickBot="1" x14ac:dyDescent="0.35">
      <c r="A383" s="1"/>
      <c r="B383" s="1"/>
      <c r="C383" s="1"/>
      <c r="D383" s="1"/>
    </row>
    <row r="384" spans="1:4" thickBot="1" x14ac:dyDescent="0.35">
      <c r="A384" s="1"/>
      <c r="B384" s="1"/>
      <c r="C384" s="1"/>
      <c r="D384" s="1"/>
    </row>
    <row r="385" spans="1:4" thickBot="1" x14ac:dyDescent="0.35">
      <c r="A385" s="1"/>
      <c r="B385" s="1"/>
      <c r="C385" s="1"/>
      <c r="D385" s="1"/>
    </row>
    <row r="386" spans="1:4" thickBot="1" x14ac:dyDescent="0.35">
      <c r="A386" s="1"/>
      <c r="B386" s="1"/>
      <c r="C386" s="1"/>
      <c r="D386" s="1"/>
    </row>
    <row r="387" spans="1:4" thickBot="1" x14ac:dyDescent="0.35">
      <c r="A387" s="1"/>
      <c r="B387" s="1"/>
      <c r="C387" s="1"/>
      <c r="D387" s="1"/>
    </row>
    <row r="388" spans="1:4" thickBot="1" x14ac:dyDescent="0.35">
      <c r="A388" s="1"/>
      <c r="B388" s="1"/>
      <c r="C388" s="1"/>
      <c r="D388" s="1"/>
    </row>
    <row r="389" spans="1:4" thickBot="1" x14ac:dyDescent="0.35">
      <c r="A389" s="1"/>
      <c r="B389" s="1"/>
      <c r="C389" s="1"/>
      <c r="D389" s="1"/>
    </row>
    <row r="390" spans="1:4" thickBot="1" x14ac:dyDescent="0.35">
      <c r="A390" s="1"/>
      <c r="B390" s="1"/>
      <c r="C390" s="1"/>
      <c r="D390" s="1"/>
    </row>
    <row r="391" spans="1:4" thickBot="1" x14ac:dyDescent="0.35">
      <c r="A391" s="1"/>
      <c r="B391" s="1"/>
      <c r="C391" s="1"/>
      <c r="D391" s="1"/>
    </row>
    <row r="392" spans="1:4" thickBot="1" x14ac:dyDescent="0.35">
      <c r="A392" s="1"/>
      <c r="B392" s="1"/>
      <c r="C392" s="1"/>
      <c r="D392" s="1"/>
    </row>
    <row r="393" spans="1:4" thickBot="1" x14ac:dyDescent="0.35">
      <c r="A393" s="1"/>
      <c r="B393" s="1"/>
      <c r="C393" s="1"/>
      <c r="D393" s="1"/>
    </row>
    <row r="394" spans="1:4" thickBot="1" x14ac:dyDescent="0.35">
      <c r="A394" s="1"/>
      <c r="B394" s="1"/>
      <c r="C394" s="1"/>
      <c r="D394" s="1"/>
    </row>
    <row r="395" spans="1:4" thickBot="1" x14ac:dyDescent="0.35">
      <c r="A395" s="1"/>
      <c r="B395" s="1"/>
      <c r="C395" s="1"/>
      <c r="D395" s="1"/>
    </row>
    <row r="396" spans="1:4" thickBot="1" x14ac:dyDescent="0.35">
      <c r="A396" s="1"/>
      <c r="B396" s="1"/>
      <c r="C396" s="1"/>
      <c r="D396" s="1"/>
    </row>
    <row r="397" spans="1:4" thickBot="1" x14ac:dyDescent="0.35">
      <c r="A397" s="1"/>
      <c r="B397" s="1"/>
      <c r="C397" s="1"/>
      <c r="D397" s="1"/>
    </row>
    <row r="398" spans="1:4" thickBot="1" x14ac:dyDescent="0.35">
      <c r="A398" s="1"/>
      <c r="B398" s="1"/>
      <c r="C398" s="1"/>
      <c r="D398" s="1"/>
    </row>
    <row r="399" spans="1:4" thickBot="1" x14ac:dyDescent="0.35">
      <c r="A399" s="1"/>
      <c r="B399" s="1"/>
      <c r="C399" s="1"/>
      <c r="D399" s="1"/>
    </row>
    <row r="400" spans="1:4" thickBot="1" x14ac:dyDescent="0.35">
      <c r="A400" s="1"/>
      <c r="B400" s="1"/>
      <c r="C400" s="1"/>
      <c r="D400" s="1"/>
    </row>
    <row r="401" spans="1:4" thickBot="1" x14ac:dyDescent="0.35">
      <c r="A401" s="1"/>
      <c r="B401" s="1"/>
      <c r="C401" s="1"/>
      <c r="D401" s="1"/>
    </row>
    <row r="402" spans="1:4" thickBot="1" x14ac:dyDescent="0.35">
      <c r="A402" s="1"/>
      <c r="B402" s="1"/>
      <c r="C402" s="1"/>
      <c r="D402" s="1"/>
    </row>
    <row r="403" spans="1:4" thickBot="1" x14ac:dyDescent="0.35">
      <c r="A403" s="1"/>
      <c r="B403" s="1"/>
      <c r="C403" s="1"/>
      <c r="D403" s="1"/>
    </row>
    <row r="404" spans="1:4" thickBot="1" x14ac:dyDescent="0.35">
      <c r="A404" s="1"/>
      <c r="B404" s="1"/>
      <c r="C404" s="1"/>
      <c r="D404" s="1"/>
    </row>
    <row r="405" spans="1:4" thickBot="1" x14ac:dyDescent="0.35">
      <c r="A405" s="1"/>
      <c r="B405" s="1"/>
      <c r="C405" s="1"/>
      <c r="D405" s="1"/>
    </row>
    <row r="406" spans="1:4" thickBot="1" x14ac:dyDescent="0.35">
      <c r="A406" s="1"/>
      <c r="B406" s="1"/>
      <c r="C406" s="1"/>
      <c r="D406" s="1"/>
    </row>
    <row r="407" spans="1:4" thickBot="1" x14ac:dyDescent="0.35">
      <c r="A407" s="1"/>
      <c r="B407" s="1"/>
      <c r="C407" s="1"/>
      <c r="D407" s="1"/>
    </row>
    <row r="408" spans="1:4" thickBot="1" x14ac:dyDescent="0.35">
      <c r="A408" s="1"/>
      <c r="B408" s="1"/>
      <c r="C408" s="1"/>
      <c r="D408" s="1"/>
    </row>
    <row r="409" spans="1:4" thickBot="1" x14ac:dyDescent="0.35">
      <c r="A409" s="1"/>
      <c r="B409" s="1"/>
      <c r="C409" s="1"/>
      <c r="D409" s="1"/>
    </row>
    <row r="410" spans="1:4" thickBot="1" x14ac:dyDescent="0.35">
      <c r="A410" s="1"/>
      <c r="B410" s="1"/>
      <c r="C410" s="1"/>
      <c r="D410" s="1"/>
    </row>
    <row r="411" spans="1:4" thickBot="1" x14ac:dyDescent="0.35">
      <c r="A411" s="1"/>
      <c r="B411" s="1"/>
      <c r="C411" s="1"/>
      <c r="D411" s="1"/>
    </row>
    <row r="412" spans="1:4" thickBot="1" x14ac:dyDescent="0.35">
      <c r="A412" s="1"/>
      <c r="B412" s="1"/>
      <c r="C412" s="1"/>
      <c r="D412" s="1"/>
    </row>
    <row r="413" spans="1:4" thickBot="1" x14ac:dyDescent="0.35">
      <c r="A413" s="1"/>
      <c r="B413" s="1"/>
      <c r="C413" s="1"/>
      <c r="D413" s="1"/>
    </row>
    <row r="414" spans="1:4" thickBot="1" x14ac:dyDescent="0.35">
      <c r="A414" s="1"/>
      <c r="B414" s="1"/>
      <c r="C414" s="1"/>
      <c r="D414" s="1"/>
    </row>
    <row r="415" spans="1:4" thickBot="1" x14ac:dyDescent="0.35">
      <c r="A415" s="1"/>
      <c r="B415" s="1"/>
      <c r="C415" s="1"/>
      <c r="D415" s="1"/>
    </row>
    <row r="416" spans="1:4" thickBot="1" x14ac:dyDescent="0.35">
      <c r="A416" s="1"/>
      <c r="B416" s="1"/>
      <c r="C416" s="1"/>
      <c r="D416" s="1"/>
    </row>
    <row r="417" spans="1:4" thickBot="1" x14ac:dyDescent="0.35">
      <c r="A417" s="1"/>
      <c r="B417" s="1"/>
      <c r="C417" s="1"/>
      <c r="D417" s="1"/>
    </row>
    <row r="418" spans="1:4" thickBot="1" x14ac:dyDescent="0.35">
      <c r="A418" s="1"/>
      <c r="B418" s="1"/>
      <c r="C418" s="1"/>
      <c r="D418" s="1"/>
    </row>
    <row r="419" spans="1:4" thickBot="1" x14ac:dyDescent="0.35">
      <c r="A419" s="1"/>
      <c r="B419" s="1"/>
      <c r="C419" s="1"/>
      <c r="D419" s="1"/>
    </row>
    <row r="420" spans="1:4" thickBot="1" x14ac:dyDescent="0.35">
      <c r="A420" s="1"/>
      <c r="B420" s="1"/>
      <c r="C420" s="1"/>
      <c r="D420" s="1"/>
    </row>
    <row r="421" spans="1:4" thickBot="1" x14ac:dyDescent="0.35">
      <c r="A421" s="1"/>
      <c r="B421" s="1"/>
      <c r="C421" s="1"/>
      <c r="D421" s="1"/>
    </row>
    <row r="422" spans="1:4" thickBot="1" x14ac:dyDescent="0.35">
      <c r="A422" s="1"/>
      <c r="B422" s="1"/>
      <c r="C422" s="1"/>
      <c r="D422" s="1"/>
    </row>
    <row r="423" spans="1:4" thickBot="1" x14ac:dyDescent="0.35">
      <c r="A423" s="1"/>
      <c r="B423" s="1"/>
      <c r="C423" s="1"/>
      <c r="D423" s="1"/>
    </row>
    <row r="424" spans="1:4" thickBot="1" x14ac:dyDescent="0.35">
      <c r="A424" s="1"/>
      <c r="B424" s="1"/>
      <c r="C424" s="1"/>
      <c r="D424" s="1"/>
    </row>
    <row r="425" spans="1:4" thickBot="1" x14ac:dyDescent="0.35">
      <c r="A425" s="1"/>
      <c r="B425" s="1"/>
      <c r="C425" s="1"/>
      <c r="D425" s="1"/>
    </row>
    <row r="426" spans="1:4" thickBot="1" x14ac:dyDescent="0.35">
      <c r="A426" s="1"/>
      <c r="B426" s="1"/>
      <c r="C426" s="1"/>
      <c r="D426" s="1"/>
    </row>
    <row r="427" spans="1:4" thickBot="1" x14ac:dyDescent="0.35">
      <c r="A427" s="1"/>
      <c r="B427" s="1"/>
      <c r="C427" s="1"/>
      <c r="D427" s="1"/>
    </row>
    <row r="428" spans="1:4" thickBot="1" x14ac:dyDescent="0.35">
      <c r="A428" s="1"/>
      <c r="B428" s="1"/>
      <c r="C428" s="1"/>
      <c r="D428" s="1"/>
    </row>
    <row r="429" spans="1:4" thickBot="1" x14ac:dyDescent="0.35">
      <c r="A429" s="1"/>
      <c r="B429" s="1"/>
      <c r="C429" s="1"/>
      <c r="D429" s="1"/>
    </row>
    <row r="430" spans="1:4" thickBot="1" x14ac:dyDescent="0.35">
      <c r="A430" s="1"/>
      <c r="B430" s="1"/>
      <c r="C430" s="1"/>
      <c r="D430" s="1"/>
    </row>
    <row r="431" spans="1:4" thickBot="1" x14ac:dyDescent="0.35">
      <c r="A431" s="1"/>
      <c r="B431" s="1"/>
      <c r="C431" s="1"/>
      <c r="D431" s="1"/>
    </row>
    <row r="432" spans="1:4" thickBot="1" x14ac:dyDescent="0.35">
      <c r="A432" s="1"/>
      <c r="B432" s="1"/>
      <c r="C432" s="1"/>
      <c r="D432" s="1"/>
    </row>
    <row r="433" spans="1:4" thickBot="1" x14ac:dyDescent="0.35">
      <c r="A433" s="1"/>
      <c r="B433" s="1"/>
      <c r="C433" s="1"/>
      <c r="D433" s="1"/>
    </row>
    <row r="434" spans="1:4" thickBot="1" x14ac:dyDescent="0.35">
      <c r="A434" s="1"/>
      <c r="B434" s="1"/>
      <c r="C434" s="1"/>
      <c r="D434" s="1"/>
    </row>
    <row r="435" spans="1:4" thickBot="1" x14ac:dyDescent="0.35">
      <c r="A435" s="1"/>
      <c r="B435" s="1"/>
      <c r="C435" s="1"/>
      <c r="D435" s="1"/>
    </row>
    <row r="436" spans="1:4" thickBot="1" x14ac:dyDescent="0.35">
      <c r="A436" s="1"/>
      <c r="B436" s="1"/>
      <c r="C436" s="1"/>
      <c r="D436" s="1"/>
    </row>
    <row r="437" spans="1:4" thickBot="1" x14ac:dyDescent="0.35">
      <c r="A437" s="1"/>
      <c r="B437" s="1"/>
      <c r="C437" s="1"/>
      <c r="D437" s="1"/>
    </row>
    <row r="438" spans="1:4" thickBot="1" x14ac:dyDescent="0.35">
      <c r="A438" s="1"/>
      <c r="B438" s="1"/>
      <c r="C438" s="1"/>
      <c r="D438" s="1"/>
    </row>
    <row r="439" spans="1:4" thickBot="1" x14ac:dyDescent="0.35">
      <c r="A439" s="1"/>
      <c r="B439" s="1"/>
      <c r="C439" s="1"/>
      <c r="D439" s="1"/>
    </row>
    <row r="440" spans="1:4" thickBot="1" x14ac:dyDescent="0.35">
      <c r="A440" s="1"/>
      <c r="B440" s="1"/>
      <c r="C440" s="1"/>
      <c r="D440" s="1"/>
    </row>
    <row r="441" spans="1:4" thickBot="1" x14ac:dyDescent="0.35">
      <c r="A441" s="1"/>
      <c r="B441" s="1"/>
      <c r="C441" s="1"/>
      <c r="D441" s="1"/>
    </row>
    <row r="442" spans="1:4" thickBot="1" x14ac:dyDescent="0.35">
      <c r="A442" s="1"/>
      <c r="B442" s="1"/>
      <c r="C442" s="1"/>
      <c r="D442" s="1"/>
    </row>
    <row r="443" spans="1:4" thickBot="1" x14ac:dyDescent="0.35">
      <c r="A443" s="1"/>
      <c r="B443" s="1"/>
      <c r="C443" s="1"/>
      <c r="D443" s="1"/>
    </row>
    <row r="444" spans="1:4" thickBot="1" x14ac:dyDescent="0.35">
      <c r="A444" s="1"/>
      <c r="B444" s="1"/>
      <c r="C444" s="1"/>
      <c r="D444" s="1"/>
    </row>
    <row r="445" spans="1:4" thickBot="1" x14ac:dyDescent="0.35">
      <c r="A445" s="1"/>
      <c r="B445" s="1"/>
      <c r="C445" s="1"/>
      <c r="D445" s="1"/>
    </row>
    <row r="446" spans="1:4" thickBot="1" x14ac:dyDescent="0.35">
      <c r="A446" s="1"/>
      <c r="B446" s="1"/>
      <c r="C446" s="1"/>
      <c r="D446" s="1"/>
    </row>
    <row r="447" spans="1:4" thickBot="1" x14ac:dyDescent="0.35">
      <c r="A447" s="1"/>
      <c r="B447" s="1"/>
      <c r="C447" s="1"/>
      <c r="D447" s="1"/>
    </row>
    <row r="448" spans="1:4" thickBot="1" x14ac:dyDescent="0.35">
      <c r="A448" s="1"/>
      <c r="B448" s="1"/>
      <c r="C448" s="1"/>
      <c r="D448" s="1"/>
    </row>
    <row r="449" spans="1:4" thickBot="1" x14ac:dyDescent="0.35">
      <c r="A449" s="1"/>
      <c r="B449" s="1"/>
      <c r="C449" s="1"/>
      <c r="D449" s="1"/>
    </row>
    <row r="450" spans="1:4" thickBot="1" x14ac:dyDescent="0.35">
      <c r="A450" s="1"/>
      <c r="B450" s="1"/>
      <c r="C450" s="1"/>
      <c r="D450" s="1"/>
    </row>
    <row r="451" spans="1:4" thickBot="1" x14ac:dyDescent="0.35">
      <c r="A451" s="1"/>
      <c r="B451" s="1"/>
      <c r="C451" s="1"/>
      <c r="D451" s="1"/>
    </row>
    <row r="452" spans="1:4" thickBot="1" x14ac:dyDescent="0.35">
      <c r="A452" s="1"/>
      <c r="B452" s="1"/>
      <c r="C452" s="1"/>
      <c r="D452" s="1"/>
    </row>
    <row r="453" spans="1:4" thickBot="1" x14ac:dyDescent="0.35">
      <c r="A453" s="1"/>
      <c r="B453" s="1"/>
      <c r="C453" s="1"/>
      <c r="D453" s="1"/>
    </row>
    <row r="454" spans="1:4" thickBot="1" x14ac:dyDescent="0.35">
      <c r="A454" s="1"/>
      <c r="B454" s="1"/>
      <c r="C454" s="1"/>
      <c r="D454" s="1"/>
    </row>
    <row r="455" spans="1:4" thickBot="1" x14ac:dyDescent="0.35">
      <c r="A455" s="1"/>
      <c r="B455" s="1"/>
      <c r="C455" s="1"/>
      <c r="D455" s="1"/>
    </row>
    <row r="456" spans="1:4" thickBot="1" x14ac:dyDescent="0.35">
      <c r="A456" s="1"/>
      <c r="B456" s="1"/>
      <c r="C456" s="1"/>
      <c r="D456" s="1"/>
    </row>
    <row r="457" spans="1:4" thickBot="1" x14ac:dyDescent="0.35">
      <c r="A457" s="1"/>
      <c r="B457" s="1"/>
      <c r="C457" s="1"/>
      <c r="D457" s="1"/>
    </row>
    <row r="458" spans="1:4" thickBot="1" x14ac:dyDescent="0.35">
      <c r="A458" s="1"/>
      <c r="B458" s="1"/>
      <c r="C458" s="1"/>
      <c r="D458" s="1"/>
    </row>
    <row r="459" spans="1:4" thickBot="1" x14ac:dyDescent="0.35">
      <c r="A459" s="1"/>
      <c r="B459" s="1"/>
      <c r="C459" s="1"/>
      <c r="D459" s="1"/>
    </row>
    <row r="460" spans="1:4" thickBot="1" x14ac:dyDescent="0.35">
      <c r="A460" s="1"/>
      <c r="B460" s="1"/>
      <c r="C460" s="1"/>
      <c r="D460" s="1"/>
    </row>
    <row r="461" spans="1:4" thickBot="1" x14ac:dyDescent="0.35">
      <c r="A461" s="1"/>
      <c r="B461" s="1"/>
      <c r="C461" s="1"/>
      <c r="D461" s="1"/>
    </row>
    <row r="462" spans="1:4" thickBot="1" x14ac:dyDescent="0.35">
      <c r="A462" s="1"/>
      <c r="B462" s="1"/>
      <c r="C462" s="1"/>
      <c r="D462" s="1"/>
    </row>
    <row r="463" spans="1:4" thickBot="1" x14ac:dyDescent="0.35">
      <c r="A463" s="1"/>
      <c r="B463" s="1"/>
      <c r="C463" s="1"/>
      <c r="D463" s="1"/>
    </row>
    <row r="464" spans="1:4" thickBot="1" x14ac:dyDescent="0.35">
      <c r="A464" s="1"/>
      <c r="B464" s="1"/>
      <c r="C464" s="1"/>
      <c r="D464" s="1"/>
    </row>
    <row r="465" spans="1:4" thickBot="1" x14ac:dyDescent="0.35">
      <c r="A465" s="1"/>
      <c r="B465" s="1"/>
      <c r="C465" s="1"/>
      <c r="D465" s="1"/>
    </row>
    <row r="466" spans="1:4" thickBot="1" x14ac:dyDescent="0.35">
      <c r="A466" s="1"/>
      <c r="B466" s="1"/>
      <c r="C466" s="1"/>
      <c r="D466" s="1"/>
    </row>
    <row r="467" spans="1:4" thickBot="1" x14ac:dyDescent="0.35">
      <c r="A467" s="1"/>
      <c r="B467" s="1"/>
      <c r="C467" s="1"/>
      <c r="D467" s="1"/>
    </row>
    <row r="468" spans="1:4" thickBot="1" x14ac:dyDescent="0.35">
      <c r="A468" s="1"/>
      <c r="B468" s="1"/>
      <c r="C468" s="1"/>
      <c r="D468" s="1"/>
    </row>
    <row r="469" spans="1:4" thickBot="1" x14ac:dyDescent="0.35">
      <c r="A469" s="1"/>
      <c r="B469" s="1"/>
      <c r="C469" s="1"/>
      <c r="D469" s="1"/>
    </row>
    <row r="470" spans="1:4" thickBot="1" x14ac:dyDescent="0.35">
      <c r="A470" s="1"/>
      <c r="B470" s="1"/>
      <c r="C470" s="1"/>
      <c r="D470" s="1"/>
    </row>
    <row r="471" spans="1:4" thickBot="1" x14ac:dyDescent="0.35">
      <c r="A471" s="1"/>
      <c r="B471" s="1"/>
      <c r="C471" s="1"/>
      <c r="D471" s="1"/>
    </row>
    <row r="472" spans="1:4" thickBot="1" x14ac:dyDescent="0.35">
      <c r="A472" s="1"/>
      <c r="B472" s="1"/>
      <c r="C472" s="1"/>
      <c r="D472" s="1"/>
    </row>
    <row r="473" spans="1:4" thickBot="1" x14ac:dyDescent="0.35">
      <c r="A473" s="1"/>
      <c r="B473" s="1"/>
      <c r="C473" s="1"/>
      <c r="D473" s="1"/>
    </row>
    <row r="474" spans="1:4" thickBot="1" x14ac:dyDescent="0.35">
      <c r="A474" s="1"/>
      <c r="B474" s="1"/>
      <c r="C474" s="1"/>
      <c r="D474" s="1"/>
    </row>
    <row r="475" spans="1:4" thickBot="1" x14ac:dyDescent="0.35">
      <c r="A475" s="1"/>
      <c r="B475" s="1"/>
      <c r="C475" s="1"/>
      <c r="D475" s="1"/>
    </row>
    <row r="476" spans="1:4" thickBot="1" x14ac:dyDescent="0.35">
      <c r="A476" s="1"/>
      <c r="B476" s="1"/>
      <c r="C476" s="1"/>
      <c r="D476" s="1"/>
    </row>
    <row r="477" spans="1:4" thickBot="1" x14ac:dyDescent="0.35">
      <c r="A477" s="1"/>
      <c r="B477" s="1"/>
      <c r="C477" s="1"/>
      <c r="D477" s="1"/>
    </row>
    <row r="478" spans="1:4" thickBot="1" x14ac:dyDescent="0.35">
      <c r="A478" s="1"/>
      <c r="B478" s="1"/>
      <c r="C478" s="1"/>
      <c r="D478" s="1"/>
    </row>
    <row r="479" spans="1:4" thickBot="1" x14ac:dyDescent="0.35">
      <c r="A479" s="1"/>
      <c r="B479" s="1"/>
      <c r="C479" s="1"/>
      <c r="D479" s="1"/>
    </row>
    <row r="480" spans="1:4" thickBot="1" x14ac:dyDescent="0.35">
      <c r="A480" s="1"/>
      <c r="B480" s="1"/>
      <c r="C480" s="1"/>
      <c r="D480" s="1"/>
    </row>
    <row r="481" spans="1:4" thickBot="1" x14ac:dyDescent="0.35">
      <c r="A481" s="1"/>
      <c r="B481" s="1"/>
      <c r="C481" s="1"/>
      <c r="D481" s="1"/>
    </row>
    <row r="482" spans="1:4" thickBot="1" x14ac:dyDescent="0.35">
      <c r="A482" s="1"/>
      <c r="B482" s="1"/>
      <c r="C482" s="1"/>
      <c r="D482" s="1"/>
    </row>
    <row r="483" spans="1:4" thickBot="1" x14ac:dyDescent="0.35">
      <c r="A483" s="1"/>
      <c r="B483" s="1"/>
      <c r="C483" s="1"/>
      <c r="D483" s="1"/>
    </row>
    <row r="484" spans="1:4" thickBot="1" x14ac:dyDescent="0.35">
      <c r="A484" s="1"/>
      <c r="B484" s="1"/>
      <c r="C484" s="1"/>
      <c r="D484" s="1"/>
    </row>
    <row r="485" spans="1:4" thickBot="1" x14ac:dyDescent="0.35">
      <c r="A485" s="1"/>
      <c r="B485" s="1"/>
      <c r="C485" s="1"/>
      <c r="D485" s="1"/>
    </row>
    <row r="486" spans="1:4" thickBot="1" x14ac:dyDescent="0.35">
      <c r="A486" s="1"/>
      <c r="B486" s="1"/>
      <c r="C486" s="1"/>
      <c r="D486" s="1"/>
    </row>
    <row r="487" spans="1:4" thickBot="1" x14ac:dyDescent="0.35">
      <c r="A487" s="1"/>
      <c r="B487" s="1"/>
      <c r="C487" s="1"/>
      <c r="D487" s="1"/>
    </row>
    <row r="488" spans="1:4" thickBot="1" x14ac:dyDescent="0.35">
      <c r="A488" s="1"/>
      <c r="B488" s="1"/>
      <c r="C488" s="1"/>
      <c r="D488" s="1"/>
    </row>
    <row r="489" spans="1:4" thickBot="1" x14ac:dyDescent="0.35">
      <c r="A489" s="1"/>
      <c r="B489" s="1"/>
      <c r="C489" s="1"/>
      <c r="D489" s="1"/>
    </row>
    <row r="490" spans="1:4" thickBot="1" x14ac:dyDescent="0.35">
      <c r="A490" s="1"/>
      <c r="B490" s="1"/>
      <c r="C490" s="1"/>
      <c r="D490" s="1"/>
    </row>
    <row r="491" spans="1:4" thickBot="1" x14ac:dyDescent="0.35">
      <c r="A491" s="1"/>
      <c r="B491" s="1"/>
      <c r="C491" s="1"/>
      <c r="D491" s="1"/>
    </row>
    <row r="492" spans="1:4" thickBot="1" x14ac:dyDescent="0.35">
      <c r="A492" s="1"/>
      <c r="B492" s="1"/>
      <c r="C492" s="1"/>
      <c r="D492" s="1"/>
    </row>
    <row r="493" spans="1:4" thickBot="1" x14ac:dyDescent="0.35">
      <c r="A493" s="1"/>
      <c r="B493" s="1"/>
      <c r="C493" s="1"/>
      <c r="D493" s="1"/>
    </row>
    <row r="494" spans="1:4" thickBot="1" x14ac:dyDescent="0.35">
      <c r="A494" s="1"/>
      <c r="B494" s="1"/>
      <c r="C494" s="1"/>
      <c r="D494" s="1"/>
    </row>
    <row r="495" spans="1:4" thickBot="1" x14ac:dyDescent="0.35">
      <c r="A495" s="1"/>
      <c r="B495" s="1"/>
      <c r="C495" s="1"/>
      <c r="D495" s="1"/>
    </row>
    <row r="496" spans="1:4" thickBot="1" x14ac:dyDescent="0.35">
      <c r="A496" s="1"/>
      <c r="B496" s="1"/>
      <c r="C496" s="1"/>
      <c r="D496" s="1"/>
    </row>
    <row r="497" spans="1:4" thickBot="1" x14ac:dyDescent="0.35">
      <c r="A497" s="1"/>
      <c r="B497" s="1"/>
      <c r="C497" s="1"/>
      <c r="D497" s="1"/>
    </row>
    <row r="498" spans="1:4" thickBot="1" x14ac:dyDescent="0.35">
      <c r="A498" s="1"/>
      <c r="B498" s="1"/>
      <c r="C498" s="1"/>
      <c r="D498" s="1"/>
    </row>
    <row r="499" spans="1:4" thickBot="1" x14ac:dyDescent="0.35">
      <c r="A499" s="1"/>
      <c r="B499" s="1"/>
      <c r="C499" s="1"/>
      <c r="D499" s="1"/>
    </row>
    <row r="500" spans="1:4" thickBot="1" x14ac:dyDescent="0.35">
      <c r="A500" s="1"/>
      <c r="B500" s="1"/>
      <c r="C500" s="1"/>
      <c r="D500" s="1"/>
    </row>
    <row r="501" spans="1:4" thickBot="1" x14ac:dyDescent="0.35">
      <c r="A501" s="1"/>
      <c r="B501" s="1"/>
      <c r="C501" s="1"/>
      <c r="D501" s="1"/>
    </row>
    <row r="502" spans="1:4" thickBot="1" x14ac:dyDescent="0.35">
      <c r="A502" s="1"/>
      <c r="B502" s="1"/>
      <c r="C502" s="1"/>
      <c r="D502" s="1"/>
    </row>
    <row r="503" spans="1:4" thickBot="1" x14ac:dyDescent="0.35">
      <c r="A503" s="1"/>
      <c r="B503" s="1"/>
      <c r="C503" s="1"/>
      <c r="D503" s="1"/>
    </row>
    <row r="504" spans="1:4" thickBot="1" x14ac:dyDescent="0.35">
      <c r="A504" s="1"/>
      <c r="B504" s="1"/>
      <c r="C504" s="1"/>
      <c r="D504" s="1"/>
    </row>
    <row r="505" spans="1:4" thickBot="1" x14ac:dyDescent="0.35">
      <c r="A505" s="1"/>
      <c r="B505" s="1"/>
      <c r="C505" s="1"/>
      <c r="D505" s="1"/>
    </row>
    <row r="506" spans="1:4" thickBot="1" x14ac:dyDescent="0.35">
      <c r="A506" s="1"/>
      <c r="B506" s="1"/>
      <c r="C506" s="1"/>
      <c r="D506" s="1"/>
    </row>
    <row r="507" spans="1:4" thickBot="1" x14ac:dyDescent="0.35">
      <c r="A507" s="1"/>
      <c r="B507" s="1"/>
      <c r="C507" s="1"/>
      <c r="D507" s="1"/>
    </row>
    <row r="508" spans="1:4" thickBot="1" x14ac:dyDescent="0.35">
      <c r="A508" s="1"/>
      <c r="B508" s="1"/>
      <c r="C508" s="1"/>
      <c r="D508" s="1"/>
    </row>
    <row r="509" spans="1:4" thickBot="1" x14ac:dyDescent="0.35">
      <c r="A509" s="1"/>
      <c r="B509" s="1"/>
      <c r="C509" s="1"/>
      <c r="D509" s="1"/>
    </row>
    <row r="510" spans="1:4" thickBot="1" x14ac:dyDescent="0.35">
      <c r="A510" s="1"/>
      <c r="B510" s="1"/>
      <c r="C510" s="1"/>
      <c r="D510" s="1"/>
    </row>
    <row r="511" spans="1:4" thickBot="1" x14ac:dyDescent="0.35">
      <c r="A511" s="1"/>
      <c r="B511" s="1"/>
      <c r="C511" s="1"/>
      <c r="D511" s="1"/>
    </row>
    <row r="512" spans="1:4" thickBot="1" x14ac:dyDescent="0.35">
      <c r="A512" s="1"/>
      <c r="B512" s="1"/>
      <c r="C512" s="1"/>
      <c r="D512" s="1"/>
    </row>
    <row r="513" spans="1:4" thickBot="1" x14ac:dyDescent="0.35">
      <c r="A513" s="1"/>
      <c r="B513" s="1"/>
      <c r="C513" s="1"/>
      <c r="D513" s="1"/>
    </row>
    <row r="514" spans="1:4" thickBot="1" x14ac:dyDescent="0.35">
      <c r="A514" s="1"/>
      <c r="B514" s="1"/>
      <c r="C514" s="1"/>
      <c r="D514" s="1"/>
    </row>
    <row r="515" spans="1:4" thickBot="1" x14ac:dyDescent="0.35">
      <c r="A515" s="1"/>
      <c r="B515" s="1"/>
      <c r="C515" s="1"/>
      <c r="D515" s="1"/>
    </row>
    <row r="516" spans="1:4" thickBot="1" x14ac:dyDescent="0.35">
      <c r="A516" s="1"/>
      <c r="B516" s="1"/>
      <c r="C516" s="1"/>
      <c r="D516" s="1"/>
    </row>
    <row r="517" spans="1:4" thickBot="1" x14ac:dyDescent="0.35">
      <c r="A517" s="1"/>
      <c r="B517" s="1"/>
      <c r="C517" s="1"/>
      <c r="D517" s="1"/>
    </row>
    <row r="518" spans="1:4" thickBot="1" x14ac:dyDescent="0.35">
      <c r="A518" s="1"/>
      <c r="B518" s="1"/>
      <c r="C518" s="1"/>
      <c r="D518" s="1"/>
    </row>
    <row r="519" spans="1:4" thickBot="1" x14ac:dyDescent="0.35">
      <c r="A519" s="1"/>
      <c r="B519" s="1"/>
      <c r="C519" s="1"/>
      <c r="D519" s="1"/>
    </row>
    <row r="520" spans="1:4" thickBot="1" x14ac:dyDescent="0.35">
      <c r="A520" s="1"/>
      <c r="B520" s="1"/>
      <c r="C520" s="1"/>
      <c r="D520" s="1"/>
    </row>
    <row r="521" spans="1:4" thickBot="1" x14ac:dyDescent="0.35">
      <c r="A521" s="1"/>
      <c r="B521" s="1"/>
      <c r="C521" s="1"/>
      <c r="D521" s="1"/>
    </row>
    <row r="522" spans="1:4" thickBot="1" x14ac:dyDescent="0.35">
      <c r="A522" s="1"/>
      <c r="B522" s="1"/>
      <c r="C522" s="1"/>
      <c r="D522" s="1"/>
    </row>
    <row r="523" spans="1:4" thickBot="1" x14ac:dyDescent="0.35">
      <c r="A523" s="1"/>
      <c r="B523" s="1"/>
      <c r="C523" s="1"/>
      <c r="D523" s="1"/>
    </row>
    <row r="524" spans="1:4" thickBot="1" x14ac:dyDescent="0.35">
      <c r="A524" s="1"/>
      <c r="B524" s="1"/>
      <c r="C524" s="1"/>
      <c r="D524" s="1"/>
    </row>
    <row r="525" spans="1:4" thickBot="1" x14ac:dyDescent="0.35">
      <c r="A525" s="1"/>
      <c r="B525" s="1"/>
      <c r="C525" s="1"/>
      <c r="D525" s="1"/>
    </row>
    <row r="526" spans="1:4" thickBot="1" x14ac:dyDescent="0.35">
      <c r="A526" s="1"/>
      <c r="B526" s="1"/>
      <c r="C526" s="1"/>
      <c r="D526" s="1"/>
    </row>
    <row r="527" spans="1:4" thickBot="1" x14ac:dyDescent="0.35">
      <c r="A527" s="1"/>
      <c r="B527" s="1"/>
      <c r="C527" s="1"/>
      <c r="D527" s="1"/>
    </row>
    <row r="528" spans="1:4" thickBot="1" x14ac:dyDescent="0.35">
      <c r="A528" s="1"/>
      <c r="B528" s="1"/>
      <c r="C528" s="1"/>
      <c r="D528" s="1"/>
    </row>
    <row r="529" spans="1:4" thickBot="1" x14ac:dyDescent="0.35">
      <c r="A529" s="1"/>
      <c r="B529" s="1"/>
      <c r="C529" s="1"/>
      <c r="D529" s="1"/>
    </row>
    <row r="530" spans="1:4" thickBot="1" x14ac:dyDescent="0.35">
      <c r="A530" s="1"/>
      <c r="B530" s="1"/>
      <c r="C530" s="1"/>
      <c r="D530" s="1"/>
    </row>
    <row r="531" spans="1:4" thickBot="1" x14ac:dyDescent="0.35">
      <c r="A531" s="1"/>
      <c r="B531" s="1"/>
      <c r="C531" s="1"/>
      <c r="D531" s="1"/>
    </row>
    <row r="532" spans="1:4" thickBot="1" x14ac:dyDescent="0.35">
      <c r="A532" s="1"/>
      <c r="B532" s="1"/>
      <c r="C532" s="1"/>
      <c r="D532" s="1"/>
    </row>
    <row r="533" spans="1:4" thickBot="1" x14ac:dyDescent="0.35">
      <c r="A533" s="1"/>
      <c r="B533" s="1"/>
      <c r="C533" s="1"/>
      <c r="D533" s="1"/>
    </row>
    <row r="534" spans="1:4" thickBot="1" x14ac:dyDescent="0.35">
      <c r="A534" s="1"/>
      <c r="B534" s="1"/>
      <c r="C534" s="1"/>
      <c r="D534" s="1"/>
    </row>
    <row r="535" spans="1:4" thickBot="1" x14ac:dyDescent="0.35">
      <c r="A535" s="1"/>
      <c r="B535" s="1"/>
      <c r="C535" s="1"/>
      <c r="D535" s="1"/>
    </row>
    <row r="536" spans="1:4" thickBot="1" x14ac:dyDescent="0.35">
      <c r="A536" s="1"/>
      <c r="B536" s="1"/>
      <c r="C536" s="1"/>
      <c r="D536" s="1"/>
    </row>
    <row r="537" spans="1:4" thickBot="1" x14ac:dyDescent="0.35">
      <c r="A537" s="1"/>
      <c r="B537" s="1"/>
      <c r="C537" s="1"/>
      <c r="D537" s="1"/>
    </row>
    <row r="538" spans="1:4" thickBot="1" x14ac:dyDescent="0.35">
      <c r="A538" s="1"/>
      <c r="B538" s="1"/>
      <c r="C538" s="1"/>
      <c r="D538" s="1"/>
    </row>
    <row r="539" spans="1:4" thickBot="1" x14ac:dyDescent="0.35">
      <c r="A539" s="1"/>
      <c r="B539" s="1"/>
      <c r="C539" s="1"/>
      <c r="D539" s="1"/>
    </row>
    <row r="540" spans="1:4" thickBot="1" x14ac:dyDescent="0.35">
      <c r="A540" s="1"/>
      <c r="B540" s="1"/>
      <c r="C540" s="1"/>
      <c r="D540" s="1"/>
    </row>
    <row r="541" spans="1:4" thickBot="1" x14ac:dyDescent="0.35">
      <c r="A541" s="1"/>
      <c r="B541" s="1"/>
      <c r="C541" s="1"/>
      <c r="D541" s="1"/>
    </row>
    <row r="542" spans="1:4" thickBot="1" x14ac:dyDescent="0.35">
      <c r="A542" s="1"/>
      <c r="B542" s="1"/>
      <c r="C542" s="1"/>
      <c r="D542" s="1"/>
    </row>
    <row r="543" spans="1:4" thickBot="1" x14ac:dyDescent="0.35">
      <c r="A543" s="1"/>
      <c r="B543" s="1"/>
      <c r="C543" s="1"/>
      <c r="D543" s="1"/>
    </row>
    <row r="544" spans="1:4" thickBot="1" x14ac:dyDescent="0.35">
      <c r="A544" s="1"/>
      <c r="B544" s="1"/>
      <c r="C544" s="1"/>
      <c r="D544" s="1"/>
    </row>
    <row r="545" spans="1:4" thickBot="1" x14ac:dyDescent="0.35">
      <c r="A545" s="1"/>
      <c r="B545" s="1"/>
      <c r="C545" s="1"/>
      <c r="D545" s="1"/>
    </row>
    <row r="546" spans="1:4" thickBot="1" x14ac:dyDescent="0.35">
      <c r="A546" s="1"/>
      <c r="B546" s="1"/>
      <c r="C546" s="1"/>
      <c r="D546" s="1"/>
    </row>
    <row r="547" spans="1:4" thickBot="1" x14ac:dyDescent="0.35">
      <c r="A547" s="1"/>
      <c r="B547" s="1"/>
      <c r="C547" s="1"/>
      <c r="D547" s="1"/>
    </row>
    <row r="548" spans="1:4" thickBot="1" x14ac:dyDescent="0.35">
      <c r="A548" s="1"/>
      <c r="B548" s="1"/>
      <c r="C548" s="1"/>
      <c r="D548" s="1"/>
    </row>
    <row r="549" spans="1:4" thickBot="1" x14ac:dyDescent="0.35">
      <c r="A549" s="1"/>
      <c r="B549" s="1"/>
      <c r="C549" s="1"/>
      <c r="D549" s="1"/>
    </row>
    <row r="550" spans="1:4" thickBot="1" x14ac:dyDescent="0.35">
      <c r="A550" s="1"/>
      <c r="B550" s="1"/>
      <c r="C550" s="1"/>
      <c r="D550" s="1"/>
    </row>
    <row r="551" spans="1:4" thickBot="1" x14ac:dyDescent="0.35">
      <c r="A551" s="1"/>
      <c r="B551" s="1"/>
      <c r="C551" s="1"/>
      <c r="D551" s="1"/>
    </row>
    <row r="552" spans="1:4" thickBot="1" x14ac:dyDescent="0.35">
      <c r="A552" s="1"/>
      <c r="B552" s="1"/>
      <c r="C552" s="1"/>
      <c r="D552" s="1"/>
    </row>
    <row r="553" spans="1:4" thickBot="1" x14ac:dyDescent="0.35">
      <c r="A553" s="1"/>
      <c r="B553" s="1"/>
      <c r="C553" s="1"/>
      <c r="D553" s="1"/>
    </row>
    <row r="554" spans="1:4" thickBot="1" x14ac:dyDescent="0.35">
      <c r="A554" s="1"/>
      <c r="B554" s="1"/>
      <c r="C554" s="1"/>
      <c r="D554" s="1"/>
    </row>
    <row r="555" spans="1:4" thickBot="1" x14ac:dyDescent="0.35">
      <c r="A555" s="1"/>
      <c r="B555" s="1"/>
      <c r="C555" s="1"/>
      <c r="D555" s="1"/>
    </row>
    <row r="556" spans="1:4" thickBot="1" x14ac:dyDescent="0.35">
      <c r="A556" s="1"/>
      <c r="B556" s="1"/>
      <c r="C556" s="1"/>
      <c r="D556" s="1"/>
    </row>
    <row r="557" spans="1:4" thickBot="1" x14ac:dyDescent="0.35">
      <c r="A557" s="1"/>
      <c r="B557" s="1"/>
      <c r="C557" s="1"/>
      <c r="D557" s="1"/>
    </row>
    <row r="558" spans="1:4" thickBot="1" x14ac:dyDescent="0.35">
      <c r="A558" s="1"/>
      <c r="B558" s="1"/>
      <c r="C558" s="1"/>
      <c r="D558" s="1"/>
    </row>
    <row r="559" spans="1:4" thickBot="1" x14ac:dyDescent="0.35">
      <c r="A559" s="1"/>
      <c r="B559" s="1"/>
      <c r="C559" s="1"/>
      <c r="D559" s="1"/>
    </row>
    <row r="560" spans="1:4" thickBot="1" x14ac:dyDescent="0.35">
      <c r="A560" s="1"/>
      <c r="B560" s="1"/>
      <c r="C560" s="1"/>
      <c r="D560" s="1"/>
    </row>
    <row r="561" spans="1:4" thickBot="1" x14ac:dyDescent="0.35">
      <c r="A561" s="1"/>
      <c r="B561" s="1"/>
      <c r="C561" s="1"/>
      <c r="D561" s="1"/>
    </row>
    <row r="562" spans="1:4" thickBot="1" x14ac:dyDescent="0.35">
      <c r="A562" s="1"/>
      <c r="B562" s="1"/>
      <c r="C562" s="1"/>
      <c r="D562" s="1"/>
    </row>
    <row r="563" spans="1:4" thickBot="1" x14ac:dyDescent="0.35">
      <c r="A563" s="1"/>
      <c r="B563" s="1"/>
      <c r="C563" s="1"/>
      <c r="D563" s="1"/>
    </row>
    <row r="564" spans="1:4" thickBot="1" x14ac:dyDescent="0.35">
      <c r="A564" s="1"/>
      <c r="B564" s="1"/>
      <c r="C564" s="1"/>
      <c r="D564" s="1"/>
    </row>
    <row r="565" spans="1:4" thickBot="1" x14ac:dyDescent="0.35">
      <c r="A565" s="1"/>
      <c r="B565" s="1"/>
      <c r="C565" s="1"/>
      <c r="D565" s="1"/>
    </row>
    <row r="566" spans="1:4" thickBot="1" x14ac:dyDescent="0.35">
      <c r="A566" s="1"/>
      <c r="B566" s="1"/>
      <c r="C566" s="1"/>
      <c r="D566" s="1"/>
    </row>
    <row r="567" spans="1:4" thickBot="1" x14ac:dyDescent="0.35">
      <c r="A567" s="1"/>
      <c r="B567" s="1"/>
      <c r="C567" s="1"/>
      <c r="D567" s="1"/>
    </row>
    <row r="568" spans="1:4" thickBot="1" x14ac:dyDescent="0.35">
      <c r="A568" s="1"/>
      <c r="B568" s="1"/>
      <c r="C568" s="1"/>
      <c r="D568" s="1"/>
    </row>
    <row r="569" spans="1:4" thickBot="1" x14ac:dyDescent="0.35">
      <c r="A569" s="1"/>
      <c r="B569" s="1"/>
      <c r="C569" s="1"/>
      <c r="D569" s="1"/>
    </row>
    <row r="570" spans="1:4" thickBot="1" x14ac:dyDescent="0.35">
      <c r="A570" s="1"/>
      <c r="B570" s="1"/>
      <c r="C570" s="1"/>
      <c r="D570" s="1"/>
    </row>
    <row r="571" spans="1:4" thickBot="1" x14ac:dyDescent="0.35">
      <c r="A571" s="1"/>
      <c r="B571" s="1"/>
      <c r="C571" s="1"/>
      <c r="D571" s="1"/>
    </row>
    <row r="572" spans="1:4" thickBot="1" x14ac:dyDescent="0.35">
      <c r="A572" s="1"/>
      <c r="B572" s="1"/>
      <c r="C572" s="1"/>
      <c r="D572" s="1"/>
    </row>
    <row r="573" spans="1:4" thickBot="1" x14ac:dyDescent="0.35">
      <c r="A573" s="1"/>
      <c r="B573" s="1"/>
      <c r="C573" s="1"/>
      <c r="D573" s="1"/>
    </row>
    <row r="574" spans="1:4" thickBot="1" x14ac:dyDescent="0.35">
      <c r="A574" s="1"/>
      <c r="B574" s="1"/>
      <c r="C574" s="1"/>
      <c r="D574" s="1"/>
    </row>
    <row r="575" spans="1:4" thickBot="1" x14ac:dyDescent="0.35">
      <c r="A575" s="1"/>
      <c r="B575" s="1"/>
      <c r="C575" s="1"/>
      <c r="D575" s="1"/>
    </row>
    <row r="576" spans="1:4" thickBot="1" x14ac:dyDescent="0.35">
      <c r="A576" s="1"/>
      <c r="B576" s="1"/>
      <c r="C576" s="1"/>
      <c r="D576" s="1"/>
    </row>
    <row r="577" spans="1:4" thickBot="1" x14ac:dyDescent="0.35">
      <c r="A577" s="1"/>
      <c r="B577" s="1"/>
      <c r="C577" s="1"/>
      <c r="D577" s="1"/>
    </row>
    <row r="578" spans="1:4" thickBot="1" x14ac:dyDescent="0.35">
      <c r="A578" s="1"/>
      <c r="B578" s="1"/>
      <c r="C578" s="1"/>
      <c r="D578" s="1"/>
    </row>
    <row r="579" spans="1:4" thickBot="1" x14ac:dyDescent="0.35">
      <c r="A579" s="1"/>
      <c r="B579" s="1"/>
      <c r="C579" s="1"/>
      <c r="D579" s="1"/>
    </row>
    <row r="580" spans="1:4" thickBot="1" x14ac:dyDescent="0.35">
      <c r="A580" s="1"/>
      <c r="B580" s="1"/>
      <c r="C580" s="1"/>
      <c r="D580" s="1"/>
    </row>
    <row r="581" spans="1:4" thickBot="1" x14ac:dyDescent="0.35">
      <c r="A581" s="1"/>
      <c r="B581" s="1"/>
      <c r="C581" s="1"/>
      <c r="D581" s="1"/>
    </row>
    <row r="582" spans="1:4" thickBot="1" x14ac:dyDescent="0.35">
      <c r="A582" s="1"/>
      <c r="B582" s="1"/>
      <c r="C582" s="1"/>
      <c r="D582" s="1"/>
    </row>
    <row r="583" spans="1:4" thickBot="1" x14ac:dyDescent="0.35">
      <c r="A583" s="1"/>
      <c r="B583" s="1"/>
      <c r="C583" s="1"/>
      <c r="D583" s="1"/>
    </row>
    <row r="584" spans="1:4" thickBot="1" x14ac:dyDescent="0.35">
      <c r="A584" s="1"/>
      <c r="B584" s="1"/>
      <c r="C584" s="1"/>
      <c r="D584" s="1"/>
    </row>
    <row r="585" spans="1:4" thickBot="1" x14ac:dyDescent="0.35">
      <c r="A585" s="1"/>
      <c r="B585" s="1"/>
      <c r="C585" s="1"/>
      <c r="D585" s="1"/>
    </row>
    <row r="586" spans="1:4" thickBot="1" x14ac:dyDescent="0.35">
      <c r="A586" s="1"/>
      <c r="B586" s="1"/>
      <c r="C586" s="1"/>
      <c r="D586" s="1"/>
    </row>
    <row r="587" spans="1:4" thickBot="1" x14ac:dyDescent="0.35">
      <c r="A587" s="1"/>
      <c r="B587" s="1"/>
      <c r="C587" s="1"/>
      <c r="D587" s="1"/>
    </row>
    <row r="588" spans="1:4" thickBot="1" x14ac:dyDescent="0.35">
      <c r="A588" s="1"/>
      <c r="B588" s="1"/>
      <c r="C588" s="1"/>
      <c r="D588" s="1"/>
    </row>
    <row r="589" spans="1:4" thickBot="1" x14ac:dyDescent="0.35">
      <c r="A589" s="1"/>
      <c r="B589" s="1"/>
      <c r="C589" s="1"/>
      <c r="D589" s="1"/>
    </row>
    <row r="590" spans="1:4" thickBot="1" x14ac:dyDescent="0.35">
      <c r="A590" s="1"/>
      <c r="B590" s="1"/>
      <c r="C590" s="1"/>
      <c r="D590" s="1"/>
    </row>
    <row r="591" spans="1:4" thickBot="1" x14ac:dyDescent="0.35">
      <c r="A591" s="1"/>
      <c r="B591" s="1"/>
      <c r="C591" s="1"/>
      <c r="D591" s="1"/>
    </row>
    <row r="592" spans="1:4" thickBot="1" x14ac:dyDescent="0.35">
      <c r="A592" s="1"/>
      <c r="B592" s="1"/>
      <c r="C592" s="1"/>
      <c r="D592" s="1"/>
    </row>
    <row r="593" spans="1:4" thickBot="1" x14ac:dyDescent="0.35">
      <c r="A593" s="1"/>
      <c r="B593" s="1"/>
      <c r="C593" s="1"/>
      <c r="D593" s="1"/>
    </row>
    <row r="594" spans="1:4" thickBot="1" x14ac:dyDescent="0.35">
      <c r="A594" s="1"/>
      <c r="B594" s="1"/>
      <c r="C594" s="1"/>
      <c r="D594" s="1"/>
    </row>
    <row r="595" spans="1:4" thickBot="1" x14ac:dyDescent="0.35">
      <c r="A595" s="1"/>
      <c r="B595" s="1"/>
      <c r="C595" s="1"/>
      <c r="D595" s="1"/>
    </row>
    <row r="596" spans="1:4" thickBot="1" x14ac:dyDescent="0.35">
      <c r="A596" s="1"/>
      <c r="B596" s="1"/>
      <c r="C596" s="1"/>
      <c r="D596" s="1"/>
    </row>
    <row r="597" spans="1:4" thickBot="1" x14ac:dyDescent="0.35">
      <c r="A597" s="1"/>
      <c r="B597" s="1"/>
      <c r="C597" s="1"/>
      <c r="D597" s="1"/>
    </row>
    <row r="598" spans="1:4" thickBot="1" x14ac:dyDescent="0.35">
      <c r="A598" s="1"/>
      <c r="B598" s="1"/>
      <c r="C598" s="1"/>
      <c r="D598" s="1"/>
    </row>
    <row r="599" spans="1:4" thickBot="1" x14ac:dyDescent="0.35">
      <c r="A599" s="1"/>
      <c r="B599" s="1"/>
      <c r="C599" s="1"/>
      <c r="D599" s="1"/>
    </row>
    <row r="600" spans="1:4" thickBot="1" x14ac:dyDescent="0.35">
      <c r="A600" s="1"/>
      <c r="B600" s="1"/>
      <c r="C600" s="1"/>
      <c r="D600" s="1"/>
    </row>
    <row r="601" spans="1:4" thickBot="1" x14ac:dyDescent="0.35">
      <c r="A601" s="1"/>
      <c r="B601" s="1"/>
      <c r="C601" s="1"/>
      <c r="D601" s="1"/>
    </row>
    <row r="602" spans="1:4" thickBot="1" x14ac:dyDescent="0.35">
      <c r="A602" s="1"/>
      <c r="B602" s="1"/>
      <c r="C602" s="1"/>
      <c r="D602" s="1"/>
    </row>
    <row r="603" spans="1:4" thickBot="1" x14ac:dyDescent="0.35">
      <c r="A603" s="1"/>
      <c r="B603" s="1"/>
      <c r="C603" s="1"/>
      <c r="D603" s="1"/>
    </row>
    <row r="604" spans="1:4" thickBot="1" x14ac:dyDescent="0.35">
      <c r="A604" s="1"/>
      <c r="B604" s="1"/>
      <c r="C604" s="1"/>
      <c r="D604" s="1"/>
    </row>
    <row r="605" spans="1:4" thickBot="1" x14ac:dyDescent="0.35">
      <c r="A605" s="1"/>
      <c r="B605" s="1"/>
      <c r="C605" s="1"/>
      <c r="D605" s="1"/>
    </row>
    <row r="606" spans="1:4" thickBot="1" x14ac:dyDescent="0.35">
      <c r="A606" s="1"/>
      <c r="B606" s="1"/>
      <c r="C606" s="1"/>
      <c r="D606" s="1"/>
    </row>
    <row r="607" spans="1:4" thickBot="1" x14ac:dyDescent="0.35">
      <c r="A607" s="1"/>
      <c r="B607" s="1"/>
      <c r="C607" s="1"/>
      <c r="D607" s="1"/>
    </row>
    <row r="608" spans="1:4" thickBot="1" x14ac:dyDescent="0.35">
      <c r="A608" s="1"/>
      <c r="B608" s="1"/>
      <c r="C608" s="1"/>
      <c r="D608" s="1"/>
    </row>
    <row r="609" spans="1:4" thickBot="1" x14ac:dyDescent="0.35">
      <c r="A609" s="1"/>
      <c r="B609" s="1"/>
      <c r="C609" s="1"/>
      <c r="D609" s="1"/>
    </row>
    <row r="610" spans="1:4" thickBot="1" x14ac:dyDescent="0.35">
      <c r="A610" s="1"/>
      <c r="B610" s="1"/>
      <c r="C610" s="1"/>
      <c r="D610" s="1"/>
    </row>
    <row r="611" spans="1:4" thickBot="1" x14ac:dyDescent="0.35">
      <c r="A611" s="1"/>
      <c r="B611" s="1"/>
      <c r="C611" s="1"/>
      <c r="D611" s="1"/>
    </row>
    <row r="612" spans="1:4" thickBot="1" x14ac:dyDescent="0.35">
      <c r="A612" s="1"/>
      <c r="B612" s="1"/>
      <c r="C612" s="1"/>
      <c r="D612" s="1"/>
    </row>
    <row r="613" spans="1:4" thickBot="1" x14ac:dyDescent="0.35">
      <c r="A613" s="1"/>
      <c r="B613" s="1"/>
      <c r="C613" s="1"/>
      <c r="D613" s="1"/>
    </row>
    <row r="614" spans="1:4" thickBot="1" x14ac:dyDescent="0.35">
      <c r="A614" s="1"/>
      <c r="B614" s="1"/>
      <c r="C614" s="1"/>
      <c r="D614" s="1"/>
    </row>
    <row r="615" spans="1:4" thickBot="1" x14ac:dyDescent="0.35">
      <c r="A615" s="1"/>
      <c r="B615" s="1"/>
      <c r="C615" s="1"/>
      <c r="D615" s="1"/>
    </row>
    <row r="616" spans="1:4" thickBot="1" x14ac:dyDescent="0.35">
      <c r="A616" s="1"/>
      <c r="B616" s="1"/>
      <c r="C616" s="1"/>
      <c r="D616" s="1"/>
    </row>
    <row r="617" spans="1:4" thickBot="1" x14ac:dyDescent="0.35">
      <c r="A617" s="1"/>
      <c r="B617" s="1"/>
      <c r="C617" s="1"/>
      <c r="D617" s="1"/>
    </row>
    <row r="618" spans="1:4" thickBot="1" x14ac:dyDescent="0.35">
      <c r="A618" s="1"/>
      <c r="B618" s="1"/>
      <c r="C618" s="1"/>
      <c r="D618" s="1"/>
    </row>
    <row r="619" spans="1:4" thickBot="1" x14ac:dyDescent="0.35">
      <c r="A619" s="1"/>
      <c r="B619" s="1"/>
      <c r="C619" s="1"/>
      <c r="D619" s="1"/>
    </row>
    <row r="620" spans="1:4" thickBot="1" x14ac:dyDescent="0.35">
      <c r="A620" s="1"/>
      <c r="B620" s="1"/>
      <c r="C620" s="1"/>
      <c r="D620" s="1"/>
    </row>
    <row r="621" spans="1:4" thickBot="1" x14ac:dyDescent="0.35">
      <c r="A621" s="1"/>
      <c r="B621" s="1"/>
      <c r="C621" s="1"/>
      <c r="D621" s="1"/>
    </row>
    <row r="622" spans="1:4" thickBot="1" x14ac:dyDescent="0.35">
      <c r="A622" s="1"/>
      <c r="B622" s="1"/>
      <c r="C622" s="1"/>
      <c r="D622" s="1"/>
    </row>
    <row r="623" spans="1:4" thickBot="1" x14ac:dyDescent="0.35">
      <c r="A623" s="1"/>
      <c r="B623" s="1"/>
      <c r="C623" s="1"/>
      <c r="D623" s="1"/>
    </row>
    <row r="624" spans="1:4" thickBot="1" x14ac:dyDescent="0.35">
      <c r="A624" s="1"/>
      <c r="B624" s="1"/>
      <c r="C624" s="1"/>
      <c r="D624" s="1"/>
    </row>
    <row r="625" spans="1:4" thickBot="1" x14ac:dyDescent="0.35">
      <c r="A625" s="1"/>
      <c r="B625" s="1"/>
      <c r="C625" s="1"/>
      <c r="D625" s="1"/>
    </row>
    <row r="626" spans="1:4" thickBot="1" x14ac:dyDescent="0.35">
      <c r="A626" s="1"/>
      <c r="B626" s="1"/>
      <c r="C626" s="1"/>
      <c r="D626" s="1"/>
    </row>
    <row r="627" spans="1:4" thickBot="1" x14ac:dyDescent="0.35">
      <c r="A627" s="1"/>
      <c r="B627" s="1"/>
      <c r="C627" s="1"/>
      <c r="D627" s="1"/>
    </row>
    <row r="628" spans="1:4" thickBot="1" x14ac:dyDescent="0.35">
      <c r="A628" s="1"/>
      <c r="B628" s="1"/>
      <c r="C628" s="1"/>
      <c r="D628" s="1"/>
    </row>
    <row r="629" spans="1:4" thickBot="1" x14ac:dyDescent="0.35">
      <c r="A629" s="1"/>
      <c r="B629" s="1"/>
      <c r="C629" s="1"/>
      <c r="D629" s="1"/>
    </row>
    <row r="630" spans="1:4" thickBot="1" x14ac:dyDescent="0.35">
      <c r="A630" s="1"/>
      <c r="B630" s="1"/>
      <c r="C630" s="1"/>
      <c r="D630" s="1"/>
    </row>
    <row r="631" spans="1:4" thickBot="1" x14ac:dyDescent="0.35">
      <c r="A631" s="1"/>
      <c r="B631" s="1"/>
      <c r="C631" s="1"/>
      <c r="D631" s="1"/>
    </row>
    <row r="632" spans="1:4" thickBot="1" x14ac:dyDescent="0.35">
      <c r="A632" s="1"/>
      <c r="B632" s="1"/>
      <c r="C632" s="1"/>
      <c r="D632" s="1"/>
    </row>
    <row r="633" spans="1:4" thickBot="1" x14ac:dyDescent="0.35">
      <c r="A633" s="1"/>
      <c r="B633" s="1"/>
      <c r="C633" s="1"/>
      <c r="D633" s="1"/>
    </row>
    <row r="634" spans="1:4" thickBot="1" x14ac:dyDescent="0.35">
      <c r="A634" s="1"/>
      <c r="B634" s="1"/>
      <c r="C634" s="1"/>
      <c r="D634" s="1"/>
    </row>
    <row r="635" spans="1:4" thickBot="1" x14ac:dyDescent="0.35">
      <c r="A635" s="1"/>
      <c r="B635" s="1"/>
      <c r="C635" s="1"/>
      <c r="D635" s="1"/>
    </row>
    <row r="636" spans="1:4" thickBot="1" x14ac:dyDescent="0.35">
      <c r="A636" s="1"/>
      <c r="B636" s="1"/>
      <c r="C636" s="1"/>
      <c r="D636" s="1"/>
    </row>
    <row r="637" spans="1:4" thickBot="1" x14ac:dyDescent="0.35">
      <c r="A637" s="1"/>
      <c r="B637" s="1"/>
      <c r="C637" s="1"/>
      <c r="D637" s="1"/>
    </row>
    <row r="638" spans="1:4" thickBot="1" x14ac:dyDescent="0.35">
      <c r="A638" s="1"/>
      <c r="B638" s="1"/>
      <c r="C638" s="1"/>
      <c r="D638" s="1"/>
    </row>
    <row r="639" spans="1:4" thickBot="1" x14ac:dyDescent="0.35">
      <c r="A639" s="1"/>
      <c r="B639" s="1"/>
      <c r="C639" s="1"/>
      <c r="D639" s="1"/>
    </row>
    <row r="640" spans="1:4" thickBot="1" x14ac:dyDescent="0.35">
      <c r="A640" s="1"/>
      <c r="B640" s="1"/>
      <c r="C640" s="1"/>
      <c r="D640" s="1"/>
    </row>
    <row r="641" spans="1:4" thickBot="1" x14ac:dyDescent="0.35">
      <c r="A641" s="1"/>
      <c r="B641" s="1"/>
      <c r="C641" s="1"/>
      <c r="D641" s="1"/>
    </row>
    <row r="642" spans="1:4" thickBot="1" x14ac:dyDescent="0.35">
      <c r="A642" s="1"/>
      <c r="B642" s="1"/>
      <c r="C642" s="1"/>
      <c r="D642" s="1"/>
    </row>
    <row r="643" spans="1:4" thickBot="1" x14ac:dyDescent="0.35">
      <c r="A643" s="1"/>
      <c r="B643" s="1"/>
      <c r="C643" s="1"/>
      <c r="D643" s="1"/>
    </row>
    <row r="644" spans="1:4" thickBot="1" x14ac:dyDescent="0.35">
      <c r="A644" s="1"/>
      <c r="B644" s="1"/>
      <c r="C644" s="1"/>
      <c r="D644" s="1"/>
    </row>
    <row r="645" spans="1:4" thickBot="1" x14ac:dyDescent="0.35">
      <c r="A645" s="1"/>
      <c r="B645" s="1"/>
      <c r="C645" s="1"/>
      <c r="D645" s="1"/>
    </row>
    <row r="646" spans="1:4" thickBot="1" x14ac:dyDescent="0.35">
      <c r="A646" s="1"/>
      <c r="B646" s="1"/>
      <c r="C646" s="1"/>
      <c r="D646" s="1"/>
    </row>
    <row r="647" spans="1:4" thickBot="1" x14ac:dyDescent="0.35">
      <c r="A647" s="1"/>
      <c r="B647" s="1"/>
      <c r="C647" s="1"/>
      <c r="D647" s="1"/>
    </row>
    <row r="648" spans="1:4" thickBot="1" x14ac:dyDescent="0.35">
      <c r="A648" s="1"/>
      <c r="B648" s="1"/>
      <c r="C648" s="1"/>
      <c r="D648" s="1"/>
    </row>
    <row r="649" spans="1:4" thickBot="1" x14ac:dyDescent="0.35">
      <c r="A649" s="1"/>
      <c r="B649" s="1"/>
      <c r="C649" s="1"/>
      <c r="D649" s="1"/>
    </row>
    <row r="650" spans="1:4" thickBot="1" x14ac:dyDescent="0.35">
      <c r="A650" s="1"/>
      <c r="B650" s="1"/>
      <c r="C650" s="1"/>
      <c r="D650" s="1"/>
    </row>
    <row r="651" spans="1:4" thickBot="1" x14ac:dyDescent="0.35">
      <c r="A651" s="1"/>
      <c r="B651" s="1"/>
      <c r="C651" s="1"/>
      <c r="D651" s="1"/>
    </row>
    <row r="652" spans="1:4" thickBot="1" x14ac:dyDescent="0.35">
      <c r="A652" s="1"/>
      <c r="B652" s="1"/>
      <c r="C652" s="1"/>
      <c r="D652" s="1"/>
    </row>
    <row r="653" spans="1:4" thickBot="1" x14ac:dyDescent="0.35">
      <c r="A653" s="1"/>
      <c r="B653" s="1"/>
      <c r="C653" s="1"/>
      <c r="D653" s="1"/>
    </row>
    <row r="654" spans="1:4" thickBot="1" x14ac:dyDescent="0.35">
      <c r="A654" s="1"/>
      <c r="B654" s="1"/>
      <c r="C654" s="1"/>
      <c r="D654" s="1"/>
    </row>
    <row r="655" spans="1:4" thickBot="1" x14ac:dyDescent="0.35">
      <c r="A655" s="1"/>
      <c r="B655" s="1"/>
      <c r="C655" s="1"/>
      <c r="D655" s="1"/>
    </row>
    <row r="656" spans="1:4" thickBot="1" x14ac:dyDescent="0.35">
      <c r="A656" s="1"/>
      <c r="B656" s="1"/>
      <c r="C656" s="1"/>
      <c r="D656" s="1"/>
    </row>
    <row r="657" spans="1:4" thickBot="1" x14ac:dyDescent="0.35">
      <c r="A657" s="1"/>
      <c r="B657" s="1"/>
      <c r="C657" s="1"/>
      <c r="D657" s="1"/>
    </row>
    <row r="658" spans="1:4" thickBot="1" x14ac:dyDescent="0.35">
      <c r="A658" s="1"/>
      <c r="B658" s="1"/>
      <c r="C658" s="1"/>
      <c r="D658" s="1"/>
    </row>
    <row r="659" spans="1:4" thickBot="1" x14ac:dyDescent="0.35">
      <c r="A659" s="1"/>
      <c r="B659" s="1"/>
      <c r="C659" s="1"/>
      <c r="D659" s="1"/>
    </row>
    <row r="660" spans="1:4" thickBot="1" x14ac:dyDescent="0.35">
      <c r="A660" s="1"/>
      <c r="B660" s="1"/>
      <c r="C660" s="1"/>
      <c r="D660" s="1"/>
    </row>
    <row r="661" spans="1:4" thickBot="1" x14ac:dyDescent="0.35">
      <c r="A661" s="1"/>
      <c r="B661" s="1"/>
      <c r="C661" s="1"/>
      <c r="D661" s="1"/>
    </row>
    <row r="662" spans="1:4" thickBot="1" x14ac:dyDescent="0.35">
      <c r="A662" s="1"/>
      <c r="B662" s="1"/>
      <c r="C662" s="1"/>
      <c r="D662" s="1"/>
    </row>
    <row r="663" spans="1:4" thickBot="1" x14ac:dyDescent="0.35">
      <c r="A663" s="1"/>
      <c r="B663" s="1"/>
      <c r="C663" s="1"/>
      <c r="D663" s="1"/>
    </row>
    <row r="664" spans="1:4" thickBot="1" x14ac:dyDescent="0.35">
      <c r="A664" s="1"/>
      <c r="B664" s="1"/>
      <c r="C664" s="1"/>
      <c r="D664" s="1"/>
    </row>
    <row r="665" spans="1:4" thickBot="1" x14ac:dyDescent="0.35">
      <c r="A665" s="1"/>
      <c r="B665" s="1"/>
      <c r="C665" s="1"/>
      <c r="D665" s="1"/>
    </row>
    <row r="666" spans="1:4" thickBot="1" x14ac:dyDescent="0.35">
      <c r="A666" s="1"/>
      <c r="B666" s="1"/>
      <c r="C666" s="1"/>
      <c r="D666" s="1"/>
    </row>
    <row r="667" spans="1:4" thickBot="1" x14ac:dyDescent="0.35">
      <c r="A667" s="1"/>
      <c r="B667" s="1"/>
      <c r="C667" s="1"/>
      <c r="D667" s="1"/>
    </row>
    <row r="668" spans="1:4" thickBot="1" x14ac:dyDescent="0.35">
      <c r="A668" s="1"/>
      <c r="B668" s="1"/>
      <c r="C668" s="1"/>
      <c r="D668" s="1"/>
    </row>
    <row r="669" spans="1:4" thickBot="1" x14ac:dyDescent="0.35">
      <c r="A669" s="1"/>
      <c r="B669" s="1"/>
      <c r="C669" s="1"/>
      <c r="D669" s="1"/>
    </row>
    <row r="670" spans="1:4" thickBot="1" x14ac:dyDescent="0.35">
      <c r="A670" s="1"/>
      <c r="B670" s="1"/>
      <c r="C670" s="1"/>
      <c r="D670" s="1"/>
    </row>
    <row r="671" spans="1:4" thickBot="1" x14ac:dyDescent="0.35">
      <c r="A671" s="1"/>
      <c r="B671" s="1"/>
      <c r="C671" s="1"/>
      <c r="D671" s="1"/>
    </row>
    <row r="672" spans="1:4" thickBot="1" x14ac:dyDescent="0.35">
      <c r="A672" s="1"/>
      <c r="B672" s="1"/>
      <c r="C672" s="1"/>
      <c r="D672" s="1"/>
    </row>
    <row r="673" spans="1:4" thickBot="1" x14ac:dyDescent="0.35">
      <c r="A673" s="1"/>
      <c r="B673" s="1"/>
      <c r="C673" s="1"/>
      <c r="D673" s="1"/>
    </row>
    <row r="674" spans="1:4" thickBot="1" x14ac:dyDescent="0.35">
      <c r="A674" s="1"/>
      <c r="B674" s="1"/>
      <c r="C674" s="1"/>
      <c r="D674" s="1"/>
    </row>
    <row r="675" spans="1:4" thickBot="1" x14ac:dyDescent="0.35">
      <c r="A675" s="1"/>
      <c r="B675" s="1"/>
      <c r="C675" s="1"/>
      <c r="D675" s="1"/>
    </row>
    <row r="676" spans="1:4" thickBot="1" x14ac:dyDescent="0.35">
      <c r="A676" s="1"/>
      <c r="B676" s="1"/>
      <c r="C676" s="1"/>
      <c r="D676" s="1"/>
    </row>
    <row r="677" spans="1:4" thickBot="1" x14ac:dyDescent="0.35">
      <c r="A677" s="1"/>
      <c r="B677" s="1"/>
      <c r="C677" s="1"/>
      <c r="D677" s="1"/>
    </row>
    <row r="678" spans="1:4" thickBot="1" x14ac:dyDescent="0.35">
      <c r="A678" s="1"/>
      <c r="B678" s="1"/>
      <c r="C678" s="1"/>
      <c r="D678" s="1"/>
    </row>
    <row r="679" spans="1:4" thickBot="1" x14ac:dyDescent="0.35">
      <c r="A679" s="1"/>
      <c r="B679" s="1"/>
      <c r="C679" s="1"/>
      <c r="D679" s="1"/>
    </row>
    <row r="680" spans="1:4" thickBot="1" x14ac:dyDescent="0.35">
      <c r="A680" s="1"/>
      <c r="B680" s="1"/>
      <c r="C680" s="1"/>
      <c r="D680" s="1"/>
    </row>
    <row r="681" spans="1:4" thickBot="1" x14ac:dyDescent="0.35">
      <c r="A681" s="1"/>
      <c r="B681" s="1"/>
      <c r="C681" s="1"/>
      <c r="D681" s="1"/>
    </row>
    <row r="682" spans="1:4" thickBot="1" x14ac:dyDescent="0.35">
      <c r="A682" s="1"/>
      <c r="B682" s="1"/>
      <c r="C682" s="1"/>
      <c r="D682" s="1"/>
    </row>
    <row r="683" spans="1:4" thickBot="1" x14ac:dyDescent="0.35">
      <c r="A683" s="1"/>
      <c r="B683" s="1"/>
      <c r="C683" s="1"/>
      <c r="D683" s="1"/>
    </row>
    <row r="684" spans="1:4" thickBot="1" x14ac:dyDescent="0.35">
      <c r="A684" s="1"/>
      <c r="B684" s="1"/>
      <c r="C684" s="1"/>
      <c r="D684" s="1"/>
    </row>
    <row r="685" spans="1:4" thickBot="1" x14ac:dyDescent="0.35">
      <c r="A685" s="1"/>
      <c r="B685" s="1"/>
      <c r="C685" s="1"/>
      <c r="D685" s="1"/>
    </row>
    <row r="686" spans="1:4" thickBot="1" x14ac:dyDescent="0.35">
      <c r="A686" s="1"/>
      <c r="B686" s="1"/>
      <c r="C686" s="1"/>
      <c r="D686" s="1"/>
    </row>
    <row r="687" spans="1:4" thickBot="1" x14ac:dyDescent="0.35">
      <c r="A687" s="1"/>
      <c r="B687" s="1"/>
      <c r="C687" s="1"/>
      <c r="D687" s="1"/>
    </row>
    <row r="688" spans="1:4" thickBot="1" x14ac:dyDescent="0.35">
      <c r="A688" s="1"/>
      <c r="B688" s="1"/>
      <c r="C688" s="1"/>
      <c r="D688" s="1"/>
    </row>
    <row r="689" spans="1:4" thickBot="1" x14ac:dyDescent="0.35">
      <c r="A689" s="1"/>
      <c r="B689" s="1"/>
      <c r="C689" s="1"/>
      <c r="D689" s="1"/>
    </row>
    <row r="690" spans="1:4" thickBot="1" x14ac:dyDescent="0.35">
      <c r="A690" s="1"/>
      <c r="B690" s="1"/>
      <c r="C690" s="1"/>
      <c r="D690" s="1"/>
    </row>
    <row r="691" spans="1:4" thickBot="1" x14ac:dyDescent="0.35">
      <c r="A691" s="1"/>
      <c r="B691" s="1"/>
      <c r="C691" s="1"/>
      <c r="D691" s="1"/>
    </row>
    <row r="692" spans="1:4" thickBot="1" x14ac:dyDescent="0.35">
      <c r="A692" s="1"/>
      <c r="B692" s="1"/>
      <c r="C692" s="1"/>
      <c r="D692" s="1"/>
    </row>
    <row r="693" spans="1:4" thickBot="1" x14ac:dyDescent="0.35">
      <c r="A693" s="1"/>
      <c r="B693" s="1"/>
      <c r="C693" s="1"/>
      <c r="D693" s="1"/>
    </row>
    <row r="694" spans="1:4" thickBot="1" x14ac:dyDescent="0.35">
      <c r="A694" s="1"/>
      <c r="B694" s="1"/>
      <c r="C694" s="1"/>
      <c r="D694" s="1"/>
    </row>
    <row r="695" spans="1:4" thickBot="1" x14ac:dyDescent="0.35">
      <c r="A695" s="1"/>
      <c r="B695" s="1"/>
      <c r="C695" s="1"/>
      <c r="D695" s="1"/>
    </row>
    <row r="696" spans="1:4" thickBot="1" x14ac:dyDescent="0.35">
      <c r="A696" s="1"/>
      <c r="B696" s="1"/>
      <c r="C696" s="1"/>
      <c r="D696" s="1"/>
    </row>
    <row r="697" spans="1:4" thickBot="1" x14ac:dyDescent="0.35">
      <c r="A697" s="1"/>
      <c r="B697" s="1"/>
      <c r="C697" s="1"/>
      <c r="D697" s="1"/>
    </row>
    <row r="698" spans="1:4" thickBot="1" x14ac:dyDescent="0.35">
      <c r="A698" s="1"/>
      <c r="B698" s="1"/>
      <c r="C698" s="1"/>
      <c r="D698" s="1"/>
    </row>
    <row r="699" spans="1:4" thickBot="1" x14ac:dyDescent="0.35">
      <c r="A699" s="1"/>
      <c r="B699" s="1"/>
      <c r="C699" s="1"/>
      <c r="D699" s="1"/>
    </row>
    <row r="700" spans="1:4" thickBot="1" x14ac:dyDescent="0.35">
      <c r="A700" s="1"/>
      <c r="B700" s="1"/>
      <c r="C700" s="1"/>
      <c r="D700" s="1"/>
    </row>
    <row r="701" spans="1:4" thickBot="1" x14ac:dyDescent="0.35">
      <c r="A701" s="1"/>
      <c r="B701" s="1"/>
      <c r="C701" s="1"/>
      <c r="D701" s="1"/>
    </row>
    <row r="702" spans="1:4" thickBot="1" x14ac:dyDescent="0.35">
      <c r="A702" s="1"/>
      <c r="B702" s="1"/>
      <c r="C702" s="1"/>
      <c r="D702" s="1"/>
    </row>
    <row r="703" spans="1:4" thickBot="1" x14ac:dyDescent="0.35">
      <c r="A703" s="1"/>
      <c r="B703" s="1"/>
      <c r="C703" s="1"/>
      <c r="D703" s="1"/>
    </row>
    <row r="704" spans="1:4" thickBot="1" x14ac:dyDescent="0.35">
      <c r="A704" s="1"/>
      <c r="B704" s="1"/>
      <c r="C704" s="1"/>
      <c r="D704" s="1"/>
    </row>
    <row r="705" spans="1:4" thickBot="1" x14ac:dyDescent="0.35">
      <c r="A705" s="1"/>
      <c r="B705" s="1"/>
      <c r="C705" s="1"/>
      <c r="D705" s="1"/>
    </row>
    <row r="706" spans="1:4" thickBot="1" x14ac:dyDescent="0.35">
      <c r="A706" s="1"/>
      <c r="B706" s="1"/>
      <c r="C706" s="1"/>
      <c r="D706" s="1"/>
    </row>
    <row r="707" spans="1:4" thickBot="1" x14ac:dyDescent="0.35">
      <c r="A707" s="1"/>
      <c r="B707" s="1"/>
      <c r="C707" s="1"/>
      <c r="D707" s="1"/>
    </row>
    <row r="708" spans="1:4" thickBot="1" x14ac:dyDescent="0.35">
      <c r="A708" s="1"/>
      <c r="B708" s="1"/>
      <c r="C708" s="1"/>
      <c r="D708" s="1"/>
    </row>
    <row r="709" spans="1:4" thickBot="1" x14ac:dyDescent="0.35">
      <c r="A709" s="1"/>
      <c r="B709" s="1"/>
      <c r="C709" s="1"/>
      <c r="D709" s="1"/>
    </row>
    <row r="710" spans="1:4" thickBot="1" x14ac:dyDescent="0.35">
      <c r="A710" s="1"/>
      <c r="B710" s="1"/>
      <c r="C710" s="1"/>
      <c r="D710" s="1"/>
    </row>
  </sheetData>
  <sortState xmlns:xlrd2="http://schemas.microsoft.com/office/spreadsheetml/2017/richdata2" ref="A3:AC230">
    <sortCondition ref="A2:A223"/>
    <sortCondition ref="C2:C223"/>
  </sortState>
  <dataConsolidate function="average"/>
  <dataValidations count="2">
    <dataValidation type="list" allowBlank="1" showInputMessage="1" showErrorMessage="1" sqref="B2:B710" xr:uid="{00000000-0002-0000-0600-000000000000}">
      <formula1>uniqueSection</formula1>
    </dataValidation>
    <dataValidation type="list" allowBlank="1" showInputMessage="1" showErrorMessage="1" sqref="D2:D710" xr:uid="{00000000-0002-0000-0600-000001000000}">
      <formula1>uniqueSubsection</formula1>
    </dataValidation>
  </dataValidations>
  <pageMargins left="0.7" right="0.7" top="0.75" bottom="0.75" header="0.3" footer="0.3"/>
  <pageSetup paperSize="9" orientation="portrait"/>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dimension ref="A1:BB411"/>
  <sheetViews>
    <sheetView topLeftCell="I1" zoomScale="85" zoomScaleNormal="85" zoomScalePageLayoutView="85" workbookViewId="0">
      <pane ySplit="1" topLeftCell="A2" activePane="bottomLeft" state="frozen"/>
      <selection pane="bottomLeft" activeCell="N9" sqref="N9"/>
    </sheetView>
  </sheetViews>
  <sheetFormatPr baseColWidth="10" defaultColWidth="11.44140625" defaultRowHeight="14.4" outlineLevelCol="1" x14ac:dyDescent="0.3"/>
  <cols>
    <col min="1" max="1" width="11.44140625" customWidth="1"/>
    <col min="2" max="2" width="32.44140625" bestFit="1" customWidth="1"/>
    <col min="3" max="3" width="13.6640625" customWidth="1"/>
    <col min="4" max="4" width="31.21875" bestFit="1" customWidth="1"/>
    <col min="5" max="5" width="13.6640625" customWidth="1"/>
    <col min="6" max="6" width="31.21875" bestFit="1" customWidth="1"/>
    <col min="7" max="7" width="10.44140625" customWidth="1" outlineLevel="1"/>
    <col min="8" max="8" width="19.44140625" customWidth="1" outlineLevel="1"/>
    <col min="9" max="9" width="7.44140625" customWidth="1" outlineLevel="1"/>
    <col min="10" max="10" width="13.33203125" customWidth="1" outlineLevel="1"/>
    <col min="11" max="11" width="29.33203125" customWidth="1"/>
    <col min="12" max="12" width="22.33203125" customWidth="1"/>
    <col min="13" max="13" width="39.44140625" customWidth="1"/>
    <col min="14" max="14" width="20.33203125" customWidth="1"/>
    <col min="15" max="15" width="17.44140625" customWidth="1"/>
    <col min="16" max="16" width="15" bestFit="1" customWidth="1"/>
    <col min="17" max="17" width="21" customWidth="1"/>
    <col min="18" max="18" width="14.44140625" customWidth="1"/>
    <col min="19" max="19" width="16.6640625" customWidth="1"/>
    <col min="20" max="20" width="14.44140625" customWidth="1"/>
    <col min="21" max="21" width="16.6640625" customWidth="1"/>
    <col min="22" max="22" width="14.44140625" customWidth="1"/>
    <col min="23" max="23" width="16.6640625" customWidth="1"/>
    <col min="25" max="25" width="20.33203125" customWidth="1"/>
    <col min="30" max="30" width="13.44140625" customWidth="1"/>
    <col min="32" max="32" width="11.77734375" bestFit="1" customWidth="1"/>
    <col min="54" max="54" width="14.44140625" bestFit="1" customWidth="1"/>
  </cols>
  <sheetData>
    <row r="1" spans="1:54" x14ac:dyDescent="0.3">
      <c r="A1" t="s">
        <v>1463</v>
      </c>
      <c r="B1" t="s">
        <v>1429</v>
      </c>
      <c r="C1" t="s">
        <v>1465</v>
      </c>
      <c r="D1" t="s">
        <v>708</v>
      </c>
      <c r="E1" t="s">
        <v>1466</v>
      </c>
      <c r="F1" t="s">
        <v>1426</v>
      </c>
      <c r="G1" t="s">
        <v>1467</v>
      </c>
      <c r="H1" t="s">
        <v>1437</v>
      </c>
      <c r="I1" t="s">
        <v>1468</v>
      </c>
      <c r="J1" t="s">
        <v>1439</v>
      </c>
      <c r="K1" t="s">
        <v>19</v>
      </c>
      <c r="L1" t="s">
        <v>1420</v>
      </c>
      <c r="M1" t="s">
        <v>37</v>
      </c>
      <c r="N1" t="s">
        <v>1419</v>
      </c>
      <c r="O1" t="s">
        <v>1459</v>
      </c>
      <c r="P1" t="s">
        <v>39</v>
      </c>
      <c r="Q1" t="s">
        <v>40</v>
      </c>
      <c r="R1" t="s">
        <v>41</v>
      </c>
      <c r="S1" t="s">
        <v>42</v>
      </c>
      <c r="T1" t="s">
        <v>43</v>
      </c>
      <c r="U1" t="s">
        <v>44</v>
      </c>
      <c r="V1" t="s">
        <v>45</v>
      </c>
      <c r="W1" t="s">
        <v>46</v>
      </c>
      <c r="X1" t="s">
        <v>2119</v>
      </c>
      <c r="Y1" t="s">
        <v>2118</v>
      </c>
    </row>
    <row r="2" spans="1:54" x14ac:dyDescent="0.3">
      <c r="A2">
        <f ca="1">INDEX(Unidades[#Data],MATCH(Problemas[[#This Row],[Sección]],Unidades[selectorSeccion],0),2)</f>
        <v>1</v>
      </c>
      <c r="B2" t="s">
        <v>2331</v>
      </c>
      <c r="C2">
        <f ca="1">INDEX(Unidades[],MATCH(Problemas[[#This Row],[SubSección]],Unidades[selectorSubSeccion],0),4)</f>
        <v>1</v>
      </c>
      <c r="D2" t="s">
        <v>2332</v>
      </c>
      <c r="E2">
        <f ca="1">INDEX(Leccion[],MATCH(Problemas[[#This Row],[Lección]],Leccion[selectorLeccion],0),5)</f>
        <v>1</v>
      </c>
      <c r="F2" t="s">
        <v>2368</v>
      </c>
      <c r="G2">
        <v>3</v>
      </c>
      <c r="H2" t="s">
        <v>1440</v>
      </c>
      <c r="K2" t="s">
        <v>2369</v>
      </c>
      <c r="L2" t="s">
        <v>2199</v>
      </c>
      <c r="M2" t="s">
        <v>2201</v>
      </c>
      <c r="N2" t="s">
        <v>2370</v>
      </c>
      <c r="AA2" s="8"/>
      <c r="AB2" s="8"/>
      <c r="AC2" s="8"/>
      <c r="AD2" s="8"/>
      <c r="AE2" s="8"/>
      <c r="AH2" s="8"/>
      <c r="AI2" s="8"/>
      <c r="AJ2" s="8"/>
      <c r="AK2" s="8"/>
      <c r="AL2" s="8"/>
      <c r="AM2" s="8"/>
      <c r="AN2" s="8"/>
      <c r="AO2" s="8"/>
      <c r="AP2" s="8"/>
      <c r="AQ2" s="8"/>
      <c r="AR2" s="8"/>
      <c r="AS2" s="8"/>
      <c r="AT2" s="8"/>
      <c r="AU2" s="8"/>
      <c r="AV2" s="8"/>
      <c r="AW2" s="8"/>
      <c r="AX2" s="8"/>
      <c r="AY2" s="8"/>
      <c r="AZ2" s="8"/>
      <c r="BA2" s="8"/>
      <c r="BB2" s="8"/>
    </row>
    <row r="3" spans="1:54" x14ac:dyDescent="0.3">
      <c r="A3">
        <f ca="1">INDEX(Unidades[#Data],MATCH(Problemas[[#This Row],[Sección]],Unidades[selectorSeccion],0),2)</f>
        <v>2</v>
      </c>
      <c r="B3" t="s">
        <v>2355</v>
      </c>
      <c r="C3">
        <f ca="1">INDEX(Unidades[],MATCH(Problemas[[#This Row],[SubSección]],Unidades[selectorSubSeccion],0),4)</f>
        <v>3</v>
      </c>
      <c r="D3" t="s">
        <v>2361</v>
      </c>
      <c r="E3">
        <f ca="1">INDEX(Leccion[],MATCH(Problemas[[#This Row],[Lección]],Leccion[selectorLeccion],0),5)</f>
        <v>1</v>
      </c>
      <c r="F3" t="s">
        <v>2382</v>
      </c>
      <c r="L3" t="s">
        <v>2200</v>
      </c>
      <c r="M3" t="s">
        <v>2202</v>
      </c>
      <c r="AA3" s="8"/>
      <c r="AB3" s="8"/>
      <c r="AC3" s="8"/>
      <c r="AD3" s="8"/>
      <c r="AE3" s="8"/>
      <c r="AH3" s="8"/>
      <c r="AI3" s="8"/>
      <c r="AJ3" s="8"/>
      <c r="AK3" s="8"/>
      <c r="AL3" s="8"/>
      <c r="AM3" s="8"/>
      <c r="AN3" s="8"/>
      <c r="AO3" s="8"/>
      <c r="AP3" s="8"/>
      <c r="AQ3" s="8"/>
      <c r="AR3" s="8"/>
      <c r="AS3" s="8"/>
      <c r="AT3" s="8"/>
      <c r="AU3" s="8"/>
      <c r="AV3" s="8"/>
      <c r="AW3" s="8"/>
      <c r="AX3" s="8"/>
      <c r="AY3" s="8"/>
      <c r="AZ3" s="8"/>
      <c r="BA3" s="8"/>
      <c r="BB3" s="8"/>
    </row>
    <row r="4" spans="1:54" x14ac:dyDescent="0.3">
      <c r="A4">
        <f ca="1">INDEX(Unidades[#Data],MATCH(Problemas[[#This Row],[Sección]],Unidades[selectorSeccion],0),2)</f>
        <v>2</v>
      </c>
      <c r="B4" t="s">
        <v>2355</v>
      </c>
      <c r="C4">
        <f ca="1">INDEX(Unidades[],MATCH(Problemas[[#This Row],[SubSección]],Unidades[selectorSubSeccion],0),4)</f>
        <v>5</v>
      </c>
      <c r="D4" t="s">
        <v>2363</v>
      </c>
      <c r="E4">
        <f ca="1">INDEX(Leccion[],MATCH(Problemas[[#This Row],[Lección]],Leccion[selectorLeccion],0),5)</f>
        <v>1</v>
      </c>
      <c r="F4" t="s">
        <v>2383</v>
      </c>
      <c r="L4" t="s">
        <v>1432</v>
      </c>
      <c r="M4" t="s">
        <v>2207</v>
      </c>
      <c r="O4" t="s">
        <v>2206</v>
      </c>
      <c r="P4" t="s">
        <v>2208</v>
      </c>
      <c r="R4" t="s">
        <v>2209</v>
      </c>
      <c r="T4" t="s">
        <v>2208</v>
      </c>
      <c r="V4" t="s">
        <v>2209</v>
      </c>
      <c r="X4" t="s">
        <v>2209</v>
      </c>
      <c r="AA4" s="8"/>
      <c r="AB4" s="8"/>
      <c r="AC4" s="8"/>
      <c r="AD4" s="8"/>
      <c r="AE4" s="8"/>
      <c r="AH4" s="8"/>
      <c r="AI4" s="8"/>
      <c r="AJ4" s="8"/>
      <c r="AK4" s="8"/>
      <c r="AL4" s="8"/>
      <c r="AM4" s="8"/>
      <c r="AN4" s="8"/>
      <c r="AO4" s="8"/>
      <c r="AP4" s="8"/>
      <c r="AQ4" s="8"/>
      <c r="AR4" s="8"/>
      <c r="AS4" s="8"/>
      <c r="AT4" s="8"/>
      <c r="AU4" s="8"/>
      <c r="AV4" s="8"/>
      <c r="AW4" s="8"/>
      <c r="AX4" s="8"/>
      <c r="AY4" s="8"/>
      <c r="AZ4" s="8"/>
      <c r="BA4" s="8"/>
      <c r="BB4" s="8"/>
    </row>
    <row r="5" spans="1:54" ht="43.2" x14ac:dyDescent="0.3">
      <c r="A5" s="76">
        <f ca="1">INDEX(Unidades[#Data],MATCH(Problemas[[#This Row],[Sección]],Unidades[selectorSeccion],0),2)</f>
        <v>2</v>
      </c>
      <c r="B5" t="s">
        <v>2355</v>
      </c>
      <c r="C5">
        <f ca="1">INDEX(Unidades[],MATCH(Problemas[[#This Row],[SubSección]],Unidades[selectorSubSeccion],0),4)</f>
        <v>5</v>
      </c>
      <c r="D5" t="s">
        <v>2363</v>
      </c>
      <c r="E5">
        <f ca="1">INDEX(Leccion[],MATCH(Problemas[[#This Row],[Lección]],Leccion[selectorLeccion],0),5)</f>
        <v>1</v>
      </c>
      <c r="F5" t="s">
        <v>2383</v>
      </c>
      <c r="H5" t="s">
        <v>1442</v>
      </c>
      <c r="L5" t="s">
        <v>1421</v>
      </c>
      <c r="M5" s="18" t="s">
        <v>2386</v>
      </c>
      <c r="O5">
        <v>2</v>
      </c>
      <c r="P5" t="s">
        <v>2211</v>
      </c>
      <c r="Q5" s="55" t="s">
        <v>2371</v>
      </c>
      <c r="R5" t="s">
        <v>2372</v>
      </c>
      <c r="S5" t="s">
        <v>2373</v>
      </c>
      <c r="T5" t="s">
        <v>2212</v>
      </c>
      <c r="U5" t="s">
        <v>2374</v>
      </c>
    </row>
    <row r="6" spans="1:54" ht="57.6" x14ac:dyDescent="0.3">
      <c r="A6">
        <f ca="1">INDEX(Unidades[#Data],MATCH(Problemas[[#This Row],[Sección]],Unidades[selectorSeccion],0),2)</f>
        <v>3</v>
      </c>
      <c r="B6" t="s">
        <v>2357</v>
      </c>
      <c r="C6">
        <f ca="1">INDEX(Unidades[],MATCH(Problemas[[#This Row],[SubSección]],Unidades[selectorSubSeccion],0),4)</f>
        <v>3</v>
      </c>
      <c r="D6" t="s">
        <v>2366</v>
      </c>
      <c r="E6">
        <f ca="1">INDEX(Leccion[],MATCH(Problemas[[#This Row],[Lección]],Leccion[selectorLeccion],0),5)</f>
        <v>1</v>
      </c>
      <c r="F6" t="s">
        <v>2384</v>
      </c>
      <c r="G6">
        <v>3</v>
      </c>
      <c r="H6" t="s">
        <v>1445</v>
      </c>
      <c r="L6" t="s">
        <v>1430</v>
      </c>
      <c r="M6" s="18" t="s">
        <v>2213</v>
      </c>
      <c r="O6">
        <v>0.2</v>
      </c>
      <c r="P6">
        <v>10</v>
      </c>
      <c r="AA6" s="8"/>
      <c r="AB6" s="8"/>
      <c r="AC6" s="8"/>
      <c r="AD6" s="8"/>
      <c r="AE6" s="8"/>
      <c r="AH6" s="8"/>
      <c r="AI6" s="8"/>
      <c r="AJ6" s="8"/>
      <c r="AK6" s="8"/>
      <c r="AL6" s="8"/>
      <c r="AM6" s="8"/>
      <c r="AN6" s="8"/>
      <c r="AO6" s="8"/>
      <c r="AP6" s="8"/>
      <c r="AQ6" s="8"/>
      <c r="AR6" s="8"/>
      <c r="AS6" s="8"/>
      <c r="AT6" s="8"/>
      <c r="AU6" s="8"/>
      <c r="AV6" s="8"/>
      <c r="AW6" s="8"/>
      <c r="AX6" s="8"/>
      <c r="AY6" s="8"/>
      <c r="AZ6" s="8"/>
      <c r="BA6" s="8"/>
      <c r="BB6" s="8"/>
    </row>
    <row r="7" spans="1:54" ht="28.8" x14ac:dyDescent="0.3">
      <c r="A7" s="76">
        <f ca="1">INDEX(Unidades[#Data],MATCH(Problemas[[#This Row],[Sección]],Unidades[selectorSeccion],0),2)</f>
        <v>3</v>
      </c>
      <c r="B7" t="s">
        <v>2357</v>
      </c>
      <c r="C7">
        <f ca="1">INDEX(Unidades[],MATCH(Problemas[[#This Row],[SubSección]],Unidades[selectorSubSeccion],0),4)</f>
        <v>4</v>
      </c>
      <c r="D7" t="s">
        <v>2367</v>
      </c>
      <c r="E7">
        <f ca="1">INDEX(Leccion[],MATCH(Problemas[[#This Row],[Lección]],Leccion[selectorLeccion],0),5)</f>
        <v>1</v>
      </c>
      <c r="F7" t="s">
        <v>2385</v>
      </c>
      <c r="L7" t="s">
        <v>1421</v>
      </c>
      <c r="M7" s="18" t="s">
        <v>2210</v>
      </c>
      <c r="O7">
        <v>2</v>
      </c>
      <c r="P7" t="s">
        <v>2211</v>
      </c>
      <c r="Q7" s="55" t="s">
        <v>2371</v>
      </c>
      <c r="R7" t="s">
        <v>2372</v>
      </c>
      <c r="S7" t="s">
        <v>2373</v>
      </c>
    </row>
    <row r="8" spans="1:54" x14ac:dyDescent="0.3">
      <c r="A8" s="76">
        <f ca="1">INDEX(Unidades[#Data],MATCH(Problemas[[#This Row],[Sección]],Unidades[selectorSeccion],0),2)</f>
        <v>3</v>
      </c>
      <c r="B8" t="s">
        <v>2357</v>
      </c>
      <c r="C8">
        <f ca="1">INDEX(Unidades[],MATCH(Problemas[[#This Row],[SubSección]],Unidades[selectorSubSeccion],0),4)</f>
        <v>4</v>
      </c>
      <c r="D8" t="s">
        <v>2367</v>
      </c>
      <c r="E8">
        <f ca="1">INDEX(Leccion[],MATCH(Problemas[[#This Row],[Lección]],Leccion[selectorLeccion],0),5)</f>
        <v>1</v>
      </c>
      <c r="F8" t="s">
        <v>2385</v>
      </c>
      <c r="L8" t="s">
        <v>1431</v>
      </c>
      <c r="M8" t="s">
        <v>2375</v>
      </c>
      <c r="O8" t="s">
        <v>2376</v>
      </c>
      <c r="P8" t="s">
        <v>2214</v>
      </c>
      <c r="R8" t="s">
        <v>2244</v>
      </c>
      <c r="T8" t="s">
        <v>2377</v>
      </c>
    </row>
    <row r="9" spans="1:54" ht="115.2" x14ac:dyDescent="0.3">
      <c r="A9">
        <f ca="1">INDEX(Unidades[#Data],MATCH(Problemas[[#This Row],[Sección]],Unidades[selectorSeccion],0),2)</f>
        <v>4</v>
      </c>
      <c r="B9" t="s">
        <v>2358</v>
      </c>
      <c r="C9">
        <f ca="1">INDEX(Unidades[],MATCH(Problemas[[#This Row],[SubSección]],Unidades[selectorSubSeccion],0),4)</f>
        <v>1</v>
      </c>
      <c r="D9" t="s">
        <v>2359</v>
      </c>
      <c r="E9">
        <f ca="1">INDEX(Leccion[],MATCH(Problemas[[#This Row],[Lección]],Leccion[selectorLeccion],0),5)</f>
        <v>1</v>
      </c>
      <c r="F9" t="s">
        <v>2381</v>
      </c>
      <c r="L9" t="s">
        <v>1421</v>
      </c>
      <c r="M9" s="18" t="s">
        <v>2380</v>
      </c>
      <c r="O9">
        <v>2</v>
      </c>
      <c r="P9" s="1" t="s">
        <v>2378</v>
      </c>
      <c r="R9">
        <v>2</v>
      </c>
      <c r="T9">
        <v>5</v>
      </c>
      <c r="V9" s="1" t="s">
        <v>2379</v>
      </c>
    </row>
    <row r="10" spans="1:54" ht="86.4" x14ac:dyDescent="0.3">
      <c r="A10">
        <f ca="1">INDEX(Unidades[#Data],MATCH(Problemas[[#This Row],[Sección]],Unidades[selectorSeccion],0),2)</f>
        <v>4</v>
      </c>
      <c r="B10" t="s">
        <v>2358</v>
      </c>
      <c r="C10">
        <f ca="1">INDEX(Unidades[],MATCH(Problemas[[#This Row],[SubSección]],Unidades[selectorSubSeccion],0),4)</f>
        <v>1</v>
      </c>
      <c r="D10" t="s">
        <v>2359</v>
      </c>
      <c r="E10">
        <f ca="1">INDEX(Leccion[],MATCH(Problemas[[#This Row],[Lección]],Leccion[selectorLeccion],0),5)</f>
        <v>1</v>
      </c>
      <c r="F10" t="s">
        <v>2381</v>
      </c>
      <c r="L10" t="s">
        <v>1450</v>
      </c>
      <c r="M10" s="18" t="s">
        <v>2217</v>
      </c>
      <c r="AA10" s="8"/>
      <c r="AB10" s="8"/>
      <c r="AC10" s="8"/>
      <c r="AD10" s="8"/>
      <c r="AE10" s="8"/>
      <c r="AH10" s="8"/>
      <c r="AI10" s="8"/>
      <c r="AJ10" s="8"/>
      <c r="AK10" s="8"/>
      <c r="AL10" s="8"/>
      <c r="AM10" s="8"/>
      <c r="AN10" s="8"/>
      <c r="AO10" s="8"/>
      <c r="AP10" s="8"/>
      <c r="AQ10" s="8"/>
      <c r="AR10" s="8"/>
      <c r="AS10" s="8"/>
      <c r="AT10" s="8"/>
      <c r="AU10" s="8"/>
      <c r="AV10" s="8"/>
      <c r="AW10" s="8"/>
      <c r="AX10" s="8"/>
      <c r="AY10" s="8"/>
      <c r="AZ10" s="8"/>
      <c r="BA10" s="8"/>
      <c r="BB10" s="8"/>
    </row>
    <row r="11" spans="1:54" x14ac:dyDescent="0.3">
      <c r="A11" s="76"/>
      <c r="AA11" s="8"/>
      <c r="AB11" s="8"/>
      <c r="AC11" s="8"/>
      <c r="AD11" s="8"/>
      <c r="AE11" s="8"/>
      <c r="AH11" s="8"/>
      <c r="AI11" s="8"/>
      <c r="AJ11" s="8"/>
      <c r="AK11" s="8"/>
      <c r="AL11" s="8"/>
      <c r="AM11" s="8"/>
      <c r="AN11" s="8"/>
      <c r="AO11" s="8"/>
      <c r="AP11" s="8"/>
      <c r="AQ11" s="8"/>
      <c r="AR11" s="8"/>
      <c r="AS11" s="8"/>
      <c r="AT11" s="8"/>
      <c r="AU11" s="8"/>
      <c r="AV11" s="8"/>
      <c r="AW11" s="8"/>
      <c r="AX11" s="8"/>
      <c r="AY11" s="8"/>
      <c r="AZ11" s="8"/>
      <c r="BA11" s="8"/>
      <c r="BB11" s="8"/>
    </row>
    <row r="13" spans="1:54" x14ac:dyDescent="0.3">
      <c r="A13" s="76"/>
      <c r="AA13" s="8"/>
      <c r="AB13" s="8"/>
      <c r="AC13" s="8"/>
      <c r="AD13" s="8"/>
      <c r="AE13" s="8"/>
      <c r="AH13" s="8"/>
      <c r="AI13" s="8"/>
      <c r="AJ13" s="8"/>
      <c r="AK13" s="8"/>
      <c r="AL13" s="8"/>
      <c r="AM13" s="8"/>
      <c r="AN13" s="8"/>
      <c r="AO13" s="8"/>
      <c r="AP13" s="8"/>
      <c r="AQ13" s="8"/>
      <c r="AR13" s="8"/>
      <c r="AS13" s="8"/>
      <c r="AT13" s="8"/>
      <c r="AU13" s="8"/>
      <c r="AV13" s="8"/>
      <c r="AW13" s="8"/>
      <c r="AX13" s="8"/>
      <c r="AY13" s="8"/>
      <c r="AZ13" s="8"/>
      <c r="BA13" s="8"/>
      <c r="BB13" s="8"/>
    </row>
    <row r="15" spans="1:54" x14ac:dyDescent="0.3">
      <c r="A15" s="76"/>
      <c r="AA15" s="8"/>
      <c r="AB15" s="8"/>
      <c r="AC15" s="8"/>
      <c r="AD15" s="8"/>
      <c r="AE15" s="8"/>
      <c r="AH15" s="8"/>
      <c r="AI15" s="8"/>
      <c r="AJ15" s="8"/>
      <c r="AK15" s="8"/>
      <c r="AL15" s="8"/>
      <c r="AM15" s="8"/>
      <c r="AN15" s="8"/>
      <c r="AO15" s="8"/>
      <c r="AP15" s="8"/>
      <c r="AQ15" s="8"/>
      <c r="AR15" s="8"/>
      <c r="AS15" s="8"/>
      <c r="AT15" s="8"/>
      <c r="AU15" s="8"/>
      <c r="AV15" s="8"/>
      <c r="AW15" s="8"/>
      <c r="AX15" s="8"/>
      <c r="AY15" s="8"/>
      <c r="AZ15" s="8"/>
      <c r="BA15" s="8"/>
      <c r="BB15" s="8"/>
    </row>
    <row r="17" spans="1:54" x14ac:dyDescent="0.3">
      <c r="A17" s="76"/>
      <c r="AA17" s="8"/>
      <c r="AB17" s="8"/>
      <c r="AC17" s="8"/>
      <c r="AD17" s="8"/>
      <c r="AE17" s="8"/>
      <c r="AH17" s="8"/>
      <c r="AI17" s="8"/>
      <c r="AJ17" s="8"/>
      <c r="AK17" s="8"/>
      <c r="AL17" s="8"/>
      <c r="AM17" s="8"/>
      <c r="AN17" s="8"/>
      <c r="AO17" s="8"/>
      <c r="AP17" s="8"/>
      <c r="AQ17" s="8"/>
      <c r="AR17" s="8"/>
      <c r="AS17" s="8"/>
      <c r="AT17" s="8"/>
      <c r="AU17" s="8"/>
      <c r="AV17" s="8"/>
      <c r="AW17" s="8"/>
      <c r="AX17" s="8"/>
      <c r="AY17" s="8"/>
      <c r="AZ17" s="8"/>
      <c r="BA17" s="8"/>
      <c r="BB17" s="8"/>
    </row>
    <row r="19" spans="1:54" x14ac:dyDescent="0.3">
      <c r="A19" s="76"/>
      <c r="AA19" s="8"/>
      <c r="AB19" s="8"/>
      <c r="AC19" s="8"/>
      <c r="AD19" s="8"/>
      <c r="AE19" s="8"/>
      <c r="AH19" s="8"/>
      <c r="AI19" s="8"/>
      <c r="AJ19" s="8"/>
      <c r="AK19" s="8"/>
      <c r="AL19" s="8"/>
      <c r="AM19" s="8"/>
      <c r="AN19" s="8"/>
      <c r="AO19" s="8"/>
      <c r="AP19" s="8"/>
      <c r="AQ19" s="8"/>
      <c r="AR19" s="8"/>
      <c r="AS19" s="8"/>
      <c r="AT19" s="8"/>
      <c r="AU19" s="8"/>
      <c r="AV19" s="8"/>
      <c r="AW19" s="8"/>
      <c r="AX19" s="8"/>
      <c r="AY19" s="8"/>
      <c r="AZ19" s="8"/>
      <c r="BA19" s="8"/>
      <c r="BB19" s="8"/>
    </row>
    <row r="21" spans="1:54" x14ac:dyDescent="0.3">
      <c r="A21" s="76"/>
      <c r="AA21" s="8"/>
      <c r="AB21" s="8"/>
      <c r="AC21" s="8"/>
      <c r="AD21" s="8"/>
      <c r="AE21" s="8"/>
      <c r="AH21" s="8"/>
      <c r="AI21" s="8"/>
      <c r="AJ21" s="8"/>
      <c r="AK21" s="8"/>
      <c r="AL21" s="8"/>
      <c r="AM21" s="8"/>
      <c r="AN21" s="8"/>
      <c r="AO21" s="8"/>
      <c r="AP21" s="8"/>
      <c r="AQ21" s="8"/>
      <c r="AR21" s="8"/>
      <c r="AS21" s="8"/>
      <c r="AT21" s="8"/>
      <c r="AU21" s="8"/>
      <c r="AV21" s="8"/>
      <c r="AW21" s="8"/>
      <c r="AX21" s="8"/>
      <c r="AY21" s="8"/>
      <c r="AZ21" s="8"/>
      <c r="BA21" s="8"/>
      <c r="BB21" s="8"/>
    </row>
    <row r="23" spans="1:54" x14ac:dyDescent="0.3">
      <c r="A23" s="76"/>
      <c r="AA23" s="8"/>
      <c r="AB23" s="8"/>
      <c r="AC23" s="8"/>
      <c r="AD23" s="8"/>
      <c r="AE23" s="8"/>
      <c r="AH23" s="8"/>
      <c r="AI23" s="8"/>
      <c r="AJ23" s="8"/>
      <c r="AK23" s="8"/>
      <c r="AL23" s="8"/>
      <c r="AM23" s="8"/>
      <c r="AN23" s="8"/>
      <c r="AO23" s="8"/>
      <c r="AP23" s="8"/>
      <c r="AQ23" s="8"/>
      <c r="AR23" s="8"/>
      <c r="AS23" s="8"/>
      <c r="AT23" s="8"/>
      <c r="AU23" s="8"/>
      <c r="AV23" s="8"/>
      <c r="AW23" s="8"/>
      <c r="AX23" s="8"/>
      <c r="AY23" s="8"/>
      <c r="AZ23" s="8"/>
      <c r="BA23" s="8"/>
      <c r="BB23" s="8"/>
    </row>
    <row r="25" spans="1:54" x14ac:dyDescent="0.3">
      <c r="A25" s="76"/>
      <c r="AA25" s="8"/>
      <c r="AB25" s="8"/>
      <c r="AC25" s="8"/>
      <c r="AD25" s="8"/>
      <c r="AE25" s="8"/>
      <c r="AH25" s="8"/>
      <c r="AI25" s="8"/>
      <c r="AJ25" s="8"/>
      <c r="AK25" s="8"/>
      <c r="AL25" s="8"/>
      <c r="AM25" s="8"/>
      <c r="AN25" s="8"/>
      <c r="AO25" s="8"/>
      <c r="AP25" s="8"/>
      <c r="AQ25" s="8"/>
      <c r="AR25" s="8"/>
      <c r="AS25" s="8"/>
      <c r="AT25" s="8"/>
      <c r="AU25" s="8"/>
      <c r="AV25" s="8"/>
      <c r="AW25" s="8"/>
      <c r="AX25" s="8"/>
      <c r="AY25" s="8"/>
      <c r="AZ25" s="8"/>
      <c r="BA25" s="8"/>
      <c r="BB25" s="8"/>
    </row>
    <row r="27" spans="1:54" x14ac:dyDescent="0.3">
      <c r="A27" s="76"/>
      <c r="AA27" s="8"/>
      <c r="AB27" s="8"/>
      <c r="AC27" s="8"/>
      <c r="AD27" s="8"/>
      <c r="AE27" s="8"/>
      <c r="AH27" s="8"/>
      <c r="AI27" s="8"/>
      <c r="AJ27" s="8"/>
      <c r="AK27" s="8"/>
      <c r="AL27" s="8"/>
      <c r="AM27" s="8"/>
      <c r="AN27" s="8"/>
      <c r="AO27" s="8"/>
      <c r="AP27" s="8"/>
      <c r="AQ27" s="8"/>
      <c r="AR27" s="8"/>
      <c r="AS27" s="8"/>
      <c r="AT27" s="8"/>
      <c r="AU27" s="8"/>
      <c r="AV27" s="8"/>
      <c r="AW27" s="8"/>
      <c r="AX27" s="8"/>
      <c r="AY27" s="8"/>
      <c r="AZ27" s="8"/>
      <c r="BA27" s="8"/>
      <c r="BB27" s="8"/>
    </row>
    <row r="29" spans="1:54" x14ac:dyDescent="0.3">
      <c r="A29" s="76"/>
      <c r="AA29" s="8"/>
      <c r="AB29" s="8"/>
      <c r="AC29" s="8"/>
      <c r="AD29" s="8"/>
      <c r="AE29" s="8"/>
      <c r="AH29" s="8"/>
      <c r="AI29" s="8"/>
      <c r="AJ29" s="8"/>
      <c r="AK29" s="8"/>
      <c r="AL29" s="8"/>
      <c r="AM29" s="8"/>
      <c r="AN29" s="8"/>
      <c r="AO29" s="8"/>
      <c r="AP29" s="8"/>
      <c r="AQ29" s="8"/>
      <c r="AR29" s="8"/>
      <c r="AS29" s="8"/>
      <c r="AT29" s="8"/>
      <c r="AU29" s="8"/>
      <c r="AV29" s="8"/>
      <c r="AW29" s="8"/>
      <c r="AX29" s="8"/>
      <c r="AY29" s="8"/>
      <c r="AZ29" s="8"/>
      <c r="BA29" s="8"/>
      <c r="BB29" s="8"/>
    </row>
    <row r="31" spans="1:54" x14ac:dyDescent="0.3">
      <c r="A31" s="76"/>
      <c r="AA31" s="8"/>
      <c r="AB31" s="8"/>
      <c r="AC31" s="8"/>
      <c r="AD31" s="8"/>
      <c r="AE31" s="8"/>
      <c r="AH31" s="8"/>
      <c r="AI31" s="8"/>
      <c r="AJ31" s="8"/>
      <c r="AK31" s="8"/>
      <c r="AL31" s="8"/>
      <c r="AM31" s="8"/>
      <c r="AN31" s="8"/>
      <c r="AO31" s="8"/>
      <c r="AP31" s="8"/>
      <c r="AQ31" s="8"/>
      <c r="AR31" s="8"/>
      <c r="AS31" s="8"/>
      <c r="AT31" s="8"/>
      <c r="AU31" s="8"/>
      <c r="AV31" s="8"/>
      <c r="AW31" s="8"/>
      <c r="AX31" s="8"/>
      <c r="AY31" s="8"/>
      <c r="AZ31" s="8"/>
      <c r="BA31" s="8"/>
      <c r="BB31" s="8"/>
    </row>
    <row r="33" spans="1:54" x14ac:dyDescent="0.3">
      <c r="A33" s="76"/>
      <c r="AA33" s="8"/>
      <c r="AB33" s="8"/>
      <c r="AC33" s="8"/>
      <c r="AD33" s="8"/>
      <c r="AE33" s="8"/>
      <c r="AH33" s="8"/>
      <c r="AI33" s="8"/>
      <c r="AJ33" s="8"/>
      <c r="AK33" s="8"/>
      <c r="AL33" s="8"/>
      <c r="AM33" s="8"/>
      <c r="AN33" s="8"/>
      <c r="AO33" s="8"/>
      <c r="AP33" s="8"/>
      <c r="AQ33" s="8"/>
      <c r="AR33" s="8"/>
      <c r="AS33" s="8"/>
      <c r="AT33" s="8"/>
      <c r="AU33" s="8"/>
      <c r="AV33" s="8"/>
      <c r="AW33" s="8"/>
      <c r="AX33" s="8"/>
      <c r="AY33" s="8"/>
      <c r="AZ33" s="8"/>
      <c r="BA33" s="8"/>
      <c r="BB33" s="8"/>
    </row>
    <row r="35" spans="1:54" x14ac:dyDescent="0.3">
      <c r="A35" s="76"/>
      <c r="AA35" s="8"/>
      <c r="AB35" s="8"/>
      <c r="AC35" s="8"/>
      <c r="AD35" s="8"/>
      <c r="AE35" s="8"/>
      <c r="AH35" s="8"/>
      <c r="AI35" s="8"/>
      <c r="AJ35" s="8"/>
      <c r="AK35" s="8"/>
      <c r="AL35" s="8"/>
      <c r="AM35" s="8"/>
      <c r="AN35" s="8"/>
      <c r="AO35" s="8"/>
      <c r="AP35" s="8"/>
      <c r="AQ35" s="8"/>
      <c r="AR35" s="8"/>
      <c r="AS35" s="8"/>
      <c r="AT35" s="8"/>
      <c r="AU35" s="8"/>
      <c r="AV35" s="8"/>
      <c r="AW35" s="8"/>
      <c r="AX35" s="8"/>
      <c r="AY35" s="8"/>
      <c r="AZ35" s="8"/>
      <c r="BA35" s="8"/>
      <c r="BB35" s="8"/>
    </row>
    <row r="37" spans="1:54" x14ac:dyDescent="0.3">
      <c r="A37" s="76"/>
      <c r="AA37" s="8"/>
      <c r="AB37" s="8"/>
      <c r="AC37" s="8"/>
      <c r="AD37" s="8"/>
      <c r="AE37" s="8"/>
      <c r="AH37" s="8"/>
      <c r="AI37" s="8"/>
      <c r="AJ37" s="8"/>
      <c r="AK37" s="8"/>
      <c r="AL37" s="8"/>
      <c r="AM37" s="8"/>
      <c r="AN37" s="8"/>
      <c r="AO37" s="8"/>
      <c r="AP37" s="8"/>
      <c r="AQ37" s="8"/>
      <c r="AR37" s="8"/>
      <c r="AS37" s="8"/>
      <c r="AT37" s="8"/>
      <c r="AU37" s="8"/>
      <c r="AV37" s="8"/>
      <c r="AW37" s="8"/>
      <c r="AX37" s="8"/>
      <c r="AY37" s="8"/>
      <c r="AZ37" s="8"/>
      <c r="BA37" s="8"/>
      <c r="BB37" s="8"/>
    </row>
    <row r="39" spans="1:54" x14ac:dyDescent="0.3">
      <c r="A39" s="76"/>
      <c r="AA39" s="8"/>
      <c r="AB39" s="8"/>
      <c r="AC39" s="8"/>
      <c r="AD39" s="8"/>
      <c r="AE39" s="8"/>
      <c r="AH39" s="8"/>
      <c r="AI39" s="8"/>
      <c r="AJ39" s="8"/>
      <c r="AK39" s="8"/>
      <c r="AL39" s="8"/>
      <c r="AM39" s="8"/>
      <c r="AN39" s="8"/>
      <c r="AO39" s="8"/>
      <c r="AP39" s="8"/>
      <c r="AQ39" s="8"/>
      <c r="AR39" s="8"/>
      <c r="AS39" s="8"/>
      <c r="AT39" s="8"/>
      <c r="AU39" s="8"/>
      <c r="AV39" s="8"/>
      <c r="AW39" s="8"/>
      <c r="AX39" s="8"/>
      <c r="AY39" s="8"/>
      <c r="AZ39" s="8"/>
      <c r="BA39" s="8"/>
      <c r="BB39" s="8"/>
    </row>
    <row r="40" spans="1:54" ht="19.5" customHeight="1" x14ac:dyDescent="0.3"/>
    <row r="41" spans="1:54" x14ac:dyDescent="0.3">
      <c r="A41" s="76"/>
      <c r="R41" s="18"/>
      <c r="AA41" s="8"/>
      <c r="AB41" s="8"/>
      <c r="AC41" s="8"/>
      <c r="AD41" s="8"/>
      <c r="AE41" s="8"/>
      <c r="AH41" s="8"/>
      <c r="AI41" s="8"/>
      <c r="AJ41" s="8"/>
      <c r="AK41" s="8"/>
      <c r="AL41" s="8"/>
      <c r="AM41" s="8"/>
      <c r="AN41" s="8"/>
      <c r="AO41" s="8"/>
      <c r="AP41" s="8"/>
      <c r="AQ41" s="8"/>
      <c r="AR41" s="8"/>
      <c r="AS41" s="8"/>
      <c r="AT41" s="8"/>
      <c r="AU41" s="8"/>
      <c r="AV41" s="8"/>
      <c r="AW41" s="8"/>
      <c r="AX41" s="8"/>
      <c r="AY41" s="8"/>
      <c r="AZ41" s="8"/>
      <c r="BA41" s="8"/>
      <c r="BB41" s="8"/>
    </row>
    <row r="43" spans="1:54" x14ac:dyDescent="0.3">
      <c r="A43" s="76"/>
      <c r="AA43" s="8"/>
      <c r="AB43" s="8"/>
      <c r="AC43" s="8"/>
      <c r="AD43" s="8"/>
      <c r="AE43" s="8"/>
      <c r="AH43" s="8"/>
      <c r="AI43" s="8"/>
      <c r="AJ43" s="8"/>
      <c r="AK43" s="8"/>
      <c r="AL43" s="8"/>
      <c r="AM43" s="8"/>
      <c r="AN43" s="8"/>
      <c r="AO43" s="8"/>
      <c r="AP43" s="8"/>
      <c r="AQ43" s="8"/>
      <c r="AR43" s="8"/>
      <c r="AS43" s="8"/>
      <c r="AT43" s="8"/>
      <c r="AU43" s="8"/>
      <c r="AV43" s="8"/>
      <c r="AW43" s="8"/>
      <c r="AX43" s="8"/>
      <c r="AY43" s="8"/>
      <c r="AZ43" s="8"/>
      <c r="BA43" s="8"/>
      <c r="BB43" s="8"/>
    </row>
    <row r="45" spans="1:54" x14ac:dyDescent="0.3">
      <c r="A45" s="76"/>
      <c r="AA45" s="8"/>
      <c r="AB45" s="8"/>
      <c r="AC45" s="8"/>
      <c r="AD45" s="8"/>
      <c r="AE45" s="8"/>
      <c r="AH45" s="8"/>
      <c r="AI45" s="8"/>
      <c r="AJ45" s="8"/>
      <c r="AK45" s="8"/>
      <c r="AL45" s="8"/>
      <c r="AM45" s="8"/>
      <c r="AN45" s="8"/>
      <c r="AO45" s="8"/>
      <c r="AP45" s="8"/>
      <c r="AQ45" s="8"/>
      <c r="AR45" s="8"/>
      <c r="AS45" s="8"/>
      <c r="AT45" s="8"/>
      <c r="AU45" s="8"/>
      <c r="AV45" s="8"/>
      <c r="AW45" s="8"/>
      <c r="AX45" s="8"/>
      <c r="AY45" s="8"/>
      <c r="AZ45" s="8"/>
      <c r="BA45" s="8"/>
      <c r="BB45" s="8"/>
    </row>
    <row r="47" spans="1:54" x14ac:dyDescent="0.3">
      <c r="A47" s="76"/>
      <c r="AA47" s="8"/>
      <c r="AB47" s="8"/>
      <c r="AC47" s="8"/>
      <c r="AD47" s="8"/>
      <c r="AE47" s="8"/>
      <c r="AH47" s="8"/>
      <c r="AI47" s="8"/>
      <c r="AJ47" s="8"/>
      <c r="AK47" s="8"/>
      <c r="AL47" s="8"/>
      <c r="AM47" s="8"/>
      <c r="AN47" s="8"/>
      <c r="AO47" s="8"/>
      <c r="AP47" s="8"/>
      <c r="AQ47" s="8"/>
      <c r="AR47" s="8"/>
      <c r="AS47" s="8"/>
      <c r="AT47" s="8"/>
      <c r="AU47" s="8"/>
      <c r="AV47" s="8"/>
      <c r="AW47" s="8"/>
      <c r="AX47" s="8"/>
      <c r="AY47" s="8"/>
      <c r="AZ47" s="8"/>
      <c r="BA47" s="8"/>
      <c r="BB47" s="8"/>
    </row>
    <row r="49" spans="1:54" x14ac:dyDescent="0.3">
      <c r="A49" s="76"/>
      <c r="AA49" s="8"/>
      <c r="AB49" s="8"/>
      <c r="AC49" s="8"/>
      <c r="AD49" s="8"/>
      <c r="AE49" s="8"/>
      <c r="AH49" s="8"/>
      <c r="AI49" s="8"/>
      <c r="AJ49" s="8"/>
      <c r="AK49" s="8"/>
      <c r="AL49" s="8"/>
      <c r="AM49" s="8"/>
      <c r="AN49" s="8"/>
      <c r="AO49" s="8"/>
      <c r="AP49" s="8"/>
      <c r="AQ49" s="8"/>
      <c r="AR49" s="8"/>
      <c r="AS49" s="8"/>
      <c r="AT49" s="8"/>
      <c r="AU49" s="8"/>
      <c r="AV49" s="8"/>
      <c r="AW49" s="8"/>
      <c r="AX49" s="8"/>
      <c r="AY49" s="8"/>
      <c r="AZ49" s="8"/>
      <c r="BA49" s="8"/>
      <c r="BB49" s="8"/>
    </row>
    <row r="51" spans="1:54" x14ac:dyDescent="0.3">
      <c r="A51" s="76"/>
      <c r="AA51" s="8"/>
      <c r="AB51" s="8"/>
      <c r="AC51" s="8"/>
      <c r="AD51" s="8"/>
      <c r="AE51" s="8"/>
      <c r="AH51" s="8"/>
      <c r="AI51" s="8"/>
      <c r="AJ51" s="8"/>
      <c r="AK51" s="8"/>
      <c r="AL51" s="8"/>
      <c r="AM51" s="8"/>
      <c r="AN51" s="8"/>
      <c r="AO51" s="8"/>
      <c r="AP51" s="8"/>
      <c r="AQ51" s="8"/>
      <c r="AR51" s="8"/>
      <c r="AS51" s="8"/>
      <c r="AT51" s="8"/>
      <c r="AU51" s="8"/>
      <c r="AV51" s="8"/>
      <c r="AW51" s="8"/>
      <c r="AX51" s="8"/>
      <c r="AY51" s="8"/>
      <c r="AZ51" s="8"/>
      <c r="BA51" s="8"/>
      <c r="BB51" s="8"/>
    </row>
    <row r="52" spans="1:54" ht="20.25" customHeight="1" x14ac:dyDescent="0.3"/>
    <row r="53" spans="1:54" x14ac:dyDescent="0.3">
      <c r="A53" s="76"/>
      <c r="P53" s="18"/>
      <c r="AA53" s="8"/>
      <c r="AB53" s="8"/>
      <c r="AC53" s="8"/>
      <c r="AD53" s="8"/>
      <c r="AE53" s="8"/>
      <c r="AH53" s="8"/>
      <c r="AI53" s="8"/>
      <c r="AJ53" s="8"/>
      <c r="AK53" s="8"/>
      <c r="AL53" s="8"/>
      <c r="AM53" s="8"/>
      <c r="AN53" s="8"/>
      <c r="AO53" s="8"/>
      <c r="AP53" s="8"/>
      <c r="AQ53" s="8"/>
      <c r="AR53" s="8"/>
      <c r="AS53" s="8"/>
      <c r="AT53" s="8"/>
      <c r="AU53" s="8"/>
      <c r="AV53" s="8"/>
      <c r="AW53" s="8"/>
      <c r="AX53" s="8"/>
      <c r="AY53" s="8"/>
      <c r="AZ53" s="8"/>
      <c r="BA53" s="8"/>
      <c r="BB53" s="8"/>
    </row>
    <row r="55" spans="1:54" x14ac:dyDescent="0.3">
      <c r="A55" s="76"/>
      <c r="AA55" s="8"/>
      <c r="AB55" s="8"/>
      <c r="AC55" s="8"/>
      <c r="AD55" s="8"/>
      <c r="AE55" s="8"/>
      <c r="AH55" s="8"/>
      <c r="AI55" s="8"/>
      <c r="AJ55" s="8"/>
      <c r="AK55" s="8"/>
      <c r="AL55" s="8"/>
      <c r="AM55" s="8"/>
      <c r="AN55" s="8"/>
      <c r="AO55" s="8"/>
      <c r="AP55" s="8"/>
      <c r="AQ55" s="8"/>
      <c r="AR55" s="8"/>
      <c r="AS55" s="8"/>
      <c r="AT55" s="8"/>
      <c r="AU55" s="8"/>
      <c r="AV55" s="8"/>
      <c r="AW55" s="8"/>
      <c r="AX55" s="8"/>
      <c r="AY55" s="8"/>
      <c r="AZ55" s="8"/>
      <c r="BA55" s="8"/>
      <c r="BB55" s="8"/>
    </row>
    <row r="57" spans="1:54" x14ac:dyDescent="0.3">
      <c r="A57" s="76"/>
      <c r="AA57" s="8"/>
      <c r="AB57" s="8"/>
      <c r="AC57" s="8"/>
      <c r="AD57" s="8"/>
      <c r="AE57" s="8"/>
      <c r="AH57" s="8"/>
      <c r="AI57" s="8"/>
      <c r="AJ57" s="8"/>
      <c r="AK57" s="8"/>
      <c r="AL57" s="8"/>
      <c r="AM57" s="8"/>
      <c r="AN57" s="8"/>
      <c r="AO57" s="8"/>
      <c r="AP57" s="8"/>
      <c r="AQ57" s="8"/>
      <c r="AR57" s="8"/>
      <c r="AS57" s="8"/>
      <c r="AT57" s="8"/>
      <c r="AU57" s="8"/>
      <c r="AV57" s="8"/>
      <c r="AW57" s="8"/>
      <c r="AX57" s="8"/>
      <c r="AY57" s="8"/>
      <c r="AZ57" s="8"/>
      <c r="BA57" s="8"/>
      <c r="BB57" s="8"/>
    </row>
    <row r="59" spans="1:54" x14ac:dyDescent="0.3">
      <c r="A59" s="76"/>
      <c r="AA59" s="8"/>
      <c r="AB59" s="8"/>
      <c r="AC59" s="8"/>
      <c r="AD59" s="8"/>
      <c r="AE59" s="8"/>
      <c r="AH59" s="8"/>
      <c r="AI59" s="8"/>
      <c r="AJ59" s="8"/>
      <c r="AK59" s="8"/>
      <c r="AL59" s="8"/>
      <c r="AM59" s="8"/>
      <c r="AN59" s="8"/>
      <c r="AO59" s="8"/>
      <c r="AP59" s="8"/>
      <c r="AQ59" s="8"/>
      <c r="AR59" s="8"/>
      <c r="AS59" s="8"/>
      <c r="AT59" s="8"/>
      <c r="AU59" s="8"/>
      <c r="AV59" s="8"/>
      <c r="AW59" s="8"/>
      <c r="AX59" s="8"/>
      <c r="AY59" s="8"/>
      <c r="AZ59" s="8"/>
      <c r="BA59" s="8"/>
      <c r="BB59" s="8"/>
    </row>
    <row r="61" spans="1:54" x14ac:dyDescent="0.3">
      <c r="A61" s="76"/>
      <c r="AA61" s="8"/>
      <c r="AB61" s="8"/>
      <c r="AC61" s="8"/>
      <c r="AD61" s="8"/>
      <c r="AE61" s="8"/>
      <c r="AH61" s="8"/>
      <c r="AI61" s="8"/>
      <c r="AJ61" s="8"/>
      <c r="AK61" s="8"/>
      <c r="AL61" s="8"/>
      <c r="AM61" s="8"/>
      <c r="AN61" s="8"/>
      <c r="AO61" s="8"/>
      <c r="AP61" s="8"/>
      <c r="AQ61" s="8"/>
      <c r="AR61" s="8"/>
      <c r="AS61" s="8"/>
      <c r="AT61" s="8"/>
      <c r="AU61" s="8"/>
      <c r="AV61" s="8"/>
      <c r="AW61" s="8"/>
      <c r="AX61" s="8"/>
      <c r="AY61" s="8"/>
      <c r="AZ61" s="8"/>
      <c r="BA61" s="8"/>
      <c r="BB61" s="8"/>
    </row>
    <row r="63" spans="1:54" x14ac:dyDescent="0.3">
      <c r="A63" s="76"/>
      <c r="AA63" s="8"/>
      <c r="AB63" s="8"/>
      <c r="AC63" s="8"/>
      <c r="AD63" s="8"/>
      <c r="AE63" s="8"/>
      <c r="AH63" s="8"/>
      <c r="AI63" s="8"/>
      <c r="AJ63" s="8"/>
      <c r="AK63" s="8"/>
      <c r="AL63" s="8"/>
      <c r="AM63" s="8"/>
      <c r="AN63" s="8"/>
      <c r="AO63" s="8"/>
      <c r="AP63" s="8"/>
      <c r="AQ63" s="8"/>
      <c r="AR63" s="8"/>
      <c r="AS63" s="8"/>
      <c r="AT63" s="8"/>
      <c r="AU63" s="8"/>
      <c r="AV63" s="8"/>
      <c r="AW63" s="8"/>
      <c r="AX63" s="8"/>
      <c r="AY63" s="8"/>
      <c r="AZ63" s="8"/>
      <c r="BA63" s="8"/>
      <c r="BB63" s="8"/>
    </row>
    <row r="65" spans="1:54" x14ac:dyDescent="0.3">
      <c r="A65" s="76"/>
      <c r="AA65" s="8"/>
      <c r="AB65" s="8"/>
      <c r="AC65" s="8"/>
      <c r="AD65" s="8"/>
      <c r="AE65" s="8"/>
      <c r="AH65" s="8"/>
      <c r="AI65" s="8"/>
      <c r="AJ65" s="8"/>
      <c r="AK65" s="8"/>
      <c r="AL65" s="8"/>
      <c r="AM65" s="8"/>
      <c r="AN65" s="8"/>
      <c r="AO65" s="8"/>
      <c r="AP65" s="8"/>
      <c r="AQ65" s="8"/>
      <c r="AR65" s="8"/>
      <c r="AS65" s="8"/>
      <c r="AT65" s="8"/>
      <c r="AU65" s="8"/>
      <c r="AV65" s="8"/>
      <c r="AW65" s="8"/>
      <c r="AX65" s="8"/>
      <c r="AY65" s="8"/>
      <c r="AZ65" s="8"/>
      <c r="BA65" s="8"/>
      <c r="BB65" s="8"/>
    </row>
    <row r="67" spans="1:54" x14ac:dyDescent="0.3">
      <c r="A67" s="76"/>
      <c r="AA67" s="8"/>
      <c r="AB67" s="8"/>
      <c r="AC67" s="8"/>
      <c r="AD67" s="8"/>
      <c r="AE67" s="8"/>
      <c r="AH67" s="8"/>
      <c r="AI67" s="8"/>
      <c r="AJ67" s="8"/>
      <c r="AK67" s="8"/>
      <c r="AL67" s="8"/>
      <c r="AM67" s="8"/>
      <c r="AN67" s="8"/>
      <c r="AO67" s="8"/>
      <c r="AP67" s="8"/>
      <c r="AQ67" s="8"/>
      <c r="AR67" s="8"/>
      <c r="AS67" s="8"/>
      <c r="AT67" s="8"/>
      <c r="AU67" s="8"/>
      <c r="AV67" s="8"/>
      <c r="AW67" s="8"/>
      <c r="AX67" s="8"/>
      <c r="AY67" s="8"/>
      <c r="AZ67" s="8"/>
      <c r="BA67" s="8"/>
      <c r="BB67" s="8"/>
    </row>
    <row r="69" spans="1:54" x14ac:dyDescent="0.3">
      <c r="A69" s="76"/>
      <c r="AA69" s="8"/>
      <c r="AB69" s="8"/>
      <c r="AC69" s="8"/>
      <c r="AD69" s="8"/>
      <c r="AE69" s="8"/>
      <c r="AH69" s="8"/>
      <c r="AI69" s="8"/>
      <c r="AJ69" s="8"/>
      <c r="AK69" s="8"/>
      <c r="AL69" s="8"/>
      <c r="AM69" s="8"/>
      <c r="AN69" s="8"/>
      <c r="AO69" s="8"/>
      <c r="AP69" s="8"/>
      <c r="AQ69" s="8"/>
      <c r="AR69" s="8"/>
      <c r="AS69" s="8"/>
      <c r="AT69" s="8"/>
      <c r="AU69" s="8"/>
      <c r="AV69" s="8"/>
      <c r="AW69" s="8"/>
      <c r="AX69" s="8"/>
      <c r="AY69" s="8"/>
      <c r="AZ69" s="8"/>
      <c r="BA69" s="8"/>
      <c r="BB69" s="8"/>
    </row>
    <row r="71" spans="1:54" x14ac:dyDescent="0.3">
      <c r="A71" s="76"/>
      <c r="AA71" s="8"/>
      <c r="AB71" s="8"/>
      <c r="AC71" s="8"/>
      <c r="AD71" s="8"/>
      <c r="AE71" s="8"/>
      <c r="AH71" s="8"/>
      <c r="AI71" s="8"/>
      <c r="AJ71" s="8"/>
      <c r="AK71" s="8"/>
      <c r="AL71" s="8"/>
      <c r="AM71" s="8"/>
      <c r="AN71" s="8"/>
      <c r="AO71" s="8"/>
      <c r="AP71" s="8"/>
      <c r="AQ71" s="8"/>
      <c r="AR71" s="8"/>
      <c r="AS71" s="8"/>
      <c r="AT71" s="8"/>
      <c r="AU71" s="8"/>
      <c r="AV71" s="8"/>
      <c r="AW71" s="8"/>
      <c r="AX71" s="8"/>
      <c r="AY71" s="8"/>
      <c r="AZ71" s="8"/>
      <c r="BA71" s="8"/>
      <c r="BB71" s="8"/>
    </row>
    <row r="73" spans="1:54" x14ac:dyDescent="0.3">
      <c r="A73" s="76"/>
      <c r="AA73" s="8"/>
      <c r="AB73" s="8"/>
      <c r="AC73" s="8"/>
      <c r="AD73" s="8"/>
      <c r="AE73" s="8"/>
      <c r="AH73" s="8"/>
      <c r="AI73" s="8"/>
      <c r="AJ73" s="8"/>
      <c r="AK73" s="8"/>
      <c r="AL73" s="8"/>
      <c r="AM73" s="8"/>
      <c r="AN73" s="8"/>
      <c r="AO73" s="8"/>
      <c r="AP73" s="8"/>
      <c r="AQ73" s="8"/>
      <c r="AR73" s="8"/>
      <c r="AS73" s="8"/>
      <c r="AT73" s="8"/>
      <c r="AU73" s="8"/>
      <c r="AV73" s="8"/>
      <c r="AW73" s="8"/>
      <c r="AX73" s="8"/>
      <c r="AY73" s="8"/>
      <c r="AZ73" s="8"/>
      <c r="BA73" s="8"/>
      <c r="BB73" s="8"/>
    </row>
    <row r="75" spans="1:54" x14ac:dyDescent="0.3">
      <c r="A75" s="76"/>
      <c r="AA75" s="8"/>
      <c r="AB75" s="8"/>
      <c r="AC75" s="8"/>
      <c r="AD75" s="8"/>
      <c r="AE75" s="8"/>
      <c r="AH75" s="8"/>
      <c r="AI75" s="8"/>
      <c r="AJ75" s="8"/>
      <c r="AK75" s="8"/>
      <c r="AL75" s="8"/>
      <c r="AM75" s="8"/>
      <c r="AN75" s="8"/>
      <c r="AO75" s="8"/>
      <c r="AP75" s="8"/>
      <c r="AQ75" s="8"/>
      <c r="AR75" s="8"/>
      <c r="AS75" s="8"/>
      <c r="AT75" s="8"/>
      <c r="AU75" s="8"/>
      <c r="AV75" s="8"/>
      <c r="AW75" s="8"/>
      <c r="AX75" s="8"/>
      <c r="AY75" s="8"/>
      <c r="AZ75" s="8"/>
      <c r="BA75" s="8"/>
      <c r="BB75" s="8"/>
    </row>
    <row r="77" spans="1:54" x14ac:dyDescent="0.3">
      <c r="A77" s="76"/>
      <c r="AA77" s="8"/>
      <c r="AB77" s="8"/>
      <c r="AC77" s="8"/>
      <c r="AD77" s="8"/>
      <c r="AE77" s="8"/>
      <c r="AH77" s="8"/>
      <c r="AI77" s="8"/>
      <c r="AJ77" s="8"/>
      <c r="AK77" s="8"/>
      <c r="AL77" s="8"/>
      <c r="AM77" s="8"/>
      <c r="AN77" s="8"/>
      <c r="AO77" s="8"/>
      <c r="AP77" s="8"/>
      <c r="AQ77" s="8"/>
      <c r="AR77" s="8"/>
      <c r="AS77" s="8"/>
      <c r="AT77" s="8"/>
      <c r="AU77" s="8"/>
      <c r="AV77" s="8"/>
      <c r="AW77" s="8"/>
      <c r="AX77" s="8"/>
      <c r="AY77" s="8"/>
      <c r="AZ77" s="8"/>
      <c r="BA77" s="8"/>
      <c r="BB77" s="8"/>
    </row>
    <row r="79" spans="1:54" x14ac:dyDescent="0.3">
      <c r="A79" s="76"/>
      <c r="AA79" s="8"/>
      <c r="AB79" s="8"/>
      <c r="AC79" s="8"/>
      <c r="AD79" s="8"/>
      <c r="AE79" s="8"/>
      <c r="AH79" s="8"/>
      <c r="AI79" s="8"/>
      <c r="AJ79" s="8"/>
      <c r="AK79" s="8"/>
      <c r="AL79" s="8"/>
      <c r="AM79" s="8"/>
      <c r="AN79" s="8"/>
      <c r="AO79" s="8"/>
      <c r="AP79" s="8"/>
      <c r="AQ79" s="8"/>
      <c r="AR79" s="8"/>
      <c r="AS79" s="8"/>
      <c r="AT79" s="8"/>
      <c r="AU79" s="8"/>
      <c r="AV79" s="8"/>
      <c r="AW79" s="8"/>
      <c r="AX79" s="8"/>
      <c r="AY79" s="8"/>
      <c r="AZ79" s="8"/>
      <c r="BA79" s="8"/>
      <c r="BB79" s="8"/>
    </row>
    <row r="81" spans="1:54" x14ac:dyDescent="0.3">
      <c r="A81" s="76"/>
      <c r="AA81" s="8"/>
      <c r="AB81" s="8"/>
      <c r="AC81" s="8"/>
      <c r="AD81" s="8"/>
      <c r="AE81" s="8"/>
      <c r="AH81" s="8"/>
      <c r="AI81" s="8"/>
      <c r="AJ81" s="8"/>
      <c r="AK81" s="8"/>
      <c r="AL81" s="8"/>
      <c r="AM81" s="8"/>
      <c r="AN81" s="8"/>
      <c r="AO81" s="8"/>
      <c r="AP81" s="8"/>
      <c r="AQ81" s="8"/>
      <c r="AR81" s="8"/>
      <c r="AS81" s="8"/>
      <c r="AT81" s="8"/>
      <c r="AU81" s="8"/>
      <c r="AV81" s="8"/>
      <c r="AW81" s="8"/>
      <c r="AX81" s="8"/>
      <c r="AY81" s="8"/>
      <c r="AZ81" s="8"/>
      <c r="BA81" s="8"/>
      <c r="BB81" s="8"/>
    </row>
    <row r="83" spans="1:54" x14ac:dyDescent="0.3">
      <c r="A83" s="76"/>
      <c r="AA83" s="8"/>
      <c r="AB83" s="8"/>
      <c r="AC83" s="8"/>
      <c r="AD83" s="8"/>
      <c r="AE83" s="8"/>
      <c r="AH83" s="8"/>
      <c r="AI83" s="8"/>
      <c r="AJ83" s="8"/>
      <c r="AK83" s="8"/>
      <c r="AL83" s="8"/>
      <c r="AM83" s="8"/>
      <c r="AN83" s="8"/>
      <c r="AO83" s="8"/>
      <c r="AP83" s="8"/>
      <c r="AQ83" s="8"/>
      <c r="AR83" s="8"/>
      <c r="AS83" s="8"/>
      <c r="AT83" s="8"/>
      <c r="AU83" s="8"/>
      <c r="AV83" s="8"/>
      <c r="AW83" s="8"/>
      <c r="AX83" s="8"/>
      <c r="AY83" s="8"/>
      <c r="AZ83" s="8"/>
      <c r="BA83" s="8"/>
      <c r="BB83" s="8"/>
    </row>
    <row r="85" spans="1:54" x14ac:dyDescent="0.3">
      <c r="A85" s="76"/>
      <c r="AA85" s="8"/>
      <c r="AB85" s="8"/>
      <c r="AC85" s="8"/>
      <c r="AD85" s="8"/>
      <c r="AE85" s="8"/>
      <c r="AH85" s="8"/>
      <c r="AI85" s="8"/>
      <c r="AJ85" s="8"/>
      <c r="AK85" s="8"/>
      <c r="AL85" s="8"/>
      <c r="AM85" s="8"/>
      <c r="AN85" s="8"/>
      <c r="AO85" s="8"/>
      <c r="AP85" s="8"/>
      <c r="AQ85" s="8"/>
      <c r="AR85" s="8"/>
      <c r="AS85" s="8"/>
      <c r="AT85" s="8"/>
      <c r="AU85" s="8"/>
      <c r="AV85" s="8"/>
      <c r="AW85" s="8"/>
      <c r="AX85" s="8"/>
      <c r="AY85" s="8"/>
      <c r="AZ85" s="8"/>
      <c r="BA85" s="8"/>
      <c r="BB85" s="8"/>
    </row>
    <row r="87" spans="1:54" x14ac:dyDescent="0.3">
      <c r="A87" s="76"/>
      <c r="AA87" s="8"/>
      <c r="AB87" s="8"/>
      <c r="AC87" s="8"/>
      <c r="AD87" s="8"/>
      <c r="AE87" s="8"/>
      <c r="AH87" s="8"/>
      <c r="AI87" s="8"/>
      <c r="AJ87" s="8"/>
      <c r="AK87" s="8"/>
      <c r="AL87" s="8"/>
      <c r="AM87" s="8"/>
      <c r="AN87" s="8"/>
      <c r="AO87" s="8"/>
      <c r="AP87" s="8"/>
      <c r="AQ87" s="8"/>
      <c r="AR87" s="8"/>
      <c r="AS87" s="8"/>
      <c r="AT87" s="8"/>
      <c r="AU87" s="8"/>
      <c r="AV87" s="8"/>
      <c r="AW87" s="8"/>
      <c r="AX87" s="8"/>
      <c r="AY87" s="8"/>
      <c r="AZ87" s="8"/>
      <c r="BA87" s="8"/>
      <c r="BB87" s="8"/>
    </row>
    <row r="89" spans="1:54" x14ac:dyDescent="0.3">
      <c r="A89" s="76"/>
      <c r="AA89" s="8"/>
      <c r="AB89" s="8"/>
      <c r="AC89" s="8"/>
      <c r="AD89" s="8"/>
      <c r="AE89" s="8"/>
      <c r="AH89" s="8"/>
      <c r="AI89" s="8"/>
      <c r="AJ89" s="8"/>
      <c r="AK89" s="8"/>
      <c r="AL89" s="8"/>
      <c r="AM89" s="8"/>
      <c r="AN89" s="8"/>
      <c r="AO89" s="8"/>
      <c r="AP89" s="8"/>
      <c r="AQ89" s="8"/>
      <c r="AR89" s="8"/>
      <c r="AS89" s="8"/>
      <c r="AT89" s="8"/>
      <c r="AU89" s="8"/>
      <c r="AV89" s="8"/>
      <c r="AW89" s="8"/>
      <c r="AX89" s="8"/>
      <c r="AY89" s="8"/>
      <c r="AZ89" s="8"/>
      <c r="BA89" s="8"/>
      <c r="BB89" s="8"/>
    </row>
    <row r="91" spans="1:54" x14ac:dyDescent="0.3">
      <c r="A91" s="76"/>
      <c r="AA91" s="8"/>
      <c r="AB91" s="8"/>
      <c r="AC91" s="8"/>
      <c r="AD91" s="8"/>
      <c r="AE91" s="8"/>
      <c r="AH91" s="8"/>
      <c r="AI91" s="8"/>
      <c r="AJ91" s="8"/>
      <c r="AK91" s="8"/>
      <c r="AL91" s="8"/>
      <c r="AM91" s="8"/>
      <c r="AN91" s="8"/>
      <c r="AO91" s="8"/>
      <c r="AP91" s="8"/>
      <c r="AQ91" s="8"/>
      <c r="AR91" s="8"/>
      <c r="AS91" s="8"/>
      <c r="AT91" s="8"/>
      <c r="AU91" s="8"/>
      <c r="AV91" s="8"/>
      <c r="AW91" s="8"/>
      <c r="AX91" s="8"/>
      <c r="AY91" s="8"/>
      <c r="AZ91" s="8"/>
      <c r="BA91" s="8"/>
      <c r="BB91" s="8"/>
    </row>
    <row r="93" spans="1:54" x14ac:dyDescent="0.3">
      <c r="A93" s="76"/>
      <c r="AA93" s="8"/>
      <c r="AB93" s="8"/>
      <c r="AC93" s="8"/>
      <c r="AD93" s="8"/>
      <c r="AE93" s="8"/>
      <c r="AH93" s="8"/>
      <c r="AI93" s="8"/>
      <c r="AJ93" s="8"/>
      <c r="AK93" s="8"/>
      <c r="AL93" s="8"/>
      <c r="AM93" s="8"/>
      <c r="AN93" s="8"/>
      <c r="AO93" s="8"/>
      <c r="AP93" s="8"/>
      <c r="AQ93" s="8"/>
      <c r="AR93" s="8"/>
      <c r="AS93" s="8"/>
      <c r="AT93" s="8"/>
      <c r="AU93" s="8"/>
      <c r="AV93" s="8"/>
      <c r="AW93" s="8"/>
      <c r="AX93" s="8"/>
      <c r="AY93" s="8"/>
      <c r="AZ93" s="8"/>
      <c r="BA93" s="8"/>
      <c r="BB93" s="8"/>
    </row>
    <row r="95" spans="1:54" x14ac:dyDescent="0.3">
      <c r="A95" s="76"/>
      <c r="AA95" s="8"/>
      <c r="AB95" s="8"/>
      <c r="AC95" s="8"/>
      <c r="AD95" s="8"/>
      <c r="AE95" s="8"/>
      <c r="AH95" s="8"/>
      <c r="AI95" s="8"/>
      <c r="AJ95" s="8"/>
      <c r="AK95" s="8"/>
      <c r="AL95" s="8"/>
      <c r="AM95" s="8"/>
      <c r="AN95" s="8"/>
      <c r="AO95" s="8"/>
      <c r="AP95" s="8"/>
      <c r="AQ95" s="8"/>
      <c r="AR95" s="8"/>
      <c r="AS95" s="8"/>
      <c r="AT95" s="8"/>
      <c r="AU95" s="8"/>
      <c r="AV95" s="8"/>
      <c r="AW95" s="8"/>
      <c r="AX95" s="8"/>
      <c r="AY95" s="8"/>
      <c r="AZ95" s="8"/>
      <c r="BA95" s="8"/>
      <c r="BB95" s="8"/>
    </row>
    <row r="97" spans="1:54" x14ac:dyDescent="0.3">
      <c r="A97" s="76"/>
      <c r="AA97" s="8"/>
      <c r="AB97" s="8"/>
      <c r="AC97" s="8"/>
      <c r="AD97" s="8"/>
      <c r="AE97" s="8"/>
      <c r="AH97" s="8"/>
      <c r="AI97" s="8"/>
      <c r="AJ97" s="8"/>
      <c r="AK97" s="8"/>
      <c r="AL97" s="8"/>
      <c r="AM97" s="8"/>
      <c r="AN97" s="8"/>
      <c r="AO97" s="8"/>
      <c r="AP97" s="8"/>
      <c r="AQ97" s="8"/>
      <c r="AR97" s="8"/>
      <c r="AS97" s="8"/>
      <c r="AT97" s="8"/>
      <c r="AU97" s="8"/>
      <c r="AV97" s="8"/>
      <c r="AW97" s="8"/>
      <c r="AX97" s="8"/>
      <c r="AY97" s="8"/>
      <c r="AZ97" s="8"/>
      <c r="BA97" s="8"/>
      <c r="BB97" s="8"/>
    </row>
    <row r="99" spans="1:54" x14ac:dyDescent="0.3">
      <c r="A99" s="76"/>
      <c r="AA99" s="8"/>
      <c r="AB99" s="8"/>
      <c r="AC99" s="8"/>
      <c r="AD99" s="8"/>
      <c r="AE99" s="8"/>
      <c r="AH99" s="8"/>
      <c r="AI99" s="8"/>
      <c r="AJ99" s="8"/>
      <c r="AK99" s="8"/>
      <c r="AL99" s="8"/>
      <c r="AM99" s="8"/>
      <c r="AN99" s="8"/>
      <c r="AO99" s="8"/>
      <c r="AP99" s="8"/>
      <c r="AQ99" s="8"/>
      <c r="AR99" s="8"/>
      <c r="AS99" s="8"/>
      <c r="AT99" s="8"/>
      <c r="AU99" s="8"/>
      <c r="AV99" s="8"/>
      <c r="AW99" s="8"/>
      <c r="AX99" s="8"/>
      <c r="AY99" s="8"/>
      <c r="AZ99" s="8"/>
      <c r="BA99" s="8"/>
      <c r="BB99" s="8"/>
    </row>
    <row r="101" spans="1:54" x14ac:dyDescent="0.3">
      <c r="A101" s="76"/>
      <c r="AA101" s="8"/>
      <c r="AB101" s="8"/>
      <c r="AC101" s="8"/>
      <c r="AD101" s="8"/>
      <c r="AE101" s="8"/>
      <c r="AH101" s="8"/>
      <c r="AI101" s="8"/>
      <c r="AJ101" s="8"/>
      <c r="AK101" s="8"/>
      <c r="AL101" s="8"/>
      <c r="AM101" s="8"/>
      <c r="AN101" s="8"/>
      <c r="AO101" s="8"/>
      <c r="AP101" s="8"/>
      <c r="AQ101" s="8"/>
      <c r="AR101" s="8"/>
      <c r="AS101" s="8"/>
      <c r="AT101" s="8"/>
      <c r="AU101" s="8"/>
      <c r="AV101" s="8"/>
      <c r="AW101" s="8"/>
      <c r="AX101" s="8"/>
      <c r="AY101" s="8"/>
      <c r="AZ101" s="8"/>
      <c r="BA101" s="8"/>
      <c r="BB101" s="8"/>
    </row>
    <row r="103" spans="1:54" x14ac:dyDescent="0.3">
      <c r="A103" s="76"/>
      <c r="AA103" s="8"/>
      <c r="AB103" s="8"/>
      <c r="AC103" s="8"/>
      <c r="AD103" s="8"/>
      <c r="AE103" s="8"/>
      <c r="AH103" s="8"/>
      <c r="AI103" s="8"/>
      <c r="AJ103" s="8"/>
      <c r="AK103" s="8"/>
      <c r="AL103" s="8"/>
      <c r="AM103" s="8"/>
      <c r="AN103" s="8"/>
      <c r="AO103" s="8"/>
      <c r="AP103" s="8"/>
      <c r="AQ103" s="8"/>
      <c r="AR103" s="8"/>
      <c r="AS103" s="8"/>
      <c r="AT103" s="8"/>
      <c r="AU103" s="8"/>
      <c r="AV103" s="8"/>
      <c r="AW103" s="8"/>
      <c r="AX103" s="8"/>
      <c r="AY103" s="8"/>
      <c r="AZ103" s="8"/>
      <c r="BA103" s="8"/>
      <c r="BB103" s="8"/>
    </row>
    <row r="105" spans="1:54" x14ac:dyDescent="0.3">
      <c r="A105" s="76"/>
      <c r="AA105" s="8"/>
      <c r="AB105" s="8"/>
      <c r="AC105" s="8"/>
      <c r="AD105" s="8"/>
      <c r="AE105" s="8"/>
      <c r="AH105" s="8"/>
      <c r="AI105" s="8"/>
      <c r="AJ105" s="8"/>
      <c r="AK105" s="8"/>
      <c r="AL105" s="8"/>
      <c r="AM105" s="8"/>
      <c r="AN105" s="8"/>
      <c r="AO105" s="8"/>
      <c r="AP105" s="8"/>
      <c r="AQ105" s="8"/>
      <c r="AR105" s="8"/>
      <c r="AS105" s="8"/>
      <c r="AT105" s="8"/>
      <c r="AU105" s="8"/>
      <c r="AV105" s="8"/>
      <c r="AW105" s="8"/>
      <c r="AX105" s="8"/>
      <c r="AY105" s="8"/>
      <c r="AZ105" s="8"/>
      <c r="BA105" s="8"/>
      <c r="BB105" s="8"/>
    </row>
    <row r="107" spans="1:54" x14ac:dyDescent="0.3">
      <c r="A107" s="76"/>
      <c r="AA107" s="8"/>
      <c r="AB107" s="8"/>
      <c r="AC107" s="8"/>
      <c r="AD107" s="8"/>
      <c r="AE107" s="8"/>
      <c r="AH107" s="8"/>
      <c r="AI107" s="8"/>
      <c r="AJ107" s="8"/>
      <c r="AK107" s="8"/>
      <c r="AL107" s="8"/>
      <c r="AM107" s="8"/>
      <c r="AN107" s="8"/>
      <c r="AO107" s="8"/>
      <c r="AP107" s="8"/>
      <c r="AQ107" s="8"/>
      <c r="AR107" s="8"/>
      <c r="AS107" s="8"/>
      <c r="AT107" s="8"/>
      <c r="AU107" s="8"/>
      <c r="AV107" s="8"/>
      <c r="AW107" s="8"/>
      <c r="AX107" s="8"/>
      <c r="AY107" s="8"/>
      <c r="AZ107" s="8"/>
      <c r="BA107" s="8"/>
      <c r="BB107" s="8"/>
    </row>
    <row r="109" spans="1:54" x14ac:dyDescent="0.3">
      <c r="A109" s="76"/>
      <c r="AA109" s="8"/>
      <c r="AB109" s="8"/>
      <c r="AC109" s="8"/>
      <c r="AD109" s="8"/>
      <c r="AE109" s="8"/>
      <c r="AH109" s="8"/>
      <c r="AI109" s="8"/>
      <c r="AJ109" s="8"/>
      <c r="AK109" s="8"/>
      <c r="AL109" s="8"/>
      <c r="AM109" s="8"/>
      <c r="AN109" s="8"/>
      <c r="AO109" s="8"/>
      <c r="AP109" s="8"/>
      <c r="AQ109" s="8"/>
      <c r="AR109" s="8"/>
      <c r="AS109" s="8"/>
      <c r="AT109" s="8"/>
      <c r="AU109" s="8"/>
      <c r="AV109" s="8"/>
      <c r="AW109" s="8"/>
      <c r="AX109" s="8"/>
      <c r="AY109" s="8"/>
      <c r="AZ109" s="8"/>
      <c r="BA109" s="8"/>
      <c r="BB109" s="8"/>
    </row>
    <row r="111" spans="1:54" x14ac:dyDescent="0.3">
      <c r="A111" s="76"/>
      <c r="AA111" s="8"/>
      <c r="AB111" s="8"/>
      <c r="AC111" s="8"/>
      <c r="AD111" s="8"/>
      <c r="AE111" s="8"/>
      <c r="AH111" s="8"/>
      <c r="AI111" s="8"/>
      <c r="AJ111" s="8"/>
      <c r="AK111" s="8"/>
      <c r="AL111" s="8"/>
      <c r="AM111" s="8"/>
      <c r="AN111" s="8"/>
      <c r="AO111" s="8"/>
      <c r="AP111" s="8"/>
      <c r="AQ111" s="8"/>
      <c r="AR111" s="8"/>
      <c r="AS111" s="8"/>
      <c r="AT111" s="8"/>
      <c r="AU111" s="8"/>
      <c r="AV111" s="8"/>
      <c r="AW111" s="8"/>
      <c r="AX111" s="8"/>
      <c r="AY111" s="8"/>
      <c r="AZ111" s="8"/>
      <c r="BA111" s="8"/>
      <c r="BB111" s="8"/>
    </row>
    <row r="113" spans="1:54" x14ac:dyDescent="0.3">
      <c r="A113" s="76"/>
      <c r="AA113" s="8"/>
      <c r="AB113" s="8"/>
      <c r="AC113" s="8"/>
      <c r="AD113" s="8"/>
      <c r="AE113" s="8"/>
      <c r="AH113" s="8"/>
      <c r="AI113" s="8"/>
      <c r="AJ113" s="8"/>
      <c r="AK113" s="8"/>
      <c r="AL113" s="8"/>
      <c r="AM113" s="8"/>
      <c r="AN113" s="8"/>
      <c r="AO113" s="8"/>
      <c r="AP113" s="8"/>
      <c r="AQ113" s="8"/>
      <c r="AR113" s="8"/>
      <c r="AS113" s="8"/>
      <c r="AT113" s="8"/>
      <c r="AU113" s="8"/>
      <c r="AV113" s="8"/>
      <c r="AW113" s="8"/>
      <c r="AX113" s="8"/>
      <c r="AY113" s="8"/>
      <c r="AZ113" s="8"/>
      <c r="BA113" s="8"/>
      <c r="BB113" s="8"/>
    </row>
    <row r="115" spans="1:54" x14ac:dyDescent="0.3">
      <c r="A115" s="76"/>
      <c r="AA115" s="8"/>
      <c r="AB115" s="8"/>
      <c r="AC115" s="8"/>
      <c r="AD115" s="8"/>
      <c r="AE115" s="8"/>
      <c r="AH115" s="8"/>
      <c r="AI115" s="8"/>
      <c r="AJ115" s="8"/>
      <c r="AK115" s="8"/>
      <c r="AL115" s="8"/>
      <c r="AM115" s="8"/>
      <c r="AN115" s="8"/>
      <c r="AO115" s="8"/>
      <c r="AP115" s="8"/>
      <c r="AQ115" s="8"/>
      <c r="AR115" s="8"/>
      <c r="AS115" s="8"/>
      <c r="AT115" s="8"/>
      <c r="AU115" s="8"/>
      <c r="AV115" s="8"/>
      <c r="AW115" s="8"/>
      <c r="AX115" s="8"/>
      <c r="AY115" s="8"/>
      <c r="AZ115" s="8"/>
      <c r="BA115" s="8"/>
      <c r="BB115" s="8"/>
    </row>
    <row r="117" spans="1:54" x14ac:dyDescent="0.3">
      <c r="A117" s="76"/>
      <c r="AA117" s="8"/>
      <c r="AB117" s="8"/>
      <c r="AC117" s="8"/>
      <c r="AD117" s="8"/>
      <c r="AE117" s="8"/>
      <c r="AH117" s="8"/>
      <c r="AI117" s="8"/>
      <c r="AJ117" s="8"/>
      <c r="AK117" s="8"/>
      <c r="AL117" s="8"/>
      <c r="AM117" s="8"/>
      <c r="AN117" s="8"/>
      <c r="AO117" s="8"/>
      <c r="AP117" s="8"/>
      <c r="AQ117" s="8"/>
      <c r="AR117" s="8"/>
      <c r="AS117" s="8"/>
      <c r="AT117" s="8"/>
      <c r="AU117" s="8"/>
      <c r="AV117" s="8"/>
      <c r="AW117" s="8"/>
      <c r="AX117" s="8"/>
      <c r="AY117" s="8"/>
      <c r="AZ117" s="8"/>
      <c r="BA117" s="8"/>
      <c r="BB117" s="8"/>
    </row>
    <row r="119" spans="1:54" x14ac:dyDescent="0.3">
      <c r="A119" s="76"/>
      <c r="AA119" s="8"/>
      <c r="AB119" s="8"/>
      <c r="AC119" s="8"/>
      <c r="AD119" s="8"/>
      <c r="AE119" s="8"/>
      <c r="AH119" s="8"/>
      <c r="AI119" s="8"/>
      <c r="AJ119" s="8"/>
      <c r="AK119" s="8"/>
      <c r="AL119" s="8"/>
      <c r="AM119" s="8"/>
      <c r="AN119" s="8"/>
      <c r="AO119" s="8"/>
      <c r="AP119" s="8"/>
      <c r="AQ119" s="8"/>
      <c r="AR119" s="8"/>
      <c r="AS119" s="8"/>
      <c r="AT119" s="8"/>
      <c r="AU119" s="8"/>
      <c r="AV119" s="8"/>
      <c r="AW119" s="8"/>
      <c r="AX119" s="8"/>
      <c r="AY119" s="8"/>
      <c r="AZ119" s="8"/>
      <c r="BA119" s="8"/>
      <c r="BB119" s="8"/>
    </row>
    <row r="121" spans="1:54" x14ac:dyDescent="0.3">
      <c r="A121" s="76"/>
      <c r="AA121" s="8"/>
      <c r="AB121" s="8"/>
      <c r="AC121" s="8"/>
      <c r="AD121" s="8"/>
      <c r="AE121" s="8"/>
      <c r="AH121" s="8"/>
      <c r="AI121" s="8"/>
      <c r="AJ121" s="8"/>
      <c r="AK121" s="8"/>
      <c r="AL121" s="8"/>
      <c r="AM121" s="8"/>
      <c r="AN121" s="8"/>
      <c r="AO121" s="8"/>
      <c r="AP121" s="8"/>
      <c r="AQ121" s="8"/>
      <c r="AR121" s="8"/>
      <c r="AS121" s="8"/>
      <c r="AT121" s="8"/>
      <c r="AU121" s="8"/>
      <c r="AV121" s="8"/>
      <c r="AW121" s="8"/>
      <c r="AX121" s="8"/>
      <c r="AY121" s="8"/>
      <c r="AZ121" s="8"/>
      <c r="BA121" s="8"/>
      <c r="BB121" s="8"/>
    </row>
    <row r="123" spans="1:54" x14ac:dyDescent="0.3">
      <c r="A123" s="76"/>
      <c r="AA123" s="8"/>
      <c r="AB123" s="8"/>
      <c r="AC123" s="8"/>
      <c r="AD123" s="8"/>
      <c r="AE123" s="8"/>
      <c r="AH123" s="8"/>
      <c r="AI123" s="8"/>
      <c r="AJ123" s="8"/>
      <c r="AK123" s="8"/>
      <c r="AL123" s="8"/>
      <c r="AM123" s="8"/>
      <c r="AN123" s="8"/>
      <c r="AO123" s="8"/>
      <c r="AP123" s="8"/>
      <c r="AQ123" s="8"/>
      <c r="AR123" s="8"/>
      <c r="AS123" s="8"/>
      <c r="AT123" s="8"/>
      <c r="AU123" s="8"/>
      <c r="AV123" s="8"/>
      <c r="AW123" s="8"/>
      <c r="AX123" s="8"/>
      <c r="AY123" s="8"/>
      <c r="AZ123" s="8"/>
      <c r="BA123" s="8"/>
      <c r="BB123" s="8"/>
    </row>
    <row r="125" spans="1:54" x14ac:dyDescent="0.3">
      <c r="A125" s="76"/>
      <c r="AA125" s="8"/>
      <c r="AB125" s="8"/>
      <c r="AC125" s="8"/>
      <c r="AD125" s="8"/>
      <c r="AE125" s="8"/>
      <c r="AH125" s="8"/>
      <c r="AI125" s="8"/>
      <c r="AJ125" s="8"/>
      <c r="AK125" s="8"/>
      <c r="AL125" s="8"/>
      <c r="AM125" s="8"/>
      <c r="AN125" s="8"/>
      <c r="AO125" s="8"/>
      <c r="AP125" s="8"/>
      <c r="AQ125" s="8"/>
      <c r="AR125" s="8"/>
      <c r="AS125" s="8"/>
      <c r="AT125" s="8"/>
      <c r="AU125" s="8"/>
      <c r="AV125" s="8"/>
      <c r="AW125" s="8"/>
      <c r="AX125" s="8"/>
      <c r="AY125" s="8"/>
      <c r="AZ125" s="8"/>
      <c r="BA125" s="8"/>
      <c r="BB125" s="8"/>
    </row>
    <row r="127" spans="1:54" x14ac:dyDescent="0.3">
      <c r="A127" s="76"/>
      <c r="AA127" s="8"/>
      <c r="AB127" s="8"/>
      <c r="AC127" s="8"/>
      <c r="AD127" s="8"/>
      <c r="AE127" s="8"/>
      <c r="AH127" s="8"/>
      <c r="AI127" s="8"/>
      <c r="AJ127" s="8"/>
      <c r="AK127" s="8"/>
      <c r="AL127" s="8"/>
      <c r="AM127" s="8"/>
      <c r="AN127" s="8"/>
      <c r="AO127" s="8"/>
      <c r="AP127" s="8"/>
      <c r="AQ127" s="8"/>
      <c r="AR127" s="8"/>
      <c r="AS127" s="8"/>
      <c r="AT127" s="8"/>
      <c r="AU127" s="8"/>
      <c r="AV127" s="8"/>
      <c r="AW127" s="8"/>
      <c r="AX127" s="8"/>
      <c r="AY127" s="8"/>
      <c r="AZ127" s="8"/>
      <c r="BA127" s="8"/>
      <c r="BB127" s="8"/>
    </row>
    <row r="129" spans="1:54" x14ac:dyDescent="0.3">
      <c r="A129" s="76"/>
      <c r="AA129" s="8"/>
      <c r="AB129" s="8"/>
      <c r="AC129" s="8"/>
      <c r="AD129" s="8"/>
      <c r="AE129" s="8"/>
      <c r="AH129" s="8"/>
      <c r="AI129" s="8"/>
      <c r="AJ129" s="8"/>
      <c r="AK129" s="8"/>
      <c r="AL129" s="8"/>
      <c r="AM129" s="8"/>
      <c r="AN129" s="8"/>
      <c r="AO129" s="8"/>
      <c r="AP129" s="8"/>
      <c r="AQ129" s="8"/>
      <c r="AR129" s="8"/>
      <c r="AS129" s="8"/>
      <c r="AT129" s="8"/>
      <c r="AU129" s="8"/>
      <c r="AV129" s="8"/>
      <c r="AW129" s="8"/>
      <c r="AX129" s="8"/>
      <c r="AY129" s="8"/>
      <c r="AZ129" s="8"/>
      <c r="BA129" s="8"/>
      <c r="BB129" s="8"/>
    </row>
    <row r="131" spans="1:54" x14ac:dyDescent="0.3">
      <c r="A131" s="76"/>
      <c r="AA131" s="8"/>
      <c r="AB131" s="8"/>
      <c r="AC131" s="8"/>
      <c r="AD131" s="8"/>
      <c r="AE131" s="8"/>
      <c r="AH131" s="8"/>
      <c r="AI131" s="8"/>
      <c r="AJ131" s="8"/>
      <c r="AK131" s="8"/>
      <c r="AL131" s="8"/>
      <c r="AM131" s="8"/>
      <c r="AN131" s="8"/>
      <c r="AO131" s="8"/>
      <c r="AP131" s="8"/>
      <c r="AQ131" s="8"/>
      <c r="AR131" s="8"/>
      <c r="AS131" s="8"/>
      <c r="AT131" s="8"/>
      <c r="AU131" s="8"/>
      <c r="AV131" s="8"/>
      <c r="AW131" s="8"/>
      <c r="AX131" s="8"/>
      <c r="AY131" s="8"/>
      <c r="AZ131" s="8"/>
      <c r="BA131" s="8"/>
      <c r="BB131" s="8"/>
    </row>
    <row r="133" spans="1:54" x14ac:dyDescent="0.3">
      <c r="A133" s="76"/>
      <c r="AA133" s="8"/>
      <c r="AB133" s="8"/>
      <c r="AC133" s="8"/>
      <c r="AD133" s="8"/>
      <c r="AE133" s="8"/>
      <c r="AH133" s="8"/>
      <c r="AI133" s="8"/>
      <c r="AJ133" s="8"/>
      <c r="AK133" s="8"/>
      <c r="AL133" s="8"/>
      <c r="AM133" s="8"/>
      <c r="AN133" s="8"/>
      <c r="AO133" s="8"/>
      <c r="AP133" s="8"/>
      <c r="AQ133" s="8"/>
      <c r="AR133" s="8"/>
      <c r="AS133" s="8"/>
      <c r="AT133" s="8"/>
      <c r="AU133" s="8"/>
      <c r="AV133" s="8"/>
      <c r="AW133" s="8"/>
      <c r="AX133" s="8"/>
      <c r="AY133" s="8"/>
      <c r="AZ133" s="8"/>
      <c r="BA133" s="8"/>
      <c r="BB133" s="8"/>
    </row>
    <row r="135" spans="1:54" x14ac:dyDescent="0.3">
      <c r="A135" s="76"/>
      <c r="AA135" s="8"/>
      <c r="AB135" s="8"/>
      <c r="AC135" s="8"/>
      <c r="AD135" s="8"/>
      <c r="AE135" s="8"/>
      <c r="AH135" s="8"/>
      <c r="AI135" s="8"/>
      <c r="AJ135" s="8"/>
      <c r="AK135" s="8"/>
      <c r="AL135" s="8"/>
      <c r="AM135" s="8"/>
      <c r="AN135" s="8"/>
      <c r="AO135" s="8"/>
      <c r="AP135" s="8"/>
      <c r="AQ135" s="8"/>
      <c r="AR135" s="8"/>
      <c r="AS135" s="8"/>
      <c r="AT135" s="8"/>
      <c r="AU135" s="8"/>
      <c r="AV135" s="8"/>
      <c r="AW135" s="8"/>
      <c r="AX135" s="8"/>
      <c r="AY135" s="8"/>
      <c r="AZ135" s="8"/>
      <c r="BA135" s="8"/>
      <c r="BB135" s="8"/>
    </row>
    <row r="137" spans="1:54" x14ac:dyDescent="0.3">
      <c r="A137" s="76"/>
      <c r="AA137" s="8"/>
      <c r="AB137" s="8"/>
      <c r="AC137" s="8"/>
      <c r="AD137" s="8"/>
      <c r="AE137" s="8"/>
      <c r="AH137" s="8"/>
      <c r="AI137" s="8"/>
      <c r="AJ137" s="8"/>
      <c r="AK137" s="8"/>
      <c r="AL137" s="8"/>
      <c r="AM137" s="8"/>
      <c r="AN137" s="8"/>
      <c r="AO137" s="8"/>
      <c r="AP137" s="8"/>
      <c r="AQ137" s="8"/>
      <c r="AR137" s="8"/>
      <c r="AS137" s="8"/>
      <c r="AT137" s="8"/>
      <c r="AU137" s="8"/>
      <c r="AV137" s="8"/>
      <c r="AW137" s="8"/>
      <c r="AX137" s="8"/>
      <c r="AY137" s="8"/>
      <c r="AZ137" s="8"/>
      <c r="BA137" s="8"/>
      <c r="BB137" s="8"/>
    </row>
    <row r="139" spans="1:54" x14ac:dyDescent="0.3">
      <c r="A139" s="76"/>
      <c r="AA139" s="8"/>
      <c r="AB139" s="8"/>
      <c r="AC139" s="8"/>
      <c r="AD139" s="8"/>
      <c r="AE139" s="8"/>
      <c r="AH139" s="8"/>
      <c r="AI139" s="8"/>
      <c r="AJ139" s="8"/>
      <c r="AK139" s="8"/>
      <c r="AL139" s="8"/>
      <c r="AM139" s="8"/>
      <c r="AN139" s="8"/>
      <c r="AO139" s="8"/>
      <c r="AP139" s="8"/>
      <c r="AQ139" s="8"/>
      <c r="AR139" s="8"/>
      <c r="AS139" s="8"/>
      <c r="AT139" s="8"/>
      <c r="AU139" s="8"/>
      <c r="AV139" s="8"/>
      <c r="AW139" s="8"/>
      <c r="AX139" s="8"/>
      <c r="AY139" s="8"/>
      <c r="AZ139" s="8"/>
      <c r="BA139" s="8"/>
      <c r="BB139" s="8"/>
    </row>
    <row r="141" spans="1:54" x14ac:dyDescent="0.3">
      <c r="A141" s="76"/>
      <c r="AA141" s="8"/>
      <c r="AB141" s="8"/>
      <c r="AC141" s="8"/>
      <c r="AD141" s="8"/>
      <c r="AE141" s="8"/>
      <c r="AH141" s="8"/>
      <c r="AI141" s="8"/>
      <c r="AJ141" s="8"/>
      <c r="AK141" s="8"/>
      <c r="AL141" s="8"/>
      <c r="AM141" s="8"/>
      <c r="AN141" s="8"/>
      <c r="AO141" s="8"/>
      <c r="AP141" s="8"/>
      <c r="AQ141" s="8"/>
      <c r="AR141" s="8"/>
      <c r="AS141" s="8"/>
      <c r="AT141" s="8"/>
      <c r="AU141" s="8"/>
      <c r="AV141" s="8"/>
      <c r="AW141" s="8"/>
      <c r="AX141" s="8"/>
      <c r="AY141" s="8"/>
      <c r="AZ141" s="8"/>
      <c r="BA141" s="8"/>
      <c r="BB141" s="8"/>
    </row>
    <row r="143" spans="1:54" x14ac:dyDescent="0.3">
      <c r="A143" s="76"/>
      <c r="AA143" s="8"/>
      <c r="AB143" s="8"/>
      <c r="AC143" s="8"/>
      <c r="AD143" s="8"/>
      <c r="AE143" s="8"/>
      <c r="AH143" s="8"/>
      <c r="AI143" s="8"/>
      <c r="AJ143" s="8"/>
      <c r="AK143" s="8"/>
      <c r="AL143" s="8"/>
      <c r="AM143" s="8"/>
      <c r="AN143" s="8"/>
      <c r="AO143" s="8"/>
      <c r="AP143" s="8"/>
      <c r="AQ143" s="8"/>
      <c r="AR143" s="8"/>
      <c r="AS143" s="8"/>
      <c r="AT143" s="8"/>
      <c r="AU143" s="8"/>
      <c r="AV143" s="8"/>
      <c r="AW143" s="8"/>
      <c r="AX143" s="8"/>
      <c r="AY143" s="8"/>
      <c r="AZ143" s="8"/>
      <c r="BA143" s="8"/>
      <c r="BB143" s="8"/>
    </row>
    <row r="145" spans="1:54" x14ac:dyDescent="0.3">
      <c r="A145" s="76"/>
      <c r="AA145" s="8"/>
      <c r="AB145" s="8"/>
      <c r="AC145" s="8"/>
      <c r="AD145" s="8"/>
      <c r="AE145" s="8"/>
      <c r="AH145" s="8"/>
      <c r="AI145" s="8"/>
      <c r="AJ145" s="8"/>
      <c r="AK145" s="8"/>
      <c r="AL145" s="8"/>
      <c r="AM145" s="8"/>
      <c r="AN145" s="8"/>
      <c r="AO145" s="8"/>
      <c r="AP145" s="8"/>
      <c r="AQ145" s="8"/>
      <c r="AR145" s="8"/>
      <c r="AS145" s="8"/>
      <c r="AT145" s="8"/>
      <c r="AU145" s="8"/>
      <c r="AV145" s="8"/>
      <c r="AW145" s="8"/>
      <c r="AX145" s="8"/>
      <c r="AY145" s="8"/>
      <c r="AZ145" s="8"/>
      <c r="BA145" s="8"/>
      <c r="BB145" s="8"/>
    </row>
    <row r="147" spans="1:54" x14ac:dyDescent="0.3">
      <c r="A147" s="76"/>
      <c r="AA147" s="8"/>
      <c r="AB147" s="8"/>
      <c r="AC147" s="8"/>
      <c r="AD147" s="8"/>
      <c r="AE147" s="8"/>
      <c r="AH147" s="8"/>
      <c r="AI147" s="8"/>
      <c r="AJ147" s="8"/>
      <c r="AK147" s="8"/>
      <c r="AL147" s="8"/>
      <c r="AM147" s="8"/>
      <c r="AN147" s="8"/>
      <c r="AO147" s="8"/>
      <c r="AP147" s="8"/>
      <c r="AQ147" s="8"/>
      <c r="AR147" s="8"/>
      <c r="AS147" s="8"/>
      <c r="AT147" s="8"/>
      <c r="AU147" s="8"/>
      <c r="AV147" s="8"/>
      <c r="AW147" s="8"/>
      <c r="AX147" s="8"/>
      <c r="AY147" s="8"/>
      <c r="AZ147" s="8"/>
      <c r="BA147" s="8"/>
      <c r="BB147" s="8"/>
    </row>
    <row r="149" spans="1:54" x14ac:dyDescent="0.3">
      <c r="A149" s="76"/>
      <c r="AA149" s="8"/>
      <c r="AB149" s="8"/>
      <c r="AC149" s="8"/>
      <c r="AD149" s="8"/>
      <c r="AE149" s="8"/>
      <c r="AH149" s="8"/>
      <c r="AI149" s="8"/>
      <c r="AJ149" s="8"/>
      <c r="AK149" s="8"/>
      <c r="AL149" s="8"/>
      <c r="AM149" s="8"/>
      <c r="AN149" s="8"/>
      <c r="AO149" s="8"/>
      <c r="AP149" s="8"/>
      <c r="AQ149" s="8"/>
      <c r="AR149" s="8"/>
      <c r="AS149" s="8"/>
      <c r="AT149" s="8"/>
      <c r="AU149" s="8"/>
      <c r="AV149" s="8"/>
      <c r="AW149" s="8"/>
      <c r="AX149" s="8"/>
      <c r="AY149" s="8"/>
      <c r="AZ149" s="8"/>
      <c r="BA149" s="8"/>
      <c r="BB149" s="8"/>
    </row>
    <row r="151" spans="1:54" x14ac:dyDescent="0.3">
      <c r="A151" s="76"/>
      <c r="AA151" s="8"/>
      <c r="AB151" s="8"/>
      <c r="AC151" s="8"/>
      <c r="AD151" s="8"/>
      <c r="AE151" s="8"/>
      <c r="AH151" s="8"/>
      <c r="AI151" s="8"/>
      <c r="AJ151" s="8"/>
      <c r="AK151" s="8"/>
      <c r="AL151" s="8"/>
      <c r="AM151" s="8"/>
      <c r="AN151" s="8"/>
      <c r="AO151" s="8"/>
      <c r="AP151" s="8"/>
      <c r="AQ151" s="8"/>
      <c r="AR151" s="8"/>
      <c r="AS151" s="8"/>
      <c r="AT151" s="8"/>
      <c r="AU151" s="8"/>
      <c r="AV151" s="8"/>
      <c r="AW151" s="8"/>
      <c r="AX151" s="8"/>
      <c r="AY151" s="8"/>
      <c r="AZ151" s="8"/>
      <c r="BA151" s="8"/>
      <c r="BB151" s="8"/>
    </row>
    <row r="153" spans="1:54" x14ac:dyDescent="0.3">
      <c r="A153" s="76"/>
      <c r="AA153" s="8"/>
      <c r="AB153" s="8"/>
      <c r="AC153" s="8"/>
      <c r="AD153" s="8"/>
      <c r="AE153" s="8"/>
      <c r="AH153" s="8"/>
      <c r="AI153" s="8"/>
      <c r="AJ153" s="8"/>
      <c r="AK153" s="8"/>
      <c r="AL153" s="8"/>
      <c r="AM153" s="8"/>
      <c r="AN153" s="8"/>
      <c r="AO153" s="8"/>
      <c r="AP153" s="8"/>
      <c r="AQ153" s="8"/>
      <c r="AR153" s="8"/>
      <c r="AS153" s="8"/>
      <c r="AT153" s="8"/>
      <c r="AU153" s="8"/>
      <c r="AV153" s="8"/>
      <c r="AW153" s="8"/>
      <c r="AX153" s="8"/>
      <c r="AY153" s="8"/>
      <c r="AZ153" s="8"/>
      <c r="BA153" s="8"/>
      <c r="BB153" s="8"/>
    </row>
    <row r="155" spans="1:54" x14ac:dyDescent="0.3">
      <c r="A155" s="76"/>
      <c r="AA155" s="8"/>
      <c r="AB155" s="8"/>
      <c r="AC155" s="8"/>
      <c r="AD155" s="8"/>
      <c r="AE155" s="8"/>
      <c r="AH155" s="8"/>
      <c r="AI155" s="8"/>
      <c r="AJ155" s="8"/>
      <c r="AK155" s="8"/>
      <c r="AL155" s="8"/>
      <c r="AM155" s="8"/>
      <c r="AN155" s="8"/>
      <c r="AO155" s="8"/>
      <c r="AP155" s="8"/>
      <c r="AQ155" s="8"/>
      <c r="AR155" s="8"/>
      <c r="AS155" s="8"/>
      <c r="AT155" s="8"/>
      <c r="AU155" s="8"/>
      <c r="AV155" s="8"/>
      <c r="AW155" s="8"/>
      <c r="AX155" s="8"/>
      <c r="AY155" s="8"/>
      <c r="AZ155" s="8"/>
      <c r="BA155" s="8"/>
      <c r="BB155" s="8"/>
    </row>
    <row r="157" spans="1:54" x14ac:dyDescent="0.3">
      <c r="A157" s="76"/>
      <c r="AA157" s="8"/>
      <c r="AB157" s="8"/>
      <c r="AC157" s="8"/>
      <c r="AD157" s="8"/>
      <c r="AE157" s="8"/>
      <c r="AH157" s="8"/>
      <c r="AI157" s="8"/>
      <c r="AJ157" s="8"/>
      <c r="AK157" s="8"/>
      <c r="AL157" s="8"/>
      <c r="AM157" s="8"/>
      <c r="AN157" s="8"/>
      <c r="AO157" s="8"/>
      <c r="AP157" s="8"/>
      <c r="AQ157" s="8"/>
      <c r="AR157" s="8"/>
      <c r="AS157" s="8"/>
      <c r="AT157" s="8"/>
      <c r="AU157" s="8"/>
      <c r="AV157" s="8"/>
      <c r="AW157" s="8"/>
      <c r="AX157" s="8"/>
      <c r="AY157" s="8"/>
      <c r="AZ157" s="8"/>
      <c r="BA157" s="8"/>
      <c r="BB157" s="8"/>
    </row>
    <row r="159" spans="1:54" x14ac:dyDescent="0.3">
      <c r="A159" s="76"/>
      <c r="AA159" s="8"/>
      <c r="AB159" s="8"/>
      <c r="AC159" s="8"/>
      <c r="AD159" s="8"/>
      <c r="AE159" s="8"/>
      <c r="AH159" s="8"/>
      <c r="AI159" s="8"/>
      <c r="AJ159" s="8"/>
      <c r="AK159" s="8"/>
      <c r="AL159" s="8"/>
      <c r="AM159" s="8"/>
      <c r="AN159" s="8"/>
      <c r="AO159" s="8"/>
      <c r="AP159" s="8"/>
      <c r="AQ159" s="8"/>
      <c r="AR159" s="8"/>
      <c r="AS159" s="8"/>
      <c r="AT159" s="8"/>
      <c r="AU159" s="8"/>
      <c r="AV159" s="8"/>
      <c r="AW159" s="8"/>
      <c r="AX159" s="8"/>
      <c r="AY159" s="8"/>
      <c r="AZ159" s="8"/>
      <c r="BA159" s="8"/>
      <c r="BB159" s="8"/>
    </row>
    <row r="160" spans="1:54" x14ac:dyDescent="0.3">
      <c r="M160" s="18"/>
    </row>
    <row r="161" spans="1:54" x14ac:dyDescent="0.3">
      <c r="A161" s="76"/>
      <c r="AA161" s="8"/>
      <c r="AB161" s="8"/>
      <c r="AC161" s="8"/>
      <c r="AD161" s="8"/>
      <c r="AE161" s="8"/>
      <c r="AH161" s="8"/>
      <c r="AI161" s="8"/>
      <c r="AJ161" s="8"/>
      <c r="AK161" s="8"/>
      <c r="AL161" s="8"/>
      <c r="AM161" s="8"/>
      <c r="AN161" s="8"/>
      <c r="AO161" s="8"/>
      <c r="AP161" s="8"/>
      <c r="AQ161" s="8"/>
      <c r="AR161" s="8"/>
      <c r="AS161" s="8"/>
      <c r="AT161" s="8"/>
      <c r="AU161" s="8"/>
      <c r="AV161" s="8"/>
      <c r="AW161" s="8"/>
      <c r="AX161" s="8"/>
      <c r="AY161" s="8"/>
      <c r="AZ161" s="8"/>
      <c r="BA161" s="8"/>
      <c r="BB161" s="8"/>
    </row>
    <row r="162" spans="1:54" x14ac:dyDescent="0.3">
      <c r="M162" s="18"/>
    </row>
    <row r="163" spans="1:54" x14ac:dyDescent="0.3">
      <c r="A163" s="76"/>
      <c r="AA163" s="8"/>
      <c r="AB163" s="8"/>
      <c r="AC163" s="8"/>
      <c r="AD163" s="8"/>
      <c r="AE163" s="8"/>
      <c r="AH163" s="8"/>
      <c r="AI163" s="8"/>
      <c r="AJ163" s="8"/>
      <c r="AK163" s="8"/>
      <c r="AL163" s="8"/>
      <c r="AM163" s="8"/>
      <c r="AN163" s="8"/>
      <c r="AO163" s="8"/>
      <c r="AP163" s="8"/>
      <c r="AQ163" s="8"/>
      <c r="AR163" s="8"/>
      <c r="AS163" s="8"/>
      <c r="AT163" s="8"/>
      <c r="AU163" s="8"/>
      <c r="AV163" s="8"/>
      <c r="AW163" s="8"/>
      <c r="AX163" s="8"/>
      <c r="AY163" s="8"/>
      <c r="AZ163" s="8"/>
      <c r="BA163" s="8"/>
      <c r="BB163" s="8"/>
    </row>
    <row r="165" spans="1:54" x14ac:dyDescent="0.3">
      <c r="A165" s="76"/>
      <c r="AA165" s="8"/>
      <c r="AB165" s="8"/>
      <c r="AC165" s="8"/>
      <c r="AD165" s="8"/>
      <c r="AE165" s="8"/>
      <c r="AH165" s="8"/>
      <c r="AI165" s="8"/>
      <c r="AJ165" s="8"/>
      <c r="AK165" s="8"/>
      <c r="AL165" s="8"/>
      <c r="AM165" s="8"/>
      <c r="AN165" s="8"/>
      <c r="AO165" s="8"/>
      <c r="AP165" s="8"/>
      <c r="AQ165" s="8"/>
      <c r="AR165" s="8"/>
      <c r="AS165" s="8"/>
      <c r="AT165" s="8"/>
      <c r="AU165" s="8"/>
      <c r="AV165" s="8"/>
      <c r="AW165" s="8"/>
      <c r="AX165" s="8"/>
      <c r="AY165" s="8"/>
      <c r="AZ165" s="8"/>
      <c r="BA165" s="8"/>
      <c r="BB165" s="8"/>
    </row>
    <row r="167" spans="1:54" x14ac:dyDescent="0.3">
      <c r="A167" s="76"/>
      <c r="AA167" s="8"/>
      <c r="AB167" s="8"/>
      <c r="AC167" s="8"/>
      <c r="AD167" s="8"/>
      <c r="AE167" s="8"/>
      <c r="AH167" s="8"/>
      <c r="AI167" s="8"/>
      <c r="AJ167" s="8"/>
      <c r="AK167" s="8"/>
      <c r="AL167" s="8"/>
      <c r="AM167" s="8"/>
      <c r="AN167" s="8"/>
      <c r="AO167" s="8"/>
      <c r="AP167" s="8"/>
      <c r="AQ167" s="8"/>
      <c r="AR167" s="8"/>
      <c r="AS167" s="8"/>
      <c r="AT167" s="8"/>
      <c r="AU167" s="8"/>
      <c r="AV167" s="8"/>
      <c r="AW167" s="8"/>
      <c r="AX167" s="8"/>
      <c r="AY167" s="8"/>
      <c r="AZ167" s="8"/>
      <c r="BA167" s="8"/>
      <c r="BB167" s="8"/>
    </row>
    <row r="169" spans="1:54" x14ac:dyDescent="0.3">
      <c r="A169" s="76"/>
      <c r="AA169" s="8"/>
      <c r="AB169" s="8"/>
      <c r="AC169" s="8"/>
      <c r="AD169" s="8"/>
      <c r="AE169" s="8"/>
      <c r="AH169" s="8"/>
      <c r="AI169" s="8"/>
      <c r="AJ169" s="8"/>
      <c r="AK169" s="8"/>
      <c r="AL169" s="8"/>
      <c r="AM169" s="8"/>
      <c r="AN169" s="8"/>
      <c r="AO169" s="8"/>
      <c r="AP169" s="8"/>
      <c r="AQ169" s="8"/>
      <c r="AR169" s="8"/>
      <c r="AS169" s="8"/>
      <c r="AT169" s="8"/>
      <c r="AU169" s="8"/>
      <c r="AV169" s="8"/>
      <c r="AW169" s="8"/>
      <c r="AX169" s="8"/>
      <c r="AY169" s="8"/>
      <c r="AZ169" s="8"/>
      <c r="BA169" s="8"/>
      <c r="BB169" s="8"/>
    </row>
    <row r="171" spans="1:54" x14ac:dyDescent="0.3">
      <c r="A171" s="76"/>
      <c r="AA171" s="8"/>
      <c r="AB171" s="8"/>
      <c r="AC171" s="8"/>
      <c r="AD171" s="8"/>
      <c r="AE171" s="8"/>
      <c r="AH171" s="8"/>
      <c r="AI171" s="8"/>
      <c r="AJ171" s="8"/>
      <c r="AK171" s="8"/>
      <c r="AL171" s="8"/>
      <c r="AM171" s="8"/>
      <c r="AN171" s="8"/>
      <c r="AO171" s="8"/>
      <c r="AP171" s="8"/>
      <c r="AQ171" s="8"/>
      <c r="AR171" s="8"/>
      <c r="AS171" s="8"/>
      <c r="AT171" s="8"/>
      <c r="AU171" s="8"/>
      <c r="AV171" s="8"/>
      <c r="AW171" s="8"/>
      <c r="AX171" s="8"/>
      <c r="AY171" s="8"/>
      <c r="AZ171" s="8"/>
      <c r="BA171" s="8"/>
      <c r="BB171" s="8"/>
    </row>
    <row r="173" spans="1:54" x14ac:dyDescent="0.3">
      <c r="A173" s="76"/>
      <c r="AA173" s="8"/>
      <c r="AB173" s="8"/>
      <c r="AC173" s="8"/>
      <c r="AD173" s="8"/>
      <c r="AE173" s="8"/>
      <c r="AH173" s="8"/>
      <c r="AI173" s="8"/>
      <c r="AJ173" s="8"/>
      <c r="AK173" s="8"/>
      <c r="AL173" s="8"/>
      <c r="AM173" s="8"/>
      <c r="AN173" s="8"/>
      <c r="AO173" s="8"/>
      <c r="AP173" s="8"/>
      <c r="AQ173" s="8"/>
      <c r="AR173" s="8"/>
      <c r="AS173" s="8"/>
      <c r="AT173" s="8"/>
      <c r="AU173" s="8"/>
      <c r="AV173" s="8"/>
      <c r="AW173" s="8"/>
      <c r="AX173" s="8"/>
      <c r="AY173" s="8"/>
      <c r="AZ173" s="8"/>
      <c r="BA173" s="8"/>
      <c r="BB173" s="8"/>
    </row>
    <row r="175" spans="1:54" x14ac:dyDescent="0.3">
      <c r="A175" s="76"/>
      <c r="AA175" s="8"/>
      <c r="AB175" s="8"/>
      <c r="AC175" s="8"/>
      <c r="AD175" s="8"/>
      <c r="AE175" s="8"/>
      <c r="AH175" s="8"/>
      <c r="AI175" s="8"/>
      <c r="AJ175" s="8"/>
      <c r="AK175" s="8"/>
      <c r="AL175" s="8"/>
      <c r="AM175" s="8"/>
      <c r="AN175" s="8"/>
      <c r="AO175" s="8"/>
      <c r="AP175" s="8"/>
      <c r="AQ175" s="8"/>
      <c r="AR175" s="8"/>
      <c r="AS175" s="8"/>
      <c r="AT175" s="8"/>
      <c r="AU175" s="8"/>
      <c r="AV175" s="8"/>
      <c r="AW175" s="8"/>
      <c r="AX175" s="8"/>
      <c r="AY175" s="8"/>
      <c r="AZ175" s="8"/>
      <c r="BA175" s="8"/>
      <c r="BB175" s="8"/>
    </row>
    <row r="177" spans="1:54" x14ac:dyDescent="0.3">
      <c r="A177" s="76"/>
      <c r="AA177" s="8"/>
      <c r="AB177" s="8"/>
      <c r="AC177" s="8"/>
      <c r="AD177" s="8"/>
      <c r="AE177" s="8"/>
      <c r="AH177" s="8"/>
      <c r="AI177" s="8"/>
      <c r="AJ177" s="8"/>
      <c r="AK177" s="8"/>
      <c r="AL177" s="8"/>
      <c r="AM177" s="8"/>
      <c r="AN177" s="8"/>
      <c r="AO177" s="8"/>
      <c r="AP177" s="8"/>
      <c r="AQ177" s="8"/>
      <c r="AR177" s="8"/>
      <c r="AS177" s="8"/>
      <c r="AT177" s="8"/>
      <c r="AU177" s="8"/>
      <c r="AV177" s="8"/>
      <c r="AW177" s="8"/>
      <c r="AX177" s="8"/>
      <c r="AY177" s="8"/>
      <c r="AZ177" s="8"/>
      <c r="BA177" s="8"/>
      <c r="BB177" s="8"/>
    </row>
    <row r="179" spans="1:54" x14ac:dyDescent="0.3">
      <c r="A179" s="76"/>
      <c r="AA179" s="8"/>
      <c r="AB179" s="8"/>
      <c r="AC179" s="8"/>
      <c r="AD179" s="8"/>
      <c r="AE179" s="8"/>
      <c r="AH179" s="8"/>
      <c r="AI179" s="8"/>
      <c r="AJ179" s="8"/>
      <c r="AK179" s="8"/>
      <c r="AL179" s="8"/>
      <c r="AM179" s="8"/>
      <c r="AN179" s="8"/>
      <c r="AO179" s="8"/>
      <c r="AP179" s="8"/>
      <c r="AQ179" s="8"/>
      <c r="AR179" s="8"/>
      <c r="AS179" s="8"/>
      <c r="AT179" s="8"/>
      <c r="AU179" s="8"/>
      <c r="AV179" s="8"/>
      <c r="AW179" s="8"/>
      <c r="AX179" s="8"/>
      <c r="AY179" s="8"/>
      <c r="AZ179" s="8"/>
      <c r="BA179" s="8"/>
      <c r="BB179" s="8"/>
    </row>
    <row r="181" spans="1:54" x14ac:dyDescent="0.3">
      <c r="A181" s="76"/>
      <c r="AA181" s="8"/>
      <c r="AB181" s="8"/>
      <c r="AC181" s="8"/>
      <c r="AD181" s="8"/>
      <c r="AE181" s="8"/>
      <c r="AH181" s="8"/>
      <c r="AI181" s="8"/>
      <c r="AJ181" s="8"/>
      <c r="AK181" s="8"/>
      <c r="AL181" s="8"/>
      <c r="AM181" s="8"/>
      <c r="AN181" s="8"/>
      <c r="AO181" s="8"/>
      <c r="AP181" s="8"/>
      <c r="AQ181" s="8"/>
      <c r="AR181" s="8"/>
      <c r="AS181" s="8"/>
      <c r="AT181" s="8"/>
      <c r="AU181" s="8"/>
      <c r="AV181" s="8"/>
      <c r="AW181" s="8"/>
      <c r="AX181" s="8"/>
      <c r="AY181" s="8"/>
      <c r="AZ181" s="8"/>
      <c r="BA181" s="8"/>
      <c r="BB181" s="8"/>
    </row>
    <row r="183" spans="1:54" x14ac:dyDescent="0.3">
      <c r="A183" s="76"/>
      <c r="AA183" s="8"/>
      <c r="AB183" s="8"/>
      <c r="AC183" s="8"/>
      <c r="AD183" s="8"/>
      <c r="AE183" s="8"/>
      <c r="AH183" s="8"/>
      <c r="AI183" s="8"/>
      <c r="AJ183" s="8"/>
      <c r="AK183" s="8"/>
      <c r="AL183" s="8"/>
      <c r="AM183" s="8"/>
      <c r="AN183" s="8"/>
      <c r="AO183" s="8"/>
      <c r="AP183" s="8"/>
      <c r="AQ183" s="8"/>
      <c r="AR183" s="8"/>
      <c r="AS183" s="8"/>
      <c r="AT183" s="8"/>
      <c r="AU183" s="8"/>
      <c r="AV183" s="8"/>
      <c r="AW183" s="8"/>
      <c r="AX183" s="8"/>
      <c r="AY183" s="8"/>
      <c r="AZ183" s="8"/>
      <c r="BA183" s="8"/>
      <c r="BB183" s="8"/>
    </row>
    <row r="185" spans="1:54" x14ac:dyDescent="0.3">
      <c r="A185" s="76"/>
      <c r="AA185" s="8"/>
      <c r="AB185" s="8"/>
      <c r="AC185" s="8"/>
      <c r="AD185" s="8"/>
      <c r="AE185" s="8"/>
      <c r="AH185" s="8"/>
      <c r="AI185" s="8"/>
      <c r="AJ185" s="8"/>
      <c r="AK185" s="8"/>
      <c r="AL185" s="8"/>
      <c r="AM185" s="8"/>
      <c r="AN185" s="8"/>
      <c r="AO185" s="8"/>
      <c r="AP185" s="8"/>
      <c r="AQ185" s="8"/>
      <c r="AR185" s="8"/>
      <c r="AS185" s="8"/>
      <c r="AT185" s="8"/>
      <c r="AU185" s="8"/>
      <c r="AV185" s="8"/>
      <c r="AW185" s="8"/>
      <c r="AX185" s="8"/>
      <c r="AY185" s="8"/>
      <c r="AZ185" s="8"/>
      <c r="BA185" s="8"/>
      <c r="BB185" s="8"/>
    </row>
    <row r="187" spans="1:54" x14ac:dyDescent="0.3">
      <c r="A187" s="76"/>
      <c r="AA187" s="8"/>
      <c r="AB187" s="8"/>
      <c r="AC187" s="8"/>
      <c r="AD187" s="8"/>
      <c r="AE187" s="8"/>
      <c r="AH187" s="8"/>
      <c r="AI187" s="8"/>
      <c r="AJ187" s="8"/>
      <c r="AK187" s="8"/>
      <c r="AL187" s="8"/>
      <c r="AM187" s="8"/>
      <c r="AN187" s="8"/>
      <c r="AO187" s="8"/>
      <c r="AP187" s="8"/>
      <c r="AQ187" s="8"/>
      <c r="AR187" s="8"/>
      <c r="AS187" s="8"/>
      <c r="AT187" s="8"/>
      <c r="AU187" s="8"/>
      <c r="AV187" s="8"/>
      <c r="AW187" s="8"/>
      <c r="AX187" s="8"/>
      <c r="AY187" s="8"/>
      <c r="AZ187" s="8"/>
      <c r="BA187" s="8"/>
      <c r="BB187" s="8"/>
    </row>
    <row r="189" spans="1:54" x14ac:dyDescent="0.3">
      <c r="A189" s="76"/>
      <c r="AA189" s="8"/>
      <c r="AB189" s="8"/>
      <c r="AC189" s="8"/>
      <c r="AD189" s="8"/>
      <c r="AE189" s="8"/>
      <c r="AH189" s="8"/>
      <c r="AI189" s="8"/>
      <c r="AJ189" s="8"/>
      <c r="AK189" s="8"/>
      <c r="AL189" s="8"/>
      <c r="AM189" s="8"/>
      <c r="AN189" s="8"/>
      <c r="AO189" s="8"/>
      <c r="AP189" s="8"/>
      <c r="AQ189" s="8"/>
      <c r="AR189" s="8"/>
      <c r="AS189" s="8"/>
      <c r="AT189" s="8"/>
      <c r="AU189" s="8"/>
      <c r="AV189" s="8"/>
      <c r="AW189" s="8"/>
      <c r="AX189" s="8"/>
      <c r="AY189" s="8"/>
      <c r="AZ189" s="8"/>
      <c r="BA189" s="8"/>
      <c r="BB189" s="8"/>
    </row>
    <row r="191" spans="1:54" x14ac:dyDescent="0.3">
      <c r="A191" s="76"/>
      <c r="AA191" s="8"/>
      <c r="AB191" s="8"/>
      <c r="AC191" s="8"/>
      <c r="AD191" s="8"/>
      <c r="AE191" s="8"/>
      <c r="AH191" s="8"/>
      <c r="AI191" s="8"/>
      <c r="AJ191" s="8"/>
      <c r="AK191" s="8"/>
      <c r="AL191" s="8"/>
      <c r="AM191" s="8"/>
      <c r="AN191" s="8"/>
      <c r="AO191" s="8"/>
      <c r="AP191" s="8"/>
      <c r="AQ191" s="8"/>
      <c r="AR191" s="8"/>
      <c r="AS191" s="8"/>
      <c r="AT191" s="8"/>
      <c r="AU191" s="8"/>
      <c r="AV191" s="8"/>
      <c r="AW191" s="8"/>
      <c r="AX191" s="8"/>
      <c r="AY191" s="8"/>
      <c r="AZ191" s="8"/>
      <c r="BA191" s="8"/>
      <c r="BB191" s="8"/>
    </row>
    <row r="193" spans="1:54" x14ac:dyDescent="0.3">
      <c r="A193" s="76"/>
      <c r="AA193" s="8"/>
      <c r="AB193" s="8"/>
      <c r="AC193" s="8"/>
      <c r="AD193" s="8"/>
      <c r="AE193" s="8"/>
      <c r="AH193" s="8"/>
      <c r="AI193" s="8"/>
      <c r="AJ193" s="8"/>
      <c r="AK193" s="8"/>
      <c r="AL193" s="8"/>
      <c r="AM193" s="8"/>
      <c r="AN193" s="8"/>
      <c r="AO193" s="8"/>
      <c r="AP193" s="8"/>
      <c r="AQ193" s="8"/>
      <c r="AR193" s="8"/>
      <c r="AS193" s="8"/>
      <c r="AT193" s="8"/>
      <c r="AU193" s="8"/>
      <c r="AV193" s="8"/>
      <c r="AW193" s="8"/>
      <c r="AX193" s="8"/>
      <c r="AY193" s="8"/>
      <c r="AZ193" s="8"/>
      <c r="BA193" s="8"/>
      <c r="BB193" s="8"/>
    </row>
    <row r="195" spans="1:54" x14ac:dyDescent="0.3">
      <c r="A195" s="76"/>
      <c r="AA195" s="8"/>
      <c r="AB195" s="8"/>
      <c r="AC195" s="8"/>
      <c r="AD195" s="8"/>
      <c r="AE195" s="8"/>
      <c r="AH195" s="8"/>
      <c r="AI195" s="8"/>
      <c r="AJ195" s="8"/>
      <c r="AK195" s="8"/>
      <c r="AL195" s="8"/>
      <c r="AM195" s="8"/>
      <c r="AN195" s="8"/>
      <c r="AO195" s="8"/>
      <c r="AP195" s="8"/>
      <c r="AQ195" s="8"/>
      <c r="AR195" s="8"/>
      <c r="AS195" s="8"/>
      <c r="AT195" s="8"/>
      <c r="AU195" s="8"/>
      <c r="AV195" s="8"/>
      <c r="AW195" s="8"/>
      <c r="AX195" s="8"/>
      <c r="AY195" s="8"/>
      <c r="AZ195" s="8"/>
      <c r="BA195" s="8"/>
      <c r="BB195" s="8"/>
    </row>
    <row r="197" spans="1:54" x14ac:dyDescent="0.3">
      <c r="A197" s="76"/>
      <c r="AA197" s="8"/>
      <c r="AB197" s="8"/>
      <c r="AC197" s="8"/>
      <c r="AD197" s="8"/>
      <c r="AE197" s="8"/>
      <c r="AH197" s="8"/>
      <c r="AI197" s="8"/>
      <c r="AJ197" s="8"/>
      <c r="AK197" s="8"/>
      <c r="AL197" s="8"/>
      <c r="AM197" s="8"/>
      <c r="AN197" s="8"/>
      <c r="AO197" s="8"/>
      <c r="AP197" s="8"/>
      <c r="AQ197" s="8"/>
      <c r="AR197" s="8"/>
      <c r="AS197" s="8"/>
      <c r="AT197" s="8"/>
      <c r="AU197" s="8"/>
      <c r="AV197" s="8"/>
      <c r="AW197" s="8"/>
      <c r="AX197" s="8"/>
      <c r="AY197" s="8"/>
      <c r="AZ197" s="8"/>
      <c r="BA197" s="8"/>
      <c r="BB197" s="8"/>
    </row>
    <row r="199" spans="1:54" x14ac:dyDescent="0.3">
      <c r="A199" s="76"/>
      <c r="AA199" s="8"/>
      <c r="AB199" s="8"/>
      <c r="AC199" s="8"/>
      <c r="AD199" s="8"/>
      <c r="AE199" s="8"/>
      <c r="AH199" s="8"/>
      <c r="AI199" s="8"/>
      <c r="AJ199" s="8"/>
      <c r="AK199" s="8"/>
      <c r="AL199" s="8"/>
      <c r="AM199" s="8"/>
      <c r="AN199" s="8"/>
      <c r="AO199" s="8"/>
      <c r="AP199" s="8"/>
      <c r="AQ199" s="8"/>
      <c r="AR199" s="8"/>
      <c r="AS199" s="8"/>
      <c r="AT199" s="8"/>
      <c r="AU199" s="8"/>
      <c r="AV199" s="8"/>
      <c r="AW199" s="8"/>
      <c r="AX199" s="8"/>
      <c r="AY199" s="8"/>
      <c r="AZ199" s="8"/>
      <c r="BA199" s="8"/>
      <c r="BB199" s="8"/>
    </row>
    <row r="201" spans="1:54" x14ac:dyDescent="0.3">
      <c r="A201" s="76"/>
      <c r="AA201" s="8"/>
      <c r="AB201" s="8"/>
      <c r="AC201" s="8"/>
      <c r="AD201" s="8"/>
      <c r="AE201" s="8"/>
      <c r="AH201" s="8"/>
      <c r="AI201" s="8"/>
      <c r="AJ201" s="8"/>
      <c r="AK201" s="8"/>
      <c r="AL201" s="8"/>
      <c r="AM201" s="8"/>
      <c r="AN201" s="8"/>
      <c r="AO201" s="8"/>
      <c r="AP201" s="8"/>
      <c r="AQ201" s="8"/>
      <c r="AR201" s="8"/>
      <c r="AS201" s="8"/>
      <c r="AT201" s="8"/>
      <c r="AU201" s="8"/>
      <c r="AV201" s="8"/>
      <c r="AW201" s="8"/>
      <c r="AX201" s="8"/>
      <c r="AY201" s="8"/>
      <c r="AZ201" s="8"/>
      <c r="BA201" s="8"/>
      <c r="BB201" s="8"/>
    </row>
    <row r="203" spans="1:54" x14ac:dyDescent="0.3">
      <c r="A203" s="76"/>
      <c r="AA203" s="8"/>
      <c r="AB203" s="8"/>
      <c r="AC203" s="8"/>
      <c r="AD203" s="8"/>
      <c r="AE203" s="8"/>
      <c r="AH203" s="8"/>
      <c r="AI203" s="8"/>
      <c r="AJ203" s="8"/>
      <c r="AK203" s="8"/>
      <c r="AL203" s="8"/>
      <c r="AM203" s="8"/>
      <c r="AN203" s="8"/>
      <c r="AO203" s="8"/>
      <c r="AP203" s="8"/>
      <c r="AQ203" s="8"/>
      <c r="AR203" s="8"/>
      <c r="AS203" s="8"/>
      <c r="AT203" s="8"/>
      <c r="AU203" s="8"/>
      <c r="AV203" s="8"/>
      <c r="AW203" s="8"/>
      <c r="AX203" s="8"/>
      <c r="AY203" s="8"/>
      <c r="AZ203" s="8"/>
      <c r="BA203" s="8"/>
      <c r="BB203" s="8"/>
    </row>
    <row r="205" spans="1:54" x14ac:dyDescent="0.3">
      <c r="A205" s="76"/>
      <c r="AA205" s="8"/>
      <c r="AB205" s="8"/>
      <c r="AC205" s="8"/>
      <c r="AD205" s="8"/>
      <c r="AE205" s="8"/>
      <c r="AH205" s="8"/>
      <c r="AI205" s="8"/>
      <c r="AJ205" s="8"/>
      <c r="AK205" s="8"/>
      <c r="AL205" s="8"/>
      <c r="AM205" s="8"/>
      <c r="AN205" s="8"/>
      <c r="AO205" s="8"/>
      <c r="AP205" s="8"/>
      <c r="AQ205" s="8"/>
      <c r="AR205" s="8"/>
      <c r="AS205" s="8"/>
      <c r="AT205" s="8"/>
      <c r="AU205" s="8"/>
      <c r="AV205" s="8"/>
      <c r="AW205" s="8"/>
      <c r="AX205" s="8"/>
      <c r="AY205" s="8"/>
      <c r="AZ205" s="8"/>
      <c r="BA205" s="8"/>
      <c r="BB205" s="8"/>
    </row>
    <row r="207" spans="1:54" x14ac:dyDescent="0.3">
      <c r="A207" s="76"/>
      <c r="AA207" s="8"/>
      <c r="AB207" s="8"/>
      <c r="AC207" s="8"/>
      <c r="AD207" s="8"/>
      <c r="AE207" s="8"/>
      <c r="AH207" s="8"/>
      <c r="AI207" s="8"/>
      <c r="AJ207" s="8"/>
      <c r="AK207" s="8"/>
      <c r="AL207" s="8"/>
      <c r="AM207" s="8"/>
      <c r="AN207" s="8"/>
      <c r="AO207" s="8"/>
      <c r="AP207" s="8"/>
      <c r="AQ207" s="8"/>
      <c r="AR207" s="8"/>
      <c r="AS207" s="8"/>
      <c r="AT207" s="8"/>
      <c r="AU207" s="8"/>
      <c r="AV207" s="8"/>
      <c r="AW207" s="8"/>
      <c r="AX207" s="8"/>
      <c r="AY207" s="8"/>
      <c r="AZ207" s="8"/>
      <c r="BA207" s="8"/>
      <c r="BB207" s="8"/>
    </row>
    <row r="209" spans="1:54" x14ac:dyDescent="0.3">
      <c r="A209" s="76"/>
      <c r="AA209" s="8"/>
      <c r="AB209" s="8"/>
      <c r="AC209" s="8"/>
      <c r="AD209" s="8"/>
      <c r="AE209" s="8"/>
      <c r="AH209" s="8"/>
      <c r="AI209" s="8"/>
      <c r="AJ209" s="8"/>
      <c r="AK209" s="8"/>
      <c r="AL209" s="8"/>
      <c r="AM209" s="8"/>
      <c r="AN209" s="8"/>
      <c r="AO209" s="8"/>
      <c r="AP209" s="8"/>
      <c r="AQ209" s="8"/>
      <c r="AR209" s="8"/>
      <c r="AS209" s="8"/>
      <c r="AT209" s="8"/>
      <c r="AU209" s="8"/>
      <c r="AV209" s="8"/>
      <c r="AW209" s="8"/>
      <c r="AX209" s="8"/>
      <c r="AY209" s="8"/>
      <c r="AZ209" s="8"/>
      <c r="BA209" s="8"/>
      <c r="BB209" s="8"/>
    </row>
    <row r="211" spans="1:54" x14ac:dyDescent="0.3">
      <c r="A211" s="76"/>
      <c r="AA211" s="8"/>
      <c r="AB211" s="8"/>
      <c r="AC211" s="8"/>
      <c r="AD211" s="8"/>
      <c r="AE211" s="8"/>
      <c r="AH211" s="8"/>
      <c r="AI211" s="8"/>
      <c r="AJ211" s="8"/>
      <c r="AK211" s="8"/>
      <c r="AL211" s="8"/>
      <c r="AM211" s="8"/>
      <c r="AN211" s="8"/>
      <c r="AO211" s="8"/>
      <c r="AP211" s="8"/>
      <c r="AQ211" s="8"/>
      <c r="AR211" s="8"/>
      <c r="AS211" s="8"/>
      <c r="AT211" s="8"/>
      <c r="AU211" s="8"/>
      <c r="AV211" s="8"/>
      <c r="AW211" s="8"/>
      <c r="AX211" s="8"/>
      <c r="AY211" s="8"/>
      <c r="AZ211" s="8"/>
      <c r="BA211" s="8"/>
      <c r="BB211" s="8"/>
    </row>
    <row r="213" spans="1:54" x14ac:dyDescent="0.3">
      <c r="A213" s="76"/>
      <c r="AA213" s="8"/>
      <c r="AB213" s="8"/>
      <c r="AC213" s="8"/>
      <c r="AD213" s="8"/>
      <c r="AE213" s="8"/>
      <c r="AH213" s="8"/>
      <c r="AI213" s="8"/>
      <c r="AJ213" s="8"/>
      <c r="AK213" s="8"/>
      <c r="AL213" s="8"/>
      <c r="AM213" s="8"/>
      <c r="AN213" s="8"/>
      <c r="AO213" s="8"/>
      <c r="AP213" s="8"/>
      <c r="AQ213" s="8"/>
      <c r="AR213" s="8"/>
      <c r="AS213" s="8"/>
      <c r="AT213" s="8"/>
      <c r="AU213" s="8"/>
      <c r="AV213" s="8"/>
      <c r="AW213" s="8"/>
      <c r="AX213" s="8"/>
      <c r="AY213" s="8"/>
      <c r="AZ213" s="8"/>
      <c r="BA213" s="8"/>
      <c r="BB213" s="8"/>
    </row>
    <row r="215" spans="1:54" x14ac:dyDescent="0.3">
      <c r="A215" s="76"/>
      <c r="AA215" s="8"/>
      <c r="AB215" s="8"/>
      <c r="AC215" s="8"/>
      <c r="AD215" s="8"/>
      <c r="AE215" s="8"/>
      <c r="AH215" s="8"/>
      <c r="AI215" s="8"/>
      <c r="AJ215" s="8"/>
      <c r="AK215" s="8"/>
      <c r="AL215" s="8"/>
      <c r="AM215" s="8"/>
      <c r="AN215" s="8"/>
      <c r="AO215" s="8"/>
      <c r="AP215" s="8"/>
      <c r="AQ215" s="8"/>
      <c r="AR215" s="8"/>
      <c r="AS215" s="8"/>
      <c r="AT215" s="8"/>
      <c r="AU215" s="8"/>
      <c r="AV215" s="8"/>
      <c r="AW215" s="8"/>
      <c r="AX215" s="8"/>
      <c r="AY215" s="8"/>
      <c r="AZ215" s="8"/>
      <c r="BA215" s="8"/>
      <c r="BB215" s="8"/>
    </row>
    <row r="217" spans="1:54" x14ac:dyDescent="0.3">
      <c r="A217" s="76"/>
      <c r="AA217" s="8"/>
      <c r="AB217" s="8"/>
      <c r="AC217" s="8"/>
      <c r="AD217" s="8"/>
      <c r="AE217" s="8"/>
      <c r="AH217" s="8"/>
      <c r="AI217" s="8"/>
      <c r="AJ217" s="8"/>
      <c r="AK217" s="8"/>
      <c r="AL217" s="8"/>
      <c r="AM217" s="8"/>
      <c r="AN217" s="8"/>
      <c r="AO217" s="8"/>
      <c r="AP217" s="8"/>
      <c r="AQ217" s="8"/>
      <c r="AR217" s="8"/>
      <c r="AS217" s="8"/>
      <c r="AT217" s="8"/>
      <c r="AU217" s="8"/>
      <c r="AV217" s="8"/>
      <c r="AW217" s="8"/>
      <c r="AX217" s="8"/>
      <c r="AY217" s="8"/>
      <c r="AZ217" s="8"/>
      <c r="BA217" s="8"/>
      <c r="BB217" s="8"/>
    </row>
    <row r="219" spans="1:54" x14ac:dyDescent="0.3">
      <c r="A219" s="76"/>
      <c r="AA219" s="8"/>
      <c r="AB219" s="8"/>
      <c r="AC219" s="8"/>
      <c r="AD219" s="8"/>
      <c r="AE219" s="8"/>
      <c r="AH219" s="8"/>
      <c r="AI219" s="8"/>
      <c r="AJ219" s="8"/>
      <c r="AK219" s="8"/>
      <c r="AL219" s="8"/>
      <c r="AM219" s="8"/>
      <c r="AN219" s="8"/>
      <c r="AO219" s="8"/>
      <c r="AP219" s="8"/>
      <c r="AQ219" s="8"/>
      <c r="AR219" s="8"/>
      <c r="AS219" s="8"/>
      <c r="AT219" s="8"/>
      <c r="AU219" s="8"/>
      <c r="AV219" s="8"/>
      <c r="AW219" s="8"/>
      <c r="AX219" s="8"/>
      <c r="AY219" s="8"/>
      <c r="AZ219" s="8"/>
      <c r="BA219" s="8"/>
      <c r="BB219" s="8"/>
    </row>
    <row r="221" spans="1:54" x14ac:dyDescent="0.3">
      <c r="A221" s="76"/>
      <c r="AA221" s="8"/>
      <c r="AB221" s="8"/>
      <c r="AC221" s="8"/>
      <c r="AD221" s="8"/>
      <c r="AE221" s="8"/>
      <c r="AH221" s="8"/>
      <c r="AI221" s="8"/>
      <c r="AJ221" s="8"/>
      <c r="AK221" s="8"/>
      <c r="AL221" s="8"/>
      <c r="AM221" s="8"/>
      <c r="AN221" s="8"/>
      <c r="AO221" s="8"/>
      <c r="AP221" s="8"/>
      <c r="AQ221" s="8"/>
      <c r="AR221" s="8"/>
      <c r="AS221" s="8"/>
      <c r="AT221" s="8"/>
      <c r="AU221" s="8"/>
      <c r="AV221" s="8"/>
      <c r="AW221" s="8"/>
      <c r="AX221" s="8"/>
      <c r="AY221" s="8"/>
      <c r="AZ221" s="8"/>
      <c r="BA221" s="8"/>
      <c r="BB221" s="8"/>
    </row>
    <row r="223" spans="1:54" x14ac:dyDescent="0.3">
      <c r="A223" s="76"/>
      <c r="AA223" s="8"/>
      <c r="AB223" s="8"/>
      <c r="AC223" s="8"/>
      <c r="AD223" s="8"/>
      <c r="AE223" s="8"/>
      <c r="AH223" s="8"/>
      <c r="AI223" s="8"/>
      <c r="AJ223" s="8"/>
      <c r="AK223" s="8"/>
      <c r="AL223" s="8"/>
      <c r="AM223" s="8"/>
      <c r="AN223" s="8"/>
      <c r="AO223" s="8"/>
      <c r="AP223" s="8"/>
      <c r="AQ223" s="8"/>
      <c r="AR223" s="8"/>
      <c r="AS223" s="8"/>
      <c r="AT223" s="8"/>
      <c r="AU223" s="8"/>
      <c r="AV223" s="8"/>
      <c r="AW223" s="8"/>
      <c r="AX223" s="8"/>
      <c r="AY223" s="8"/>
      <c r="AZ223" s="8"/>
      <c r="BA223" s="8"/>
      <c r="BB223" s="8"/>
    </row>
    <row r="225" spans="1:54" x14ac:dyDescent="0.3">
      <c r="A225" s="76"/>
      <c r="AA225" s="8"/>
      <c r="AB225" s="8"/>
      <c r="AC225" s="8"/>
      <c r="AD225" s="8"/>
      <c r="AE225" s="8"/>
      <c r="AH225" s="8"/>
      <c r="AI225" s="8"/>
      <c r="AJ225" s="8"/>
      <c r="AK225" s="8"/>
      <c r="AL225" s="8"/>
      <c r="AM225" s="8"/>
      <c r="AN225" s="8"/>
      <c r="AO225" s="8"/>
      <c r="AP225" s="8"/>
      <c r="AQ225" s="8"/>
      <c r="AR225" s="8"/>
      <c r="AS225" s="8"/>
      <c r="AT225" s="8"/>
      <c r="AU225" s="8"/>
      <c r="AV225" s="8"/>
      <c r="AW225" s="8"/>
      <c r="AX225" s="8"/>
      <c r="AY225" s="8"/>
      <c r="AZ225" s="8"/>
      <c r="BA225" s="8"/>
      <c r="BB225" s="8"/>
    </row>
    <row r="227" spans="1:54" x14ac:dyDescent="0.3">
      <c r="A227" s="76"/>
      <c r="AA227" s="8"/>
      <c r="AB227" s="8"/>
      <c r="AC227" s="8"/>
      <c r="AD227" s="8"/>
      <c r="AE227" s="8"/>
      <c r="AH227" s="8"/>
      <c r="AI227" s="8"/>
      <c r="AJ227" s="8"/>
      <c r="AK227" s="8"/>
      <c r="AL227" s="8"/>
      <c r="AM227" s="8"/>
      <c r="AN227" s="8"/>
      <c r="AO227" s="8"/>
      <c r="AP227" s="8"/>
      <c r="AQ227" s="8"/>
      <c r="AR227" s="8"/>
      <c r="AS227" s="8"/>
      <c r="AT227" s="8"/>
      <c r="AU227" s="8"/>
      <c r="AV227" s="8"/>
      <c r="AW227" s="8"/>
      <c r="AX227" s="8"/>
      <c r="AY227" s="8"/>
      <c r="AZ227" s="8"/>
      <c r="BA227" s="8"/>
      <c r="BB227" s="8"/>
    </row>
    <row r="229" spans="1:54" x14ac:dyDescent="0.3">
      <c r="A229" s="76"/>
      <c r="AA229" s="8"/>
      <c r="AB229" s="8"/>
      <c r="AC229" s="8"/>
      <c r="AD229" s="8"/>
      <c r="AE229" s="8"/>
      <c r="AH229" s="8"/>
      <c r="AI229" s="8"/>
      <c r="AJ229" s="8"/>
      <c r="AK229" s="8"/>
      <c r="AL229" s="8"/>
      <c r="AM229" s="8"/>
      <c r="AN229" s="8"/>
      <c r="AO229" s="8"/>
      <c r="AP229" s="8"/>
      <c r="AQ229" s="8"/>
      <c r="AR229" s="8"/>
      <c r="AS229" s="8"/>
      <c r="AT229" s="8"/>
      <c r="AU229" s="8"/>
      <c r="AV229" s="8"/>
      <c r="AW229" s="8"/>
      <c r="AX229" s="8"/>
      <c r="AY229" s="8"/>
      <c r="AZ229" s="8"/>
      <c r="BA229" s="8"/>
      <c r="BB229" s="8"/>
    </row>
    <row r="231" spans="1:54" x14ac:dyDescent="0.3">
      <c r="A231" s="76"/>
      <c r="AA231" s="8"/>
      <c r="AB231" s="8"/>
      <c r="AC231" s="8"/>
      <c r="AD231" s="8"/>
      <c r="AE231" s="8"/>
      <c r="AH231" s="8"/>
      <c r="AI231" s="8"/>
      <c r="AJ231" s="8"/>
      <c r="AK231" s="8"/>
      <c r="AL231" s="8"/>
      <c r="AM231" s="8"/>
      <c r="AN231" s="8"/>
      <c r="AO231" s="8"/>
      <c r="AP231" s="8"/>
      <c r="AQ231" s="8"/>
      <c r="AR231" s="8"/>
      <c r="AS231" s="8"/>
      <c r="AT231" s="8"/>
      <c r="AU231" s="8"/>
      <c r="AV231" s="8"/>
      <c r="AW231" s="8"/>
      <c r="AX231" s="8"/>
      <c r="AY231" s="8"/>
      <c r="AZ231" s="8"/>
      <c r="BA231" s="8"/>
      <c r="BB231" s="8"/>
    </row>
    <row r="233" spans="1:54" x14ac:dyDescent="0.3">
      <c r="A233" s="76"/>
      <c r="AA233" s="8"/>
      <c r="AB233" s="8"/>
      <c r="AC233" s="8"/>
      <c r="AD233" s="8"/>
      <c r="AE233" s="8"/>
      <c r="AH233" s="8"/>
      <c r="AI233" s="8"/>
      <c r="AJ233" s="8"/>
      <c r="AK233" s="8"/>
      <c r="AL233" s="8"/>
      <c r="AM233" s="8"/>
      <c r="AN233" s="8"/>
      <c r="AO233" s="8"/>
      <c r="AP233" s="8"/>
      <c r="AQ233" s="8"/>
      <c r="AR233" s="8"/>
      <c r="AS233" s="8"/>
      <c r="AT233" s="8"/>
      <c r="AU233" s="8"/>
      <c r="AV233" s="8"/>
      <c r="AW233" s="8"/>
      <c r="AX233" s="8"/>
      <c r="AY233" s="8"/>
      <c r="AZ233" s="8"/>
      <c r="BA233" s="8"/>
      <c r="BB233" s="8"/>
    </row>
    <row r="235" spans="1:54" x14ac:dyDescent="0.3">
      <c r="A235" s="76"/>
      <c r="AA235" s="8"/>
      <c r="AB235" s="8"/>
      <c r="AC235" s="8"/>
      <c r="AD235" s="8"/>
      <c r="AE235" s="8"/>
      <c r="AH235" s="8"/>
      <c r="AI235" s="8"/>
      <c r="AJ235" s="8"/>
      <c r="AK235" s="8"/>
      <c r="AL235" s="8"/>
      <c r="AM235" s="8"/>
      <c r="AN235" s="8"/>
      <c r="AO235" s="8"/>
      <c r="AP235" s="8"/>
      <c r="AQ235" s="8"/>
      <c r="AR235" s="8"/>
      <c r="AS235" s="8"/>
      <c r="AT235" s="8"/>
      <c r="AU235" s="8"/>
      <c r="AV235" s="8"/>
      <c r="AW235" s="8"/>
      <c r="AX235" s="8"/>
      <c r="AY235" s="8"/>
      <c r="AZ235" s="8"/>
      <c r="BA235" s="8"/>
      <c r="BB235" s="8"/>
    </row>
    <row r="237" spans="1:54" x14ac:dyDescent="0.3">
      <c r="A237" s="76"/>
      <c r="AA237" s="8"/>
      <c r="AB237" s="8"/>
      <c r="AC237" s="8"/>
      <c r="AD237" s="8"/>
      <c r="AE237" s="8"/>
      <c r="AH237" s="8"/>
      <c r="AI237" s="8"/>
      <c r="AJ237" s="8"/>
      <c r="AK237" s="8"/>
      <c r="AL237" s="8"/>
      <c r="AM237" s="8"/>
      <c r="AN237" s="8"/>
      <c r="AO237" s="8"/>
      <c r="AP237" s="8"/>
      <c r="AQ237" s="8"/>
      <c r="AR237" s="8"/>
      <c r="AS237" s="8"/>
      <c r="AT237" s="8"/>
      <c r="AU237" s="8"/>
      <c r="AV237" s="8"/>
      <c r="AW237" s="8"/>
      <c r="AX237" s="8"/>
      <c r="AY237" s="8"/>
      <c r="AZ237" s="8"/>
      <c r="BA237" s="8"/>
      <c r="BB237" s="8"/>
    </row>
    <row r="239" spans="1:54" x14ac:dyDescent="0.3">
      <c r="A239" s="76"/>
      <c r="AA239" s="8"/>
      <c r="AB239" s="8"/>
      <c r="AC239" s="8"/>
      <c r="AD239" s="8"/>
      <c r="AE239" s="8"/>
      <c r="AH239" s="8"/>
      <c r="AI239" s="8"/>
      <c r="AJ239" s="8"/>
      <c r="AK239" s="8"/>
      <c r="AL239" s="8"/>
      <c r="AM239" s="8"/>
      <c r="AN239" s="8"/>
      <c r="AO239" s="8"/>
      <c r="AP239" s="8"/>
      <c r="AQ239" s="8"/>
      <c r="AR239" s="8"/>
      <c r="AS239" s="8"/>
      <c r="AT239" s="8"/>
      <c r="AU239" s="8"/>
      <c r="AV239" s="8"/>
      <c r="AW239" s="8"/>
      <c r="AX239" s="8"/>
      <c r="AY239" s="8"/>
      <c r="AZ239" s="8"/>
      <c r="BA239" s="8"/>
      <c r="BB239" s="8"/>
    </row>
    <row r="241" spans="1:54" x14ac:dyDescent="0.3">
      <c r="A241" s="76"/>
      <c r="AA241" s="8"/>
      <c r="AB241" s="8"/>
      <c r="AC241" s="8"/>
      <c r="AD241" s="8"/>
      <c r="AE241" s="8"/>
      <c r="AH241" s="8"/>
      <c r="AI241" s="8"/>
      <c r="AJ241" s="8"/>
      <c r="AK241" s="8"/>
      <c r="AL241" s="8"/>
      <c r="AM241" s="8"/>
      <c r="AN241" s="8"/>
      <c r="AO241" s="8"/>
      <c r="AP241" s="8"/>
      <c r="AQ241" s="8"/>
      <c r="AR241" s="8"/>
      <c r="AS241" s="8"/>
      <c r="AT241" s="8"/>
      <c r="AU241" s="8"/>
      <c r="AV241" s="8"/>
      <c r="AW241" s="8"/>
      <c r="AX241" s="8"/>
      <c r="AY241" s="8"/>
      <c r="AZ241" s="8"/>
      <c r="BA241" s="8"/>
      <c r="BB241" s="8"/>
    </row>
    <row r="243" spans="1:54" x14ac:dyDescent="0.3">
      <c r="A243" s="76"/>
      <c r="AA243" s="8"/>
      <c r="AB243" s="8"/>
      <c r="AC243" s="8"/>
      <c r="AD243" s="8"/>
      <c r="AE243" s="8"/>
      <c r="AH243" s="8"/>
      <c r="AI243" s="8"/>
      <c r="AJ243" s="8"/>
      <c r="AK243" s="8"/>
      <c r="AL243" s="8"/>
      <c r="AM243" s="8"/>
      <c r="AN243" s="8"/>
      <c r="AO243" s="8"/>
      <c r="AP243" s="8"/>
      <c r="AQ243" s="8"/>
      <c r="AR243" s="8"/>
      <c r="AS243" s="8"/>
      <c r="AT243" s="8"/>
      <c r="AU243" s="8"/>
      <c r="AV243" s="8"/>
      <c r="AW243" s="8"/>
      <c r="AX243" s="8"/>
      <c r="AY243" s="8"/>
      <c r="AZ243" s="8"/>
      <c r="BA243" s="8"/>
      <c r="BB243" s="8"/>
    </row>
    <row r="245" spans="1:54" x14ac:dyDescent="0.3">
      <c r="A245" s="76"/>
      <c r="AA245" s="8"/>
      <c r="AB245" s="8"/>
      <c r="AC245" s="8"/>
      <c r="AD245" s="8"/>
      <c r="AE245" s="8"/>
      <c r="AH245" s="8"/>
      <c r="AI245" s="8"/>
      <c r="AJ245" s="8"/>
      <c r="AK245" s="8"/>
      <c r="AL245" s="8"/>
      <c r="AM245" s="8"/>
      <c r="AN245" s="8"/>
      <c r="AO245" s="8"/>
      <c r="AP245" s="8"/>
      <c r="AQ245" s="8"/>
      <c r="AR245" s="8"/>
      <c r="AS245" s="8"/>
      <c r="AT245" s="8"/>
      <c r="AU245" s="8"/>
      <c r="AV245" s="8"/>
      <c r="AW245" s="8"/>
      <c r="AX245" s="8"/>
      <c r="AY245" s="8"/>
      <c r="AZ245" s="8"/>
      <c r="BA245" s="8"/>
      <c r="BB245" s="8"/>
    </row>
    <row r="247" spans="1:54" x14ac:dyDescent="0.3">
      <c r="A247" s="76"/>
    </row>
    <row r="249" spans="1:54" x14ac:dyDescent="0.3">
      <c r="A249" s="76"/>
    </row>
    <row r="250" spans="1:54" x14ac:dyDescent="0.3">
      <c r="A250" s="76"/>
    </row>
    <row r="251" spans="1:54" x14ac:dyDescent="0.3">
      <c r="A251" s="76"/>
    </row>
    <row r="252" spans="1:54" x14ac:dyDescent="0.3">
      <c r="A252" s="76"/>
    </row>
    <row r="253" spans="1:54" x14ac:dyDescent="0.3">
      <c r="A253" s="77"/>
    </row>
    <row r="254" spans="1:54" x14ac:dyDescent="0.3">
      <c r="A254" s="77"/>
    </row>
    <row r="255" spans="1:54" x14ac:dyDescent="0.3">
      <c r="A255" s="77"/>
    </row>
    <row r="256" spans="1:54" x14ac:dyDescent="0.3">
      <c r="A256" s="77"/>
    </row>
    <row r="257" spans="1:1" x14ac:dyDescent="0.3">
      <c r="A257" s="77"/>
    </row>
    <row r="258" spans="1:1" x14ac:dyDescent="0.3">
      <c r="A258" s="77"/>
    </row>
    <row r="259" spans="1:1" x14ac:dyDescent="0.3">
      <c r="A259" s="77"/>
    </row>
    <row r="260" spans="1:1" x14ac:dyDescent="0.3">
      <c r="A260" s="77"/>
    </row>
    <row r="261" spans="1:1" x14ac:dyDescent="0.3">
      <c r="A261" s="77"/>
    </row>
    <row r="262" spans="1:1" x14ac:dyDescent="0.3">
      <c r="A262" s="77"/>
    </row>
    <row r="263" spans="1:1" x14ac:dyDescent="0.3">
      <c r="A263" s="77"/>
    </row>
    <row r="264" spans="1:1" x14ac:dyDescent="0.3">
      <c r="A264" s="77"/>
    </row>
    <row r="265" spans="1:1" x14ac:dyDescent="0.3">
      <c r="A265" s="77"/>
    </row>
    <row r="266" spans="1:1" x14ac:dyDescent="0.3">
      <c r="A266" s="77"/>
    </row>
    <row r="267" spans="1:1" x14ac:dyDescent="0.3">
      <c r="A267" s="77"/>
    </row>
    <row r="268" spans="1:1" x14ac:dyDescent="0.3">
      <c r="A268" s="77"/>
    </row>
    <row r="269" spans="1:1" x14ac:dyDescent="0.3">
      <c r="A269" s="77"/>
    </row>
    <row r="270" spans="1:1" x14ac:dyDescent="0.3">
      <c r="A270" s="77"/>
    </row>
    <row r="271" spans="1:1" x14ac:dyDescent="0.3">
      <c r="A271" s="77"/>
    </row>
    <row r="272" spans="1:1" x14ac:dyDescent="0.3">
      <c r="A272" s="77"/>
    </row>
    <row r="273" spans="1:1" x14ac:dyDescent="0.3">
      <c r="A273" s="77"/>
    </row>
    <row r="274" spans="1:1" x14ac:dyDescent="0.3">
      <c r="A274" s="77"/>
    </row>
    <row r="275" spans="1:1" x14ac:dyDescent="0.3">
      <c r="A275" s="77"/>
    </row>
    <row r="276" spans="1:1" x14ac:dyDescent="0.3">
      <c r="A276" s="77"/>
    </row>
    <row r="277" spans="1:1" x14ac:dyDescent="0.3">
      <c r="A277" s="77"/>
    </row>
    <row r="278" spans="1:1" x14ac:dyDescent="0.3">
      <c r="A278" s="77"/>
    </row>
    <row r="279" spans="1:1" x14ac:dyDescent="0.3">
      <c r="A279" s="77"/>
    </row>
    <row r="280" spans="1:1" x14ac:dyDescent="0.3">
      <c r="A280" s="77"/>
    </row>
    <row r="281" spans="1:1" x14ac:dyDescent="0.3">
      <c r="A281" s="77"/>
    </row>
    <row r="282" spans="1:1" x14ac:dyDescent="0.3">
      <c r="A282" s="77"/>
    </row>
    <row r="283" spans="1:1" x14ac:dyDescent="0.3">
      <c r="A283" s="77"/>
    </row>
    <row r="284" spans="1:1" x14ac:dyDescent="0.3">
      <c r="A284" s="77"/>
    </row>
    <row r="285" spans="1:1" x14ac:dyDescent="0.3">
      <c r="A285" s="77"/>
    </row>
    <row r="286" spans="1:1" x14ac:dyDescent="0.3">
      <c r="A286" s="77"/>
    </row>
    <row r="287" spans="1:1" x14ac:dyDescent="0.3">
      <c r="A287" s="77"/>
    </row>
    <row r="288" spans="1:1" x14ac:dyDescent="0.3">
      <c r="A288" s="77"/>
    </row>
    <row r="289" spans="1:1" x14ac:dyDescent="0.3">
      <c r="A289" s="77"/>
    </row>
    <row r="290" spans="1:1" x14ac:dyDescent="0.3">
      <c r="A290" s="77"/>
    </row>
    <row r="291" spans="1:1" x14ac:dyDescent="0.3">
      <c r="A291" s="77"/>
    </row>
    <row r="292" spans="1:1" x14ac:dyDescent="0.3">
      <c r="A292" s="77"/>
    </row>
    <row r="293" spans="1:1" x14ac:dyDescent="0.3">
      <c r="A293" s="77"/>
    </row>
    <row r="294" spans="1:1" x14ac:dyDescent="0.3">
      <c r="A294" s="77"/>
    </row>
    <row r="295" spans="1:1" x14ac:dyDescent="0.3">
      <c r="A295" s="77"/>
    </row>
    <row r="296" spans="1:1" x14ac:dyDescent="0.3">
      <c r="A296" s="77"/>
    </row>
    <row r="297" spans="1:1" x14ac:dyDescent="0.3">
      <c r="A297" s="77"/>
    </row>
    <row r="298" spans="1:1" x14ac:dyDescent="0.3">
      <c r="A298" s="77"/>
    </row>
    <row r="299" spans="1:1" x14ac:dyDescent="0.3">
      <c r="A299" s="77"/>
    </row>
    <row r="300" spans="1:1" x14ac:dyDescent="0.3">
      <c r="A300" s="77"/>
    </row>
    <row r="301" spans="1:1" x14ac:dyDescent="0.3">
      <c r="A301" s="77"/>
    </row>
    <row r="302" spans="1:1" x14ac:dyDescent="0.3">
      <c r="A302" s="77"/>
    </row>
    <row r="303" spans="1:1" x14ac:dyDescent="0.3">
      <c r="A303" s="77"/>
    </row>
    <row r="304" spans="1:1" x14ac:dyDescent="0.3">
      <c r="A304" s="77"/>
    </row>
    <row r="305" spans="1:1" x14ac:dyDescent="0.3">
      <c r="A305" s="77"/>
    </row>
    <row r="306" spans="1:1" x14ac:dyDescent="0.3">
      <c r="A306" s="77"/>
    </row>
    <row r="307" spans="1:1" x14ac:dyDescent="0.3">
      <c r="A307" s="77"/>
    </row>
    <row r="308" spans="1:1" x14ac:dyDescent="0.3">
      <c r="A308" s="77"/>
    </row>
    <row r="309" spans="1:1" x14ac:dyDescent="0.3">
      <c r="A309" s="77"/>
    </row>
    <row r="310" spans="1:1" x14ac:dyDescent="0.3">
      <c r="A310" s="77"/>
    </row>
    <row r="311" spans="1:1" x14ac:dyDescent="0.3">
      <c r="A311" s="77"/>
    </row>
    <row r="312" spans="1:1" x14ac:dyDescent="0.3">
      <c r="A312" s="77"/>
    </row>
    <row r="313" spans="1:1" x14ac:dyDescent="0.3">
      <c r="A313" s="77"/>
    </row>
    <row r="314" spans="1:1" x14ac:dyDescent="0.3">
      <c r="A314" s="77"/>
    </row>
    <row r="315" spans="1:1" x14ac:dyDescent="0.3">
      <c r="A315" s="77"/>
    </row>
    <row r="316" spans="1:1" x14ac:dyDescent="0.3">
      <c r="A316" s="77"/>
    </row>
    <row r="317" spans="1:1" x14ac:dyDescent="0.3">
      <c r="A317" s="77"/>
    </row>
    <row r="318" spans="1:1" x14ac:dyDescent="0.3">
      <c r="A318" s="77"/>
    </row>
    <row r="319" spans="1:1" x14ac:dyDescent="0.3">
      <c r="A319" s="77"/>
    </row>
    <row r="320" spans="1:1" x14ac:dyDescent="0.3">
      <c r="A320" s="77"/>
    </row>
    <row r="321" spans="1:1" x14ac:dyDescent="0.3">
      <c r="A321" s="77"/>
    </row>
    <row r="322" spans="1:1" x14ac:dyDescent="0.3">
      <c r="A322" s="77"/>
    </row>
    <row r="323" spans="1:1" x14ac:dyDescent="0.3">
      <c r="A323" s="77"/>
    </row>
    <row r="324" spans="1:1" x14ac:dyDescent="0.3">
      <c r="A324" s="77"/>
    </row>
    <row r="325" spans="1:1" x14ac:dyDescent="0.3">
      <c r="A325" s="77"/>
    </row>
    <row r="326" spans="1:1" x14ac:dyDescent="0.3">
      <c r="A326" s="77"/>
    </row>
    <row r="327" spans="1:1" x14ac:dyDescent="0.3">
      <c r="A327" s="77"/>
    </row>
    <row r="328" spans="1:1" x14ac:dyDescent="0.3">
      <c r="A328" s="77"/>
    </row>
    <row r="329" spans="1:1" x14ac:dyDescent="0.3">
      <c r="A329" s="77"/>
    </row>
    <row r="330" spans="1:1" x14ac:dyDescent="0.3">
      <c r="A330" s="77"/>
    </row>
    <row r="331" spans="1:1" x14ac:dyDescent="0.3">
      <c r="A331" s="77"/>
    </row>
    <row r="332" spans="1:1" x14ac:dyDescent="0.3">
      <c r="A332" s="77"/>
    </row>
    <row r="333" spans="1:1" x14ac:dyDescent="0.3">
      <c r="A333" s="77"/>
    </row>
    <row r="334" spans="1:1" x14ac:dyDescent="0.3">
      <c r="A334" s="77"/>
    </row>
    <row r="335" spans="1:1" x14ac:dyDescent="0.3">
      <c r="A335" s="77"/>
    </row>
    <row r="336" spans="1:1" x14ac:dyDescent="0.3">
      <c r="A336" s="77"/>
    </row>
    <row r="337" spans="1:1" x14ac:dyDescent="0.3">
      <c r="A337" s="77"/>
    </row>
    <row r="338" spans="1:1" x14ac:dyDescent="0.3">
      <c r="A338" s="77"/>
    </row>
    <row r="339" spans="1:1" x14ac:dyDescent="0.3">
      <c r="A339" s="77"/>
    </row>
    <row r="340" spans="1:1" x14ac:dyDescent="0.3">
      <c r="A340" s="77"/>
    </row>
    <row r="341" spans="1:1" x14ac:dyDescent="0.3">
      <c r="A341" s="77"/>
    </row>
    <row r="342" spans="1:1" x14ac:dyDescent="0.3">
      <c r="A342" s="77"/>
    </row>
    <row r="343" spans="1:1" x14ac:dyDescent="0.3">
      <c r="A343" s="77"/>
    </row>
    <row r="344" spans="1:1" x14ac:dyDescent="0.3">
      <c r="A344" s="77"/>
    </row>
    <row r="345" spans="1:1" x14ac:dyDescent="0.3">
      <c r="A345" s="77"/>
    </row>
    <row r="346" spans="1:1" x14ac:dyDescent="0.3">
      <c r="A346" s="77"/>
    </row>
    <row r="347" spans="1:1" x14ac:dyDescent="0.3">
      <c r="A347" s="77"/>
    </row>
    <row r="348" spans="1:1" x14ac:dyDescent="0.3">
      <c r="A348" s="77"/>
    </row>
    <row r="349" spans="1:1" x14ac:dyDescent="0.3">
      <c r="A349" s="77"/>
    </row>
    <row r="350" spans="1:1" x14ac:dyDescent="0.3">
      <c r="A350" s="77"/>
    </row>
    <row r="351" spans="1:1" x14ac:dyDescent="0.3">
      <c r="A351" s="77"/>
    </row>
    <row r="352" spans="1:1" x14ac:dyDescent="0.3">
      <c r="A352" s="77"/>
    </row>
    <row r="353" spans="1:1" x14ac:dyDescent="0.3">
      <c r="A353" s="77"/>
    </row>
    <row r="354" spans="1:1" x14ac:dyDescent="0.3">
      <c r="A354" s="77"/>
    </row>
    <row r="355" spans="1:1" x14ac:dyDescent="0.3">
      <c r="A355" s="77"/>
    </row>
    <row r="356" spans="1:1" x14ac:dyDescent="0.3">
      <c r="A356" s="77"/>
    </row>
    <row r="357" spans="1:1" x14ac:dyDescent="0.3">
      <c r="A357" s="77"/>
    </row>
    <row r="358" spans="1:1" x14ac:dyDescent="0.3">
      <c r="A358" s="77"/>
    </row>
    <row r="359" spans="1:1" x14ac:dyDescent="0.3">
      <c r="A359" s="77"/>
    </row>
    <row r="360" spans="1:1" x14ac:dyDescent="0.3">
      <c r="A360" s="77"/>
    </row>
    <row r="361" spans="1:1" x14ac:dyDescent="0.3">
      <c r="A361" s="77"/>
    </row>
    <row r="362" spans="1:1" x14ac:dyDescent="0.3">
      <c r="A362" s="77"/>
    </row>
    <row r="363" spans="1:1" x14ac:dyDescent="0.3">
      <c r="A363" s="77"/>
    </row>
    <row r="364" spans="1:1" x14ac:dyDescent="0.3">
      <c r="A364" s="77"/>
    </row>
    <row r="365" spans="1:1" x14ac:dyDescent="0.3">
      <c r="A365" s="77"/>
    </row>
    <row r="366" spans="1:1" x14ac:dyDescent="0.3">
      <c r="A366" s="77"/>
    </row>
    <row r="367" spans="1:1" x14ac:dyDescent="0.3">
      <c r="A367" s="77"/>
    </row>
    <row r="368" spans="1:1" x14ac:dyDescent="0.3">
      <c r="A368" s="77"/>
    </row>
    <row r="369" spans="1:1" x14ac:dyDescent="0.3">
      <c r="A369" s="77"/>
    </row>
    <row r="370" spans="1:1" x14ac:dyDescent="0.3">
      <c r="A370" s="77"/>
    </row>
    <row r="371" spans="1:1" x14ac:dyDescent="0.3">
      <c r="A371" s="77"/>
    </row>
    <row r="372" spans="1:1" x14ac:dyDescent="0.3">
      <c r="A372" s="77"/>
    </row>
    <row r="373" spans="1:1" x14ac:dyDescent="0.3">
      <c r="A373" s="77"/>
    </row>
    <row r="374" spans="1:1" x14ac:dyDescent="0.3">
      <c r="A374" s="77"/>
    </row>
    <row r="375" spans="1:1" x14ac:dyDescent="0.3">
      <c r="A375" s="77"/>
    </row>
    <row r="376" spans="1:1" x14ac:dyDescent="0.3">
      <c r="A376" s="77"/>
    </row>
    <row r="377" spans="1:1" x14ac:dyDescent="0.3">
      <c r="A377" s="77"/>
    </row>
    <row r="378" spans="1:1" x14ac:dyDescent="0.3">
      <c r="A378" s="77"/>
    </row>
    <row r="379" spans="1:1" x14ac:dyDescent="0.3">
      <c r="A379" s="77"/>
    </row>
    <row r="380" spans="1:1" x14ac:dyDescent="0.3">
      <c r="A380" s="77"/>
    </row>
    <row r="381" spans="1:1" x14ac:dyDescent="0.3">
      <c r="A381" s="77"/>
    </row>
    <row r="382" spans="1:1" x14ac:dyDescent="0.3">
      <c r="A382" s="77"/>
    </row>
    <row r="383" spans="1:1" x14ac:dyDescent="0.3">
      <c r="A383" s="77"/>
    </row>
    <row r="384" spans="1:1" x14ac:dyDescent="0.3">
      <c r="A384" s="77"/>
    </row>
    <row r="385" spans="1:1" x14ac:dyDescent="0.3">
      <c r="A385" s="77"/>
    </row>
    <row r="386" spans="1:1" x14ac:dyDescent="0.3">
      <c r="A386" s="77"/>
    </row>
    <row r="387" spans="1:1" x14ac:dyDescent="0.3">
      <c r="A387" s="77"/>
    </row>
    <row r="388" spans="1:1" x14ac:dyDescent="0.3">
      <c r="A388" s="77"/>
    </row>
    <row r="389" spans="1:1" x14ac:dyDescent="0.3">
      <c r="A389" s="77"/>
    </row>
    <row r="390" spans="1:1" x14ac:dyDescent="0.3">
      <c r="A390" s="77"/>
    </row>
    <row r="391" spans="1:1" x14ac:dyDescent="0.3">
      <c r="A391" s="77"/>
    </row>
    <row r="392" spans="1:1" x14ac:dyDescent="0.3">
      <c r="A392" s="77"/>
    </row>
    <row r="393" spans="1:1" x14ac:dyDescent="0.3">
      <c r="A393" s="77"/>
    </row>
    <row r="394" spans="1:1" x14ac:dyDescent="0.3">
      <c r="A394" s="77"/>
    </row>
    <row r="395" spans="1:1" x14ac:dyDescent="0.3">
      <c r="A395" s="77"/>
    </row>
    <row r="396" spans="1:1" x14ac:dyDescent="0.3">
      <c r="A396" s="77"/>
    </row>
    <row r="397" spans="1:1" x14ac:dyDescent="0.3">
      <c r="A397" s="77"/>
    </row>
    <row r="398" spans="1:1" x14ac:dyDescent="0.3">
      <c r="A398" s="77"/>
    </row>
    <row r="399" spans="1:1" x14ac:dyDescent="0.3">
      <c r="A399" s="77"/>
    </row>
    <row r="400" spans="1:1" x14ac:dyDescent="0.3">
      <c r="A400" s="77"/>
    </row>
    <row r="401" spans="1:1" x14ac:dyDescent="0.3">
      <c r="A401" s="77"/>
    </row>
    <row r="402" spans="1:1" x14ac:dyDescent="0.3">
      <c r="A402" s="77"/>
    </row>
    <row r="403" spans="1:1" x14ac:dyDescent="0.3">
      <c r="A403" s="77"/>
    </row>
    <row r="404" spans="1:1" x14ac:dyDescent="0.3">
      <c r="A404" s="77"/>
    </row>
    <row r="405" spans="1:1" x14ac:dyDescent="0.3">
      <c r="A405" s="77"/>
    </row>
    <row r="406" spans="1:1" x14ac:dyDescent="0.3">
      <c r="A406" s="77"/>
    </row>
    <row r="407" spans="1:1" x14ac:dyDescent="0.3">
      <c r="A407" s="77"/>
    </row>
    <row r="408" spans="1:1" x14ac:dyDescent="0.3">
      <c r="A408" s="77"/>
    </row>
    <row r="409" spans="1:1" x14ac:dyDescent="0.3">
      <c r="A409" s="77"/>
    </row>
    <row r="410" spans="1:1" x14ac:dyDescent="0.3">
      <c r="A410" s="77"/>
    </row>
    <row r="411" spans="1:1" x14ac:dyDescent="0.3">
      <c r="A411" s="77"/>
    </row>
  </sheetData>
  <sortState xmlns:xlrd2="http://schemas.microsoft.com/office/spreadsheetml/2017/richdata2" ref="A3:AC138">
    <sortCondition ref="A2:A222"/>
    <sortCondition ref="C2:C222"/>
    <sortCondition ref="F2:F222"/>
  </sortState>
  <dataValidations count="6">
    <dataValidation type="list" allowBlank="1" showInputMessage="1" showErrorMessage="1" sqref="B2:B10" xr:uid="{00000000-0002-0000-0700-000000000000}">
      <formula1>uniqueSection</formula1>
    </dataValidation>
    <dataValidation type="list" allowBlank="1" showInputMessage="1" showErrorMessage="1" sqref="D2:D10" xr:uid="{00000000-0002-0000-0700-000001000000}">
      <formula1>uniqueSubsectionL</formula1>
    </dataValidation>
    <dataValidation type="list" allowBlank="1" showInputMessage="1" showErrorMessage="1" sqref="F2:F10" xr:uid="{00000000-0002-0000-0700-000002000000}">
      <formula1>uniqueLeccion</formula1>
    </dataValidation>
    <dataValidation type="list" allowBlank="1" showInputMessage="1" showErrorMessage="1" sqref="H2:H10" xr:uid="{00000000-0002-0000-0700-000003000000}">
      <formula1>INDIRECT("RespuestaPreguntas[Mostrar Respuesta]")</formula1>
    </dataValidation>
    <dataValidation type="list" allowBlank="1" showInputMessage="1" showErrorMessage="1" sqref="J2:J10" xr:uid="{00000000-0002-0000-0700-000004000000}">
      <formula1>INDIRECT("Randomice[Randomice]")</formula1>
    </dataValidation>
    <dataValidation type="list" allowBlank="1" showInputMessage="1" showErrorMessage="1" sqref="L2:L1048576" xr:uid="{00000000-0002-0000-0700-000005000000}">
      <formula1>INDIRECT("TipoProblema[Tipo Problema]")</formula1>
    </dataValidation>
  </dataValidations>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I20"/>
  <sheetViews>
    <sheetView workbookViewId="0">
      <selection activeCell="A5" sqref="A5"/>
    </sheetView>
  </sheetViews>
  <sheetFormatPr baseColWidth="10" defaultColWidth="0" defaultRowHeight="14.4" x14ac:dyDescent="0.3"/>
  <cols>
    <col min="1" max="1" width="14.6640625" customWidth="1"/>
    <col min="2" max="2" width="13.6640625" customWidth="1"/>
    <col min="3" max="3" width="22.21875" customWidth="1"/>
    <col min="4" max="4" width="24.44140625" customWidth="1"/>
    <col min="5" max="5" width="20.44140625" customWidth="1"/>
    <col min="6" max="6" width="19.6640625" customWidth="1"/>
    <col min="7" max="7" width="23" customWidth="1"/>
    <col min="8" max="8" width="13" customWidth="1"/>
    <col min="9" max="9" width="11.44140625" customWidth="1"/>
    <col min="10" max="16384" width="11.44140625" hidden="1"/>
  </cols>
  <sheetData>
    <row r="1" spans="1:9" s="47" customFormat="1" x14ac:dyDescent="0.3">
      <c r="A1" s="46" t="s">
        <v>1433</v>
      </c>
      <c r="B1" s="46" t="s">
        <v>1452</v>
      </c>
      <c r="C1" s="46" t="s">
        <v>1434</v>
      </c>
      <c r="D1" s="46" t="s">
        <v>1435</v>
      </c>
      <c r="E1" s="46" t="s">
        <v>1436</v>
      </c>
      <c r="F1" s="46" t="s">
        <v>1437</v>
      </c>
      <c r="G1" s="46" t="s">
        <v>1438</v>
      </c>
      <c r="H1" s="46" t="s">
        <v>1439</v>
      </c>
      <c r="I1" s="46" t="s">
        <v>1451</v>
      </c>
    </row>
    <row r="2" spans="1:9" x14ac:dyDescent="0.3">
      <c r="A2" s="29"/>
      <c r="B2" s="29"/>
      <c r="C2" s="29">
        <v>0</v>
      </c>
      <c r="D2" s="29">
        <v>0</v>
      </c>
      <c r="E2" s="29">
        <v>2</v>
      </c>
      <c r="F2" s="30" t="s">
        <v>1447</v>
      </c>
      <c r="G2" s="29">
        <v>1</v>
      </c>
      <c r="H2" s="30" t="s">
        <v>1442</v>
      </c>
      <c r="I2">
        <f>COUNTIFS(Unidades[Tipo de Tarea],Format[[#This Row],[Tipo de tarea]])</f>
        <v>0</v>
      </c>
    </row>
    <row r="3" spans="1:9" x14ac:dyDescent="0.3">
      <c r="A3" t="s">
        <v>1583</v>
      </c>
      <c r="B3" t="s">
        <v>1583</v>
      </c>
      <c r="C3">
        <v>0</v>
      </c>
      <c r="D3">
        <v>0</v>
      </c>
      <c r="E3">
        <v>2</v>
      </c>
      <c r="F3" s="30" t="s">
        <v>1442</v>
      </c>
      <c r="G3">
        <v>1</v>
      </c>
      <c r="H3" s="30" t="s">
        <v>1442</v>
      </c>
      <c r="I3">
        <f>COUNTIFS(Unidades[Tipo de Tarea],Format[[#This Row],[Tipo de tarea]])</f>
        <v>1</v>
      </c>
    </row>
    <row r="4" spans="1:9" x14ac:dyDescent="0.3">
      <c r="A4" t="s">
        <v>1745</v>
      </c>
      <c r="B4" t="s">
        <v>1745</v>
      </c>
      <c r="C4">
        <v>0.3</v>
      </c>
      <c r="D4">
        <v>0</v>
      </c>
      <c r="E4">
        <v>2</v>
      </c>
      <c r="F4" s="30" t="s">
        <v>1442</v>
      </c>
      <c r="G4">
        <v>1</v>
      </c>
      <c r="H4" s="30" t="s">
        <v>1442</v>
      </c>
      <c r="I4">
        <f>COUNTIFS(Unidades[Tipo de Tarea],Format[[#This Row],[Tipo de tarea]])</f>
        <v>2</v>
      </c>
    </row>
    <row r="5" spans="1:9" x14ac:dyDescent="0.3">
      <c r="A5" t="s">
        <v>1736</v>
      </c>
      <c r="B5" t="s">
        <v>1737</v>
      </c>
      <c r="C5">
        <v>0.3</v>
      </c>
      <c r="D5">
        <v>0</v>
      </c>
      <c r="E5">
        <v>2</v>
      </c>
      <c r="F5" s="30" t="s">
        <v>1442</v>
      </c>
      <c r="G5">
        <v>1</v>
      </c>
      <c r="H5" s="30" t="s">
        <v>1442</v>
      </c>
      <c r="I5">
        <f>COUNTIFS(Unidades[Tipo de Tarea],Format[[#This Row],[Tipo de tarea]])</f>
        <v>2</v>
      </c>
    </row>
    <row r="6" spans="1:9" x14ac:dyDescent="0.3">
      <c r="A6" t="s">
        <v>68</v>
      </c>
      <c r="B6" t="s">
        <v>68</v>
      </c>
      <c r="C6">
        <v>0.4</v>
      </c>
      <c r="D6">
        <v>0</v>
      </c>
      <c r="E6">
        <v>2</v>
      </c>
      <c r="F6" s="30" t="s">
        <v>1442</v>
      </c>
      <c r="G6">
        <v>1</v>
      </c>
      <c r="H6" s="30" t="s">
        <v>1442</v>
      </c>
      <c r="I6">
        <f>COUNTIFS(Unidades[Tipo de Tarea],Format[[#This Row],[Tipo de tarea]])</f>
        <v>1</v>
      </c>
    </row>
    <row r="19" spans="7:7" x14ac:dyDescent="0.3">
      <c r="G19" s="1"/>
    </row>
    <row r="20" spans="7:7" x14ac:dyDescent="0.3">
      <c r="G20" s="1"/>
    </row>
  </sheetData>
  <conditionalFormatting sqref="A1:H3 A5:H6 A4:C4">
    <cfRule type="dataBar" priority="17">
      <dataBar>
        <cfvo type="min"/>
        <cfvo type="max"/>
        <color rgb="FF638EC6"/>
      </dataBar>
      <extLst>
        <ext xmlns:x14="http://schemas.microsoft.com/office/spreadsheetml/2009/9/main" uri="{B025F937-C7B1-47D3-B67F-A62EFF666E3E}">
          <x14:id>{70CE0A47-2034-40CB-B1D2-210F57AF8411}</x14:id>
        </ext>
      </extLst>
    </cfRule>
  </conditionalFormatting>
  <conditionalFormatting sqref="D4:H4">
    <cfRule type="dataBar" priority="1">
      <dataBar>
        <cfvo type="min"/>
        <cfvo type="max"/>
        <color rgb="FF638EC6"/>
      </dataBar>
      <extLst>
        <ext xmlns:x14="http://schemas.microsoft.com/office/spreadsheetml/2009/9/main" uri="{B025F937-C7B1-47D3-B67F-A62EFF666E3E}">
          <x14:id>{A626F6EA-1926-44D9-B341-C45287FF6D07}</x14:id>
        </ext>
      </extLst>
    </cfRule>
  </conditionalFormatting>
  <dataValidations count="2">
    <dataValidation type="list" allowBlank="1" showInputMessage="1" showErrorMessage="1" sqref="F2:F6" xr:uid="{00000000-0002-0000-0400-000000000000}">
      <formula1>INDIRECT("RespuestaPreguntas[Mostrar Respuesta]")</formula1>
    </dataValidation>
    <dataValidation type="list" allowBlank="1" showInputMessage="1" showErrorMessage="1" sqref="H2:H6" xr:uid="{00000000-0002-0000-0400-000001000000}">
      <formula1>INDIRECT("Randomice[Randomice]")</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70CE0A47-2034-40CB-B1D2-210F57AF8411}">
            <x14:dataBar minLength="0" maxLength="100" border="1" negativeBarBorderColorSameAsPositive="0">
              <x14:cfvo type="autoMin"/>
              <x14:cfvo type="autoMax"/>
              <x14:borderColor rgb="FF638EC6"/>
              <x14:negativeFillColor rgb="FFFF0000"/>
              <x14:negativeBorderColor rgb="FFFF0000"/>
              <x14:axisColor rgb="FF000000"/>
            </x14:dataBar>
          </x14:cfRule>
          <xm:sqref>A1:H3 A5:H6 A4:C4</xm:sqref>
        </x14:conditionalFormatting>
        <x14:conditionalFormatting xmlns:xm="http://schemas.microsoft.com/office/excel/2006/main">
          <x14:cfRule type="dataBar" id="{A626F6EA-1926-44D9-B341-C45287FF6D07}">
            <x14:dataBar minLength="0" maxLength="100" border="1" negativeBarBorderColorSameAsPositive="0">
              <x14:cfvo type="autoMin"/>
              <x14:cfvo type="autoMax"/>
              <x14:borderColor rgb="FF638EC6"/>
              <x14:negativeFillColor rgb="FFFF0000"/>
              <x14:negativeBorderColor rgb="FFFF0000"/>
              <x14:axisColor rgb="FF000000"/>
            </x14:dataBar>
          </x14:cfRule>
          <xm:sqref>D4:H4</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
  <dimension ref="A1:F71"/>
  <sheetViews>
    <sheetView workbookViewId="0">
      <selection activeCell="C20" sqref="C20"/>
    </sheetView>
  </sheetViews>
  <sheetFormatPr baseColWidth="10" defaultColWidth="11.44140625" defaultRowHeight="14.4" x14ac:dyDescent="0.3"/>
  <cols>
    <col min="1" max="1" width="19.77734375" customWidth="1"/>
    <col min="2" max="2" width="32.77734375" bestFit="1" customWidth="1"/>
    <col min="3" max="3" width="50.21875" bestFit="1" customWidth="1"/>
    <col min="4" max="4" width="64.33203125" bestFit="1" customWidth="1"/>
    <col min="5" max="5" width="15.21875" customWidth="1"/>
    <col min="6" max="6" width="38.21875" bestFit="1" customWidth="1"/>
  </cols>
  <sheetData>
    <row r="1" spans="1:6" x14ac:dyDescent="0.3">
      <c r="A1" t="s">
        <v>63</v>
      </c>
      <c r="B1" t="s">
        <v>64</v>
      </c>
      <c r="C1" t="s">
        <v>65</v>
      </c>
      <c r="D1" t="s">
        <v>66</v>
      </c>
      <c r="E1" t="s">
        <v>67</v>
      </c>
      <c r="F1" t="s">
        <v>2120</v>
      </c>
    </row>
    <row r="2" spans="1:6" x14ac:dyDescent="0.3">
      <c r="A2" t="s">
        <v>1657</v>
      </c>
      <c r="B2" t="s">
        <v>1658</v>
      </c>
      <c r="C2" t="s">
        <v>1659</v>
      </c>
      <c r="D2" t="s">
        <v>1660</v>
      </c>
      <c r="E2" t="s">
        <v>1661</v>
      </c>
      <c r="F2" t="s">
        <v>2121</v>
      </c>
    </row>
    <row r="3" spans="1:6" x14ac:dyDescent="0.3">
      <c r="A3" t="s">
        <v>1657</v>
      </c>
      <c r="B3" t="s">
        <v>1658</v>
      </c>
      <c r="C3" t="s">
        <v>1659</v>
      </c>
      <c r="D3" t="s">
        <v>1662</v>
      </c>
      <c r="E3" t="s">
        <v>1663</v>
      </c>
      <c r="F3" t="s">
        <v>2122</v>
      </c>
    </row>
    <row r="4" spans="1:6" x14ac:dyDescent="0.3">
      <c r="A4" t="s">
        <v>1657</v>
      </c>
      <c r="B4" t="s">
        <v>1658</v>
      </c>
      <c r="C4" t="s">
        <v>1664</v>
      </c>
      <c r="D4" t="s">
        <v>1586</v>
      </c>
      <c r="E4" t="s">
        <v>1587</v>
      </c>
      <c r="F4" t="s">
        <v>2123</v>
      </c>
    </row>
    <row r="5" spans="1:6" x14ac:dyDescent="0.3">
      <c r="A5" t="s">
        <v>1657</v>
      </c>
      <c r="B5" t="s">
        <v>1658</v>
      </c>
      <c r="C5" t="s">
        <v>1664</v>
      </c>
      <c r="D5" t="s">
        <v>1588</v>
      </c>
      <c r="E5" t="s">
        <v>1589</v>
      </c>
      <c r="F5" t="s">
        <v>2124</v>
      </c>
    </row>
    <row r="6" spans="1:6" x14ac:dyDescent="0.3">
      <c r="A6" t="s">
        <v>1657</v>
      </c>
      <c r="B6" t="s">
        <v>1658</v>
      </c>
      <c r="C6" t="s">
        <v>1664</v>
      </c>
      <c r="D6" t="s">
        <v>1590</v>
      </c>
      <c r="E6" t="s">
        <v>1591</v>
      </c>
      <c r="F6" t="s">
        <v>2125</v>
      </c>
    </row>
    <row r="7" spans="1:6" x14ac:dyDescent="0.3">
      <c r="A7" t="s">
        <v>1657</v>
      </c>
      <c r="B7" t="s">
        <v>1658</v>
      </c>
      <c r="C7" t="s">
        <v>1664</v>
      </c>
      <c r="D7" t="s">
        <v>1592</v>
      </c>
      <c r="E7" t="s">
        <v>1593</v>
      </c>
      <c r="F7" t="s">
        <v>2126</v>
      </c>
    </row>
    <row r="8" spans="1:6" x14ac:dyDescent="0.3">
      <c r="A8" t="s">
        <v>1657</v>
      </c>
      <c r="B8" t="s">
        <v>1658</v>
      </c>
      <c r="C8" t="s">
        <v>1664</v>
      </c>
      <c r="D8" t="s">
        <v>1594</v>
      </c>
      <c r="E8" t="s">
        <v>1595</v>
      </c>
      <c r="F8" t="s">
        <v>2127</v>
      </c>
    </row>
    <row r="9" spans="1:6" x14ac:dyDescent="0.3">
      <c r="A9" t="s">
        <v>1657</v>
      </c>
      <c r="B9" t="s">
        <v>1658</v>
      </c>
      <c r="C9" t="s">
        <v>1664</v>
      </c>
      <c r="D9" t="s">
        <v>1665</v>
      </c>
      <c r="E9" t="s">
        <v>1666</v>
      </c>
      <c r="F9" t="s">
        <v>2128</v>
      </c>
    </row>
    <row r="10" spans="1:6" x14ac:dyDescent="0.3">
      <c r="A10" t="s">
        <v>1657</v>
      </c>
      <c r="B10" t="s">
        <v>1658</v>
      </c>
      <c r="C10" t="s">
        <v>1664</v>
      </c>
      <c r="D10" t="s">
        <v>1667</v>
      </c>
      <c r="E10" t="s">
        <v>1596</v>
      </c>
      <c r="F10" t="s">
        <v>2129</v>
      </c>
    </row>
    <row r="11" spans="1:6" x14ac:dyDescent="0.3">
      <c r="A11" t="s">
        <v>1657</v>
      </c>
      <c r="B11" t="s">
        <v>1658</v>
      </c>
      <c r="C11" t="s">
        <v>1664</v>
      </c>
      <c r="D11" t="s">
        <v>1597</v>
      </c>
      <c r="E11" t="s">
        <v>1598</v>
      </c>
      <c r="F11" t="s">
        <v>2130</v>
      </c>
    </row>
    <row r="12" spans="1:6" x14ac:dyDescent="0.3">
      <c r="A12" t="s">
        <v>1657</v>
      </c>
      <c r="B12" t="s">
        <v>1658</v>
      </c>
      <c r="C12" t="s">
        <v>1585</v>
      </c>
      <c r="D12" t="s">
        <v>1599</v>
      </c>
      <c r="E12" t="s">
        <v>1600</v>
      </c>
      <c r="F12" t="s">
        <v>2131</v>
      </c>
    </row>
    <row r="13" spans="1:6" x14ac:dyDescent="0.3">
      <c r="A13" t="s">
        <v>1657</v>
      </c>
      <c r="B13" t="s">
        <v>1658</v>
      </c>
      <c r="C13" t="s">
        <v>1585</v>
      </c>
      <c r="D13" t="s">
        <v>1668</v>
      </c>
      <c r="E13" t="s">
        <v>1601</v>
      </c>
      <c r="F13" t="s">
        <v>2132</v>
      </c>
    </row>
    <row r="14" spans="1:6" x14ac:dyDescent="0.3">
      <c r="A14" t="s">
        <v>1657</v>
      </c>
      <c r="B14" t="s">
        <v>1658</v>
      </c>
      <c r="C14" t="s">
        <v>1585</v>
      </c>
      <c r="D14" t="s">
        <v>1602</v>
      </c>
      <c r="E14" t="s">
        <v>1603</v>
      </c>
      <c r="F14" t="s">
        <v>2133</v>
      </c>
    </row>
    <row r="15" spans="1:6" x14ac:dyDescent="0.3">
      <c r="A15" t="s">
        <v>1657</v>
      </c>
      <c r="B15" t="s">
        <v>1658</v>
      </c>
      <c r="C15" t="s">
        <v>1585</v>
      </c>
      <c r="D15" t="s">
        <v>1608</v>
      </c>
      <c r="E15" t="s">
        <v>1609</v>
      </c>
      <c r="F15" t="s">
        <v>2134</v>
      </c>
    </row>
    <row r="16" spans="1:6" x14ac:dyDescent="0.3">
      <c r="A16" t="s">
        <v>1657</v>
      </c>
      <c r="B16" t="s">
        <v>1658</v>
      </c>
      <c r="C16" t="s">
        <v>1585</v>
      </c>
      <c r="D16" t="s">
        <v>1604</v>
      </c>
      <c r="E16" t="s">
        <v>1605</v>
      </c>
      <c r="F16" t="s">
        <v>2135</v>
      </c>
    </row>
    <row r="17" spans="1:6" x14ac:dyDescent="0.3">
      <c r="A17" t="s">
        <v>1657</v>
      </c>
      <c r="B17" t="s">
        <v>1658</v>
      </c>
      <c r="C17" t="s">
        <v>1585</v>
      </c>
      <c r="D17" t="s">
        <v>1606</v>
      </c>
      <c r="E17" t="s">
        <v>1607</v>
      </c>
      <c r="F17" t="s">
        <v>2136</v>
      </c>
    </row>
    <row r="18" spans="1:6" x14ac:dyDescent="0.3">
      <c r="A18" t="s">
        <v>1657</v>
      </c>
      <c r="B18" t="s">
        <v>1658</v>
      </c>
      <c r="C18" t="s">
        <v>1585</v>
      </c>
      <c r="D18" t="s">
        <v>2137</v>
      </c>
      <c r="F18" t="s">
        <v>2138</v>
      </c>
    </row>
    <row r="19" spans="1:6" x14ac:dyDescent="0.3">
      <c r="A19" t="s">
        <v>1657</v>
      </c>
      <c r="B19" t="s">
        <v>1658</v>
      </c>
      <c r="C19" t="s">
        <v>1585</v>
      </c>
      <c r="D19" t="s">
        <v>2139</v>
      </c>
      <c r="F19" t="s">
        <v>2140</v>
      </c>
    </row>
    <row r="20" spans="1:6" x14ac:dyDescent="0.3">
      <c r="A20" t="s">
        <v>1657</v>
      </c>
      <c r="B20" t="s">
        <v>1658</v>
      </c>
      <c r="C20" t="s">
        <v>1585</v>
      </c>
      <c r="D20" t="s">
        <v>1610</v>
      </c>
      <c r="E20" t="s">
        <v>1611</v>
      </c>
      <c r="F20" t="s">
        <v>2141</v>
      </c>
    </row>
    <row r="21" spans="1:6" x14ac:dyDescent="0.3">
      <c r="A21" t="s">
        <v>1657</v>
      </c>
      <c r="B21" t="s">
        <v>1658</v>
      </c>
      <c r="C21" t="s">
        <v>1585</v>
      </c>
      <c r="D21" t="s">
        <v>1669</v>
      </c>
      <c r="E21" t="s">
        <v>1612</v>
      </c>
      <c r="F21" t="s">
        <v>2142</v>
      </c>
    </row>
    <row r="22" spans="1:6" x14ac:dyDescent="0.3">
      <c r="A22" t="s">
        <v>1657</v>
      </c>
      <c r="B22" t="s">
        <v>1658</v>
      </c>
      <c r="C22" t="s">
        <v>1670</v>
      </c>
      <c r="D22" t="s">
        <v>1617</v>
      </c>
      <c r="E22" t="s">
        <v>1618</v>
      </c>
      <c r="F22" t="s">
        <v>2143</v>
      </c>
    </row>
    <row r="23" spans="1:6" x14ac:dyDescent="0.3">
      <c r="A23" t="s">
        <v>1657</v>
      </c>
      <c r="B23" t="s">
        <v>1658</v>
      </c>
      <c r="C23" t="s">
        <v>1670</v>
      </c>
      <c r="D23" t="s">
        <v>1619</v>
      </c>
      <c r="E23" t="s">
        <v>1620</v>
      </c>
      <c r="F23" t="s">
        <v>2144</v>
      </c>
    </row>
    <row r="24" spans="1:6" x14ac:dyDescent="0.3">
      <c r="A24" t="s">
        <v>1657</v>
      </c>
      <c r="B24" t="s">
        <v>1658</v>
      </c>
      <c r="C24" t="s">
        <v>1670</v>
      </c>
      <c r="D24" t="s">
        <v>1623</v>
      </c>
      <c r="E24" t="s">
        <v>1624</v>
      </c>
      <c r="F24" t="s">
        <v>2145</v>
      </c>
    </row>
    <row r="25" spans="1:6" x14ac:dyDescent="0.3">
      <c r="A25" t="s">
        <v>1657</v>
      </c>
      <c r="B25" t="s">
        <v>1658</v>
      </c>
      <c r="C25" t="s">
        <v>1670</v>
      </c>
      <c r="D25" t="s">
        <v>1613</v>
      </c>
      <c r="E25" t="s">
        <v>1614</v>
      </c>
      <c r="F25" t="s">
        <v>2146</v>
      </c>
    </row>
    <row r="26" spans="1:6" x14ac:dyDescent="0.3">
      <c r="A26" t="s">
        <v>1657</v>
      </c>
      <c r="B26" t="s">
        <v>1658</v>
      </c>
      <c r="C26" t="s">
        <v>1670</v>
      </c>
      <c r="D26" t="s">
        <v>1615</v>
      </c>
      <c r="E26" t="s">
        <v>1616</v>
      </c>
      <c r="F26" t="s">
        <v>2147</v>
      </c>
    </row>
    <row r="27" spans="1:6" x14ac:dyDescent="0.3">
      <c r="A27" t="s">
        <v>1657</v>
      </c>
      <c r="B27" t="s">
        <v>1658</v>
      </c>
      <c r="C27" t="s">
        <v>1670</v>
      </c>
      <c r="D27" t="s">
        <v>1671</v>
      </c>
      <c r="E27" t="s">
        <v>1672</v>
      </c>
      <c r="F27" t="s">
        <v>2148</v>
      </c>
    </row>
    <row r="28" spans="1:6" x14ac:dyDescent="0.3">
      <c r="A28" t="s">
        <v>1657</v>
      </c>
      <c r="B28" t="s">
        <v>1658</v>
      </c>
      <c r="C28" t="s">
        <v>1673</v>
      </c>
      <c r="D28" t="s">
        <v>1625</v>
      </c>
      <c r="E28" t="s">
        <v>1626</v>
      </c>
      <c r="F28" t="s">
        <v>2149</v>
      </c>
    </row>
    <row r="29" spans="1:6" x14ac:dyDescent="0.3">
      <c r="A29" t="s">
        <v>1657</v>
      </c>
      <c r="B29" t="s">
        <v>1658</v>
      </c>
      <c r="C29" t="s">
        <v>1673</v>
      </c>
      <c r="D29" t="s">
        <v>1627</v>
      </c>
      <c r="E29" t="s">
        <v>1628</v>
      </c>
      <c r="F29" t="s">
        <v>2150</v>
      </c>
    </row>
    <row r="30" spans="1:6" x14ac:dyDescent="0.3">
      <c r="A30" t="s">
        <v>1657</v>
      </c>
      <c r="B30" t="s">
        <v>1658</v>
      </c>
      <c r="C30" t="s">
        <v>1673</v>
      </c>
      <c r="D30" t="s">
        <v>1629</v>
      </c>
      <c r="E30" t="s">
        <v>1630</v>
      </c>
      <c r="F30" t="s">
        <v>2151</v>
      </c>
    </row>
    <row r="31" spans="1:6" x14ac:dyDescent="0.3">
      <c r="A31" t="s">
        <v>1657</v>
      </c>
      <c r="B31" t="s">
        <v>1658</v>
      </c>
      <c r="C31" t="s">
        <v>1673</v>
      </c>
      <c r="D31" t="s">
        <v>1674</v>
      </c>
      <c r="E31" t="s">
        <v>1631</v>
      </c>
      <c r="F31" t="s">
        <v>2152</v>
      </c>
    </row>
    <row r="32" spans="1:6" x14ac:dyDescent="0.3">
      <c r="A32" t="s">
        <v>1657</v>
      </c>
      <c r="B32" t="s">
        <v>1658</v>
      </c>
      <c r="C32" t="s">
        <v>1673</v>
      </c>
      <c r="D32" t="s">
        <v>1632</v>
      </c>
      <c r="E32" t="s">
        <v>1633</v>
      </c>
      <c r="F32" t="s">
        <v>2153</v>
      </c>
    </row>
    <row r="33" spans="1:6" x14ac:dyDescent="0.3">
      <c r="A33" t="s">
        <v>1657</v>
      </c>
      <c r="B33" t="s">
        <v>1658</v>
      </c>
      <c r="C33" t="s">
        <v>1673</v>
      </c>
      <c r="D33" t="s">
        <v>1634</v>
      </c>
      <c r="E33" t="s">
        <v>1635</v>
      </c>
      <c r="F33" t="s">
        <v>2154</v>
      </c>
    </row>
    <row r="34" spans="1:6" x14ac:dyDescent="0.3">
      <c r="A34" t="s">
        <v>1657</v>
      </c>
      <c r="B34" t="s">
        <v>1658</v>
      </c>
      <c r="C34" t="s">
        <v>1673</v>
      </c>
      <c r="D34" t="s">
        <v>1636</v>
      </c>
      <c r="E34" t="s">
        <v>1637</v>
      </c>
      <c r="F34" t="s">
        <v>2155</v>
      </c>
    </row>
    <row r="35" spans="1:6" x14ac:dyDescent="0.3">
      <c r="A35" t="s">
        <v>1657</v>
      </c>
      <c r="B35" t="s">
        <v>1658</v>
      </c>
      <c r="C35" t="s">
        <v>1673</v>
      </c>
      <c r="D35" t="s">
        <v>1675</v>
      </c>
      <c r="E35" t="s">
        <v>1621</v>
      </c>
      <c r="F35" t="s">
        <v>2156</v>
      </c>
    </row>
    <row r="36" spans="1:6" x14ac:dyDescent="0.3">
      <c r="A36" t="s">
        <v>1657</v>
      </c>
      <c r="B36" t="s">
        <v>1658</v>
      </c>
      <c r="C36" t="s">
        <v>1673</v>
      </c>
      <c r="D36" t="s">
        <v>1676</v>
      </c>
      <c r="E36" t="s">
        <v>1622</v>
      </c>
      <c r="F36" t="s">
        <v>2157</v>
      </c>
    </row>
    <row r="37" spans="1:6" x14ac:dyDescent="0.3">
      <c r="A37" t="s">
        <v>1657</v>
      </c>
      <c r="B37" t="s">
        <v>1658</v>
      </c>
      <c r="C37" t="s">
        <v>1677</v>
      </c>
      <c r="D37" t="s">
        <v>1678</v>
      </c>
      <c r="E37" t="s">
        <v>1679</v>
      </c>
      <c r="F37" t="s">
        <v>2158</v>
      </c>
    </row>
    <row r="38" spans="1:6" x14ac:dyDescent="0.3">
      <c r="A38" t="s">
        <v>1657</v>
      </c>
      <c r="B38" t="s">
        <v>1658</v>
      </c>
      <c r="C38" t="s">
        <v>1677</v>
      </c>
      <c r="D38" t="s">
        <v>1680</v>
      </c>
      <c r="E38" t="s">
        <v>1681</v>
      </c>
      <c r="F38" t="s">
        <v>2159</v>
      </c>
    </row>
    <row r="39" spans="1:6" x14ac:dyDescent="0.3">
      <c r="A39" t="s">
        <v>1657</v>
      </c>
      <c r="B39" t="s">
        <v>1658</v>
      </c>
      <c r="C39" t="s">
        <v>1677</v>
      </c>
      <c r="D39" t="s">
        <v>1682</v>
      </c>
      <c r="E39" t="s">
        <v>1683</v>
      </c>
      <c r="F39" t="s">
        <v>2160</v>
      </c>
    </row>
    <row r="40" spans="1:6" x14ac:dyDescent="0.3">
      <c r="A40" t="s">
        <v>1657</v>
      </c>
      <c r="B40" t="s">
        <v>1658</v>
      </c>
      <c r="C40" t="s">
        <v>1677</v>
      </c>
      <c r="D40" t="s">
        <v>1684</v>
      </c>
      <c r="E40" t="s">
        <v>1685</v>
      </c>
      <c r="F40" t="s">
        <v>2161</v>
      </c>
    </row>
    <row r="41" spans="1:6" x14ac:dyDescent="0.3">
      <c r="A41" t="s">
        <v>1657</v>
      </c>
      <c r="B41" t="s">
        <v>1658</v>
      </c>
      <c r="C41" t="s">
        <v>1686</v>
      </c>
      <c r="D41" t="s">
        <v>1687</v>
      </c>
      <c r="E41" t="s">
        <v>1688</v>
      </c>
      <c r="F41" t="s">
        <v>2162</v>
      </c>
    </row>
    <row r="42" spans="1:6" x14ac:dyDescent="0.3">
      <c r="A42" t="s">
        <v>1657</v>
      </c>
      <c r="B42" t="s">
        <v>1658</v>
      </c>
      <c r="C42" t="s">
        <v>1686</v>
      </c>
      <c r="D42" t="s">
        <v>1689</v>
      </c>
      <c r="E42" t="s">
        <v>1690</v>
      </c>
      <c r="F42" t="s">
        <v>2163</v>
      </c>
    </row>
    <row r="43" spans="1:6" x14ac:dyDescent="0.3">
      <c r="A43" t="s">
        <v>1657</v>
      </c>
      <c r="B43" t="s">
        <v>1658</v>
      </c>
      <c r="C43" t="s">
        <v>1686</v>
      </c>
      <c r="D43" t="s">
        <v>1691</v>
      </c>
      <c r="E43" t="s">
        <v>1692</v>
      </c>
      <c r="F43" t="s">
        <v>2164</v>
      </c>
    </row>
    <row r="44" spans="1:6" x14ac:dyDescent="0.3">
      <c r="A44" t="s">
        <v>1657</v>
      </c>
      <c r="B44" t="s">
        <v>1658</v>
      </c>
      <c r="C44" t="s">
        <v>1686</v>
      </c>
      <c r="D44" t="s">
        <v>1693</v>
      </c>
      <c r="E44" t="s">
        <v>1694</v>
      </c>
      <c r="F44" t="s">
        <v>2165</v>
      </c>
    </row>
    <row r="45" spans="1:6" x14ac:dyDescent="0.3">
      <c r="A45" t="s">
        <v>1657</v>
      </c>
      <c r="B45" t="s">
        <v>1658</v>
      </c>
      <c r="C45" t="s">
        <v>1695</v>
      </c>
      <c r="D45" t="s">
        <v>1696</v>
      </c>
      <c r="E45" t="s">
        <v>1638</v>
      </c>
      <c r="F45" t="s">
        <v>2166</v>
      </c>
    </row>
    <row r="46" spans="1:6" x14ac:dyDescent="0.3">
      <c r="A46" t="s">
        <v>1657</v>
      </c>
      <c r="B46" t="s">
        <v>1658</v>
      </c>
      <c r="C46" t="s">
        <v>1695</v>
      </c>
      <c r="D46" t="s">
        <v>1642</v>
      </c>
      <c r="E46" t="s">
        <v>1643</v>
      </c>
      <c r="F46" t="s">
        <v>2167</v>
      </c>
    </row>
    <row r="47" spans="1:6" x14ac:dyDescent="0.3">
      <c r="A47" t="s">
        <v>1657</v>
      </c>
      <c r="B47" t="s">
        <v>1658</v>
      </c>
      <c r="C47" t="s">
        <v>1695</v>
      </c>
      <c r="D47" t="s">
        <v>1697</v>
      </c>
      <c r="E47" t="s">
        <v>1641</v>
      </c>
      <c r="F47" t="s">
        <v>2168</v>
      </c>
    </row>
    <row r="48" spans="1:6" x14ac:dyDescent="0.3">
      <c r="A48" t="s">
        <v>1657</v>
      </c>
      <c r="B48" t="s">
        <v>1658</v>
      </c>
      <c r="C48" t="s">
        <v>1695</v>
      </c>
      <c r="D48" t="s">
        <v>1639</v>
      </c>
      <c r="E48" t="s">
        <v>1640</v>
      </c>
      <c r="F48" t="s">
        <v>2169</v>
      </c>
    </row>
    <row r="49" spans="1:6" x14ac:dyDescent="0.3">
      <c r="A49" t="s">
        <v>1657</v>
      </c>
      <c r="B49" t="s">
        <v>1658</v>
      </c>
      <c r="C49" t="s">
        <v>1695</v>
      </c>
      <c r="D49" t="s">
        <v>1698</v>
      </c>
      <c r="E49" t="s">
        <v>1644</v>
      </c>
      <c r="F49" t="s">
        <v>2170</v>
      </c>
    </row>
    <row r="50" spans="1:6" x14ac:dyDescent="0.3">
      <c r="A50" t="s">
        <v>1657</v>
      </c>
      <c r="B50" t="s">
        <v>1658</v>
      </c>
      <c r="C50" t="s">
        <v>1699</v>
      </c>
      <c r="D50" t="s">
        <v>1700</v>
      </c>
      <c r="E50" t="s">
        <v>1645</v>
      </c>
      <c r="F50" t="s">
        <v>2171</v>
      </c>
    </row>
    <row r="51" spans="1:6" x14ac:dyDescent="0.3">
      <c r="A51" t="s">
        <v>1657</v>
      </c>
      <c r="B51" t="s">
        <v>1658</v>
      </c>
      <c r="C51" t="s">
        <v>1699</v>
      </c>
      <c r="D51" t="s">
        <v>1701</v>
      </c>
      <c r="E51" t="s">
        <v>1648</v>
      </c>
      <c r="F51" t="s">
        <v>2172</v>
      </c>
    </row>
    <row r="52" spans="1:6" x14ac:dyDescent="0.3">
      <c r="A52" t="s">
        <v>1657</v>
      </c>
      <c r="B52" t="s">
        <v>1658</v>
      </c>
      <c r="C52" t="s">
        <v>1699</v>
      </c>
      <c r="D52" t="s">
        <v>1702</v>
      </c>
      <c r="E52" t="s">
        <v>1703</v>
      </c>
      <c r="F52" t="s">
        <v>2173</v>
      </c>
    </row>
    <row r="53" spans="1:6" x14ac:dyDescent="0.3">
      <c r="A53" t="s">
        <v>1657</v>
      </c>
      <c r="B53" t="s">
        <v>1658</v>
      </c>
      <c r="C53" t="s">
        <v>1699</v>
      </c>
      <c r="D53" t="s">
        <v>1704</v>
      </c>
      <c r="E53" t="s">
        <v>1650</v>
      </c>
      <c r="F53" t="s">
        <v>2174</v>
      </c>
    </row>
    <row r="54" spans="1:6" x14ac:dyDescent="0.3">
      <c r="A54" t="s">
        <v>1657</v>
      </c>
      <c r="B54" t="s">
        <v>1658</v>
      </c>
      <c r="C54" t="s">
        <v>1699</v>
      </c>
      <c r="D54" t="s">
        <v>1705</v>
      </c>
      <c r="E54" t="s">
        <v>1649</v>
      </c>
      <c r="F54" t="s">
        <v>2175</v>
      </c>
    </row>
    <row r="55" spans="1:6" x14ac:dyDescent="0.3">
      <c r="A55" t="s">
        <v>1657</v>
      </c>
      <c r="B55" t="s">
        <v>1658</v>
      </c>
      <c r="C55" t="s">
        <v>1699</v>
      </c>
      <c r="D55" t="s">
        <v>1706</v>
      </c>
      <c r="E55" t="s">
        <v>1651</v>
      </c>
      <c r="F55" t="s">
        <v>2176</v>
      </c>
    </row>
    <row r="56" spans="1:6" x14ac:dyDescent="0.3">
      <c r="A56" t="s">
        <v>1657</v>
      </c>
      <c r="B56" t="s">
        <v>1658</v>
      </c>
      <c r="C56" t="s">
        <v>1699</v>
      </c>
      <c r="D56" t="s">
        <v>1707</v>
      </c>
      <c r="E56" t="s">
        <v>1652</v>
      </c>
      <c r="F56" t="s">
        <v>2177</v>
      </c>
    </row>
    <row r="57" spans="1:6" x14ac:dyDescent="0.3">
      <c r="A57" t="s">
        <v>1657</v>
      </c>
      <c r="B57" t="s">
        <v>1658</v>
      </c>
      <c r="C57" t="s">
        <v>1708</v>
      </c>
      <c r="D57" t="s">
        <v>1709</v>
      </c>
      <c r="E57" t="s">
        <v>1710</v>
      </c>
      <c r="F57" t="s">
        <v>2178</v>
      </c>
    </row>
    <row r="58" spans="1:6" x14ac:dyDescent="0.3">
      <c r="A58" t="s">
        <v>1657</v>
      </c>
      <c r="B58" t="s">
        <v>1658</v>
      </c>
      <c r="C58" t="s">
        <v>1708</v>
      </c>
      <c r="D58" t="s">
        <v>1711</v>
      </c>
      <c r="E58" t="s">
        <v>1712</v>
      </c>
      <c r="F58" t="s">
        <v>2179</v>
      </c>
    </row>
    <row r="59" spans="1:6" x14ac:dyDescent="0.3">
      <c r="A59" t="s">
        <v>1657</v>
      </c>
      <c r="B59" t="s">
        <v>1658</v>
      </c>
      <c r="C59" t="s">
        <v>1708</v>
      </c>
      <c r="D59" t="s">
        <v>1713</v>
      </c>
      <c r="E59" t="s">
        <v>1714</v>
      </c>
      <c r="F59" t="s">
        <v>2180</v>
      </c>
    </row>
    <row r="60" spans="1:6" x14ac:dyDescent="0.3">
      <c r="A60" t="s">
        <v>1657</v>
      </c>
      <c r="B60" t="s">
        <v>1658</v>
      </c>
      <c r="C60" t="s">
        <v>1708</v>
      </c>
      <c r="D60" t="s">
        <v>1715</v>
      </c>
      <c r="E60" t="s">
        <v>1716</v>
      </c>
      <c r="F60" t="s">
        <v>2181</v>
      </c>
    </row>
    <row r="61" spans="1:6" x14ac:dyDescent="0.3">
      <c r="A61" t="s">
        <v>1657</v>
      </c>
      <c r="B61" t="s">
        <v>1658</v>
      </c>
      <c r="C61" t="s">
        <v>1717</v>
      </c>
      <c r="D61" t="s">
        <v>1653</v>
      </c>
      <c r="E61" t="s">
        <v>1654</v>
      </c>
      <c r="F61" t="s">
        <v>2182</v>
      </c>
    </row>
    <row r="62" spans="1:6" x14ac:dyDescent="0.3">
      <c r="A62" t="s">
        <v>1657</v>
      </c>
      <c r="B62" t="s">
        <v>1658</v>
      </c>
      <c r="C62" t="s">
        <v>1717</v>
      </c>
      <c r="D62" t="s">
        <v>1718</v>
      </c>
      <c r="E62" t="s">
        <v>1719</v>
      </c>
      <c r="F62" t="s">
        <v>2183</v>
      </c>
    </row>
    <row r="63" spans="1:6" x14ac:dyDescent="0.3">
      <c r="A63" t="s">
        <v>1657</v>
      </c>
      <c r="B63" t="s">
        <v>1658</v>
      </c>
      <c r="C63" t="s">
        <v>1717</v>
      </c>
      <c r="D63" t="s">
        <v>1720</v>
      </c>
      <c r="E63" t="s">
        <v>1721</v>
      </c>
      <c r="F63" t="s">
        <v>2184</v>
      </c>
    </row>
    <row r="64" spans="1:6" x14ac:dyDescent="0.3">
      <c r="A64" t="s">
        <v>1657</v>
      </c>
      <c r="B64" t="s">
        <v>1658</v>
      </c>
      <c r="C64" t="s">
        <v>1717</v>
      </c>
      <c r="D64" t="s">
        <v>1655</v>
      </c>
      <c r="E64" t="s">
        <v>1656</v>
      </c>
      <c r="F64" t="s">
        <v>2185</v>
      </c>
    </row>
    <row r="65" spans="1:6" x14ac:dyDescent="0.3">
      <c r="A65" t="s">
        <v>1657</v>
      </c>
      <c r="B65" t="s">
        <v>1658</v>
      </c>
      <c r="C65" t="s">
        <v>1722</v>
      </c>
      <c r="D65" t="s">
        <v>1723</v>
      </c>
      <c r="E65" t="s">
        <v>1724</v>
      </c>
      <c r="F65" t="s">
        <v>2186</v>
      </c>
    </row>
    <row r="66" spans="1:6" x14ac:dyDescent="0.3">
      <c r="A66" t="s">
        <v>1657</v>
      </c>
      <c r="B66" t="s">
        <v>1658</v>
      </c>
      <c r="C66" t="s">
        <v>1722</v>
      </c>
      <c r="D66" t="s">
        <v>1725</v>
      </c>
      <c r="E66" t="s">
        <v>1726</v>
      </c>
      <c r="F66" t="s">
        <v>2187</v>
      </c>
    </row>
    <row r="67" spans="1:6" x14ac:dyDescent="0.3">
      <c r="A67" t="s">
        <v>1657</v>
      </c>
      <c r="B67" t="s">
        <v>1658</v>
      </c>
      <c r="C67" t="s">
        <v>1722</v>
      </c>
      <c r="D67" t="s">
        <v>1727</v>
      </c>
      <c r="E67" t="s">
        <v>1728</v>
      </c>
      <c r="F67" t="s">
        <v>2188</v>
      </c>
    </row>
    <row r="68" spans="1:6" x14ac:dyDescent="0.3">
      <c r="A68" t="s">
        <v>1657</v>
      </c>
      <c r="B68" t="s">
        <v>1658</v>
      </c>
      <c r="C68" t="s">
        <v>1729</v>
      </c>
      <c r="D68" t="s">
        <v>1730</v>
      </c>
      <c r="E68" t="s">
        <v>1731</v>
      </c>
      <c r="F68" t="s">
        <v>2189</v>
      </c>
    </row>
    <row r="69" spans="1:6" x14ac:dyDescent="0.3">
      <c r="A69" t="s">
        <v>1657</v>
      </c>
      <c r="B69" t="s">
        <v>1658</v>
      </c>
      <c r="C69" t="s">
        <v>1729</v>
      </c>
      <c r="D69" t="s">
        <v>1646</v>
      </c>
      <c r="E69" t="s">
        <v>1647</v>
      </c>
      <c r="F69" t="s">
        <v>2190</v>
      </c>
    </row>
    <row r="70" spans="1:6" x14ac:dyDescent="0.3">
      <c r="A70" t="s">
        <v>1657</v>
      </c>
      <c r="B70" t="s">
        <v>1658</v>
      </c>
      <c r="C70" t="s">
        <v>1729</v>
      </c>
      <c r="D70" t="s">
        <v>1732</v>
      </c>
      <c r="E70" t="s">
        <v>1733</v>
      </c>
      <c r="F70" t="s">
        <v>2191</v>
      </c>
    </row>
    <row r="71" spans="1:6" x14ac:dyDescent="0.3">
      <c r="A71" t="s">
        <v>1657</v>
      </c>
      <c r="B71" t="s">
        <v>1658</v>
      </c>
      <c r="C71" t="s">
        <v>1729</v>
      </c>
      <c r="D71" t="s">
        <v>1734</v>
      </c>
      <c r="E71" t="s">
        <v>1735</v>
      </c>
      <c r="F71" t="s">
        <v>2192</v>
      </c>
    </row>
  </sheetData>
  <phoneticPr fontId="1" type="noConversion"/>
  <pageMargins left="0.75" right="0.75" top="1" bottom="1" header="0" footer="0"/>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5"/>
  <dimension ref="B2:J16"/>
  <sheetViews>
    <sheetView workbookViewId="0"/>
  </sheetViews>
  <sheetFormatPr baseColWidth="10" defaultColWidth="11.44140625" defaultRowHeight="14.4" x14ac:dyDescent="0.3"/>
  <cols>
    <col min="1" max="1" width="76" bestFit="1" customWidth="1"/>
  </cols>
  <sheetData>
    <row r="2" spans="2:10" x14ac:dyDescent="0.3">
      <c r="D2" s="1"/>
      <c r="F2" s="1"/>
      <c r="H2" s="1"/>
    </row>
    <row r="3" spans="2:10" x14ac:dyDescent="0.3">
      <c r="D3" s="1"/>
      <c r="F3" s="1"/>
      <c r="H3" s="1"/>
    </row>
    <row r="4" spans="2:10" x14ac:dyDescent="0.3">
      <c r="D4" s="1"/>
      <c r="F4" s="1"/>
      <c r="H4" s="1"/>
    </row>
    <row r="6" spans="2:10" x14ac:dyDescent="0.3">
      <c r="F6" s="1"/>
      <c r="H6" s="1"/>
    </row>
    <row r="7" spans="2:10" x14ac:dyDescent="0.3">
      <c r="F7" s="1"/>
      <c r="H7" s="1"/>
      <c r="J7" s="1"/>
    </row>
    <row r="8" spans="2:10" x14ac:dyDescent="0.3">
      <c r="F8" s="1"/>
      <c r="H8" s="1"/>
      <c r="J8" s="1"/>
    </row>
    <row r="9" spans="2:10" x14ac:dyDescent="0.3">
      <c r="F9" s="1"/>
      <c r="H9" s="1"/>
      <c r="J9" s="1"/>
    </row>
    <row r="10" spans="2:10" x14ac:dyDescent="0.3">
      <c r="F10" s="1"/>
      <c r="H10" s="1"/>
      <c r="J10" s="1"/>
    </row>
    <row r="11" spans="2:10" x14ac:dyDescent="0.3">
      <c r="F11" s="1"/>
      <c r="H11" s="1"/>
      <c r="J11" s="1"/>
    </row>
    <row r="13" spans="2:10" x14ac:dyDescent="0.3">
      <c r="B13" s="1"/>
      <c r="F13" s="1"/>
      <c r="H13" s="1"/>
    </row>
    <row r="14" spans="2:10" x14ac:dyDescent="0.3">
      <c r="F14" s="1"/>
      <c r="H14" s="1"/>
      <c r="J14" s="1"/>
    </row>
    <row r="16" spans="2:10" x14ac:dyDescent="0.3">
      <c r="F16" s="1"/>
      <c r="H16" s="1"/>
      <c r="J16" s="1"/>
    </row>
  </sheetData>
  <phoneticPr fontId="1" type="noConversion"/>
  <pageMargins left="0.75" right="0.75" top="1" bottom="1" header="0" footer="0"/>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3"/>
  <dimension ref="B1:AG50"/>
  <sheetViews>
    <sheetView workbookViewId="0">
      <selection activeCell="J3" sqref="J3"/>
    </sheetView>
  </sheetViews>
  <sheetFormatPr baseColWidth="10" defaultColWidth="9.21875" defaultRowHeight="14.4" x14ac:dyDescent="0.3"/>
  <sheetData>
    <row r="1" spans="2:33" x14ac:dyDescent="0.3">
      <c r="B1" s="49" t="str">
        <f t="array" aca="1" ref="B1" ca="1">INDEX(Unidades[selectorSeccion],MATCH(0,COUNTIF($A$1:A1,Unidades[selectorSeccion]),0))</f>
        <v>1:Módulo 0: Examen previo</v>
      </c>
      <c r="C1" s="49" t="str">
        <f t="array" aca="1" ref="C1" ca="1">INDEX(Unidades[selectorSeccion],MATCH(0,COUNTIF($A$1:B1,Unidades[selectorSeccion]),0))</f>
        <v>2:Módulo 1: Introducción</v>
      </c>
      <c r="D1" s="49" t="str">
        <f t="array" aca="1" ref="D1" ca="1">INDEX(Unidades[selectorSeccion],MATCH(0,COUNTIF($A$1:C1,Unidades[selectorSeccion]),0))</f>
        <v>3:Módulo 2: Empezando con la materia</v>
      </c>
      <c r="E1" s="49" t="str">
        <f t="array" aca="1" ref="E1" ca="1">INDEX(Unidades[selectorSeccion],MATCH(0,COUNTIF($A$1:D1,Unidades[selectorSeccion]),0))</f>
        <v>4:Examen final</v>
      </c>
      <c r="F1" s="49" t="e">
        <f t="array" aca="1" ref="F1" ca="1">INDEX(Unidades[selectorSeccion],MATCH(0,COUNTIF($A$1:E1,Unidades[selectorSeccion]),0))</f>
        <v>#N/A</v>
      </c>
      <c r="G1" s="49" t="e">
        <f t="array" aca="1" ref="G1" ca="1">INDEX(Unidades[selectorSeccion],MATCH(0,COUNTIF($A$1:F1,Unidades[selectorSeccion]),0))</f>
        <v>#N/A</v>
      </c>
      <c r="H1" s="49" t="e">
        <f t="array" aca="1" ref="H1" ca="1">INDEX(Unidades[selectorSeccion],MATCH(0,COUNTIF($A$1:G1,Unidades[selectorSeccion]),0))</f>
        <v>#N/A</v>
      </c>
      <c r="I1" s="49" t="e">
        <f t="array" aca="1" ref="I1" ca="1">INDEX(Unidades[selectorSeccion],MATCH(0,COUNTIF($A$1:H1,Unidades[selectorSeccion]),0))</f>
        <v>#N/A</v>
      </c>
      <c r="J1" s="49" t="e">
        <f t="array" aca="1" ref="J1" ca="1">INDEX(Unidades[selectorSeccion],MATCH(0,COUNTIF($A$1:I1,Unidades[selectorSeccion]),0))</f>
        <v>#N/A</v>
      </c>
      <c r="K1" s="49" t="e">
        <f t="array" aca="1" ref="K1" ca="1">INDEX(Unidades[selectorSeccion],MATCH(0,COUNTIF($A$1:J1,Unidades[selectorSeccion]),0))</f>
        <v>#N/A</v>
      </c>
      <c r="L1" s="49" t="e">
        <f t="array" aca="1" ref="L1" ca="1">INDEX(Unidades[selectorSeccion],MATCH(0,COUNTIF($A$1:K1,Unidades[selectorSeccion]),0))</f>
        <v>#N/A</v>
      </c>
      <c r="M1" s="49" t="e">
        <f t="array" aca="1" ref="M1" ca="1">INDEX(Unidades[selectorSeccion],MATCH(0,COUNTIF($A$1:L1,Unidades[selectorSeccion]),0))</f>
        <v>#N/A</v>
      </c>
      <c r="N1" s="49" t="e">
        <f t="array" aca="1" ref="N1" ca="1">INDEX(Unidades[selectorSeccion],MATCH(0,COUNTIF($A$1:M1,Unidades[selectorSeccion]),0))</f>
        <v>#N/A</v>
      </c>
      <c r="O1" s="49" t="e">
        <f t="array" aca="1" ref="O1" ca="1">INDEX(Unidades[selectorSeccion],MATCH(0,COUNTIF($A$1:N1,Unidades[selectorSeccion]),0))</f>
        <v>#N/A</v>
      </c>
      <c r="P1" s="49" t="e">
        <f t="array" aca="1" ref="P1" ca="1">INDEX(Unidades[selectorSeccion],MATCH(0,COUNTIF($A$1:O1,Unidades[selectorSeccion]),0))</f>
        <v>#N/A</v>
      </c>
      <c r="Q1" s="49" t="e">
        <f t="array" aca="1" ref="Q1" ca="1">INDEX(Unidades[selectorSeccion],MATCH(0,COUNTIF($A$1:P1,Unidades[selectorSeccion]),0))</f>
        <v>#N/A</v>
      </c>
      <c r="R1" s="49" t="e">
        <f t="array" aca="1" ref="R1" ca="1">INDEX(Unidades[selectorSeccion],MATCH(0,COUNTIF($A$1:Q1,Unidades[selectorSeccion]),0))</f>
        <v>#N/A</v>
      </c>
      <c r="S1" s="49" t="e">
        <f t="array" aca="1" ref="S1" ca="1">INDEX(Unidades[selectorSeccion],MATCH(0,COUNTIF($A$1:R1,Unidades[selectorSeccion]),0))</f>
        <v>#N/A</v>
      </c>
      <c r="T1" s="49" t="e">
        <f t="array" aca="1" ref="T1" ca="1">INDEX(Unidades[selectorSeccion],MATCH(0,COUNTIF($A$1:S1,Unidades[selectorSeccion]),0))</f>
        <v>#N/A</v>
      </c>
      <c r="U1" s="49" t="e">
        <f t="array" aca="1" ref="U1" ca="1">INDEX(Unidades[selectorSeccion],MATCH(0,COUNTIF($A$1:T1,Unidades[selectorSeccion]),0))</f>
        <v>#N/A</v>
      </c>
      <c r="V1" s="49" t="e">
        <f t="array" aca="1" ref="V1" ca="1">INDEX(Unidades[selectorSeccion],MATCH(0,COUNTIF($A$1:U1,Unidades[selectorSeccion]),0))</f>
        <v>#N/A</v>
      </c>
      <c r="W1" s="49" t="e">
        <f t="array" aca="1" ref="W1" ca="1">INDEX(Unidades[selectorSeccion],MATCH(0,COUNTIF($A$1:V1,Unidades[selectorSeccion]),0))</f>
        <v>#N/A</v>
      </c>
      <c r="X1" s="49" t="e">
        <f t="array" aca="1" ref="X1" ca="1">INDEX(Unidades[selectorSeccion],MATCH(0,COUNTIF($A$1:W1,Unidades[selectorSeccion]),0))</f>
        <v>#N/A</v>
      </c>
      <c r="Y1" s="49" t="e">
        <f t="array" aca="1" ref="Y1" ca="1">INDEX(Unidades[selectorSeccion],MATCH(0,COUNTIF($A$1:X1,Unidades[selectorSeccion]),0))</f>
        <v>#N/A</v>
      </c>
      <c r="Z1" s="49" t="e">
        <f t="array" aca="1" ref="Z1" ca="1">INDEX(Unidades[selectorSeccion],MATCH(0,COUNTIF($A$1:Y1,Unidades[selectorSeccion]),0))</f>
        <v>#N/A</v>
      </c>
      <c r="AA1" s="49" t="e">
        <f t="array" aca="1" ref="AA1" ca="1">INDEX(Unidades[selectorSeccion],MATCH(0,COUNTIF($A$1:Z1,Unidades[selectorSeccion]),0))</f>
        <v>#N/A</v>
      </c>
      <c r="AB1" s="49" t="e">
        <f t="array" aca="1" ref="AB1" ca="1">INDEX(Unidades[selectorSeccion],MATCH(0,COUNTIF($A$1:AA1,Unidades[selectorSeccion]),0))</f>
        <v>#N/A</v>
      </c>
      <c r="AC1" s="49" t="e">
        <f t="array" aca="1" ref="AC1" ca="1">INDEX(Unidades[selectorSeccion],MATCH(0,COUNTIF($A$1:AB1,Unidades[selectorSeccion]),0))</f>
        <v>#N/A</v>
      </c>
      <c r="AD1" s="49" t="e">
        <f t="array" aca="1" ref="AD1" ca="1">INDEX(Unidades[selectorSeccion],MATCH(0,COUNTIF($A$1:AC1,Unidades[selectorSeccion]),0))</f>
        <v>#N/A</v>
      </c>
      <c r="AE1" s="49" t="e">
        <f t="array" aca="1" ref="AE1" ca="1">INDEX(Unidades[selectorSeccion],MATCH(0,COUNTIF($A$1:AD1,Unidades[selectorSeccion]),0))</f>
        <v>#N/A</v>
      </c>
      <c r="AF1" s="49" t="e">
        <f t="array" aca="1" ref="AF1" ca="1">INDEX(Unidades[selectorSeccion],MATCH(0,COUNTIF($A$1:AE1,Unidades[selectorSeccion]),0))</f>
        <v>#N/A</v>
      </c>
      <c r="AG1" s="49" t="e">
        <f t="array" aca="1" ref="AG1" ca="1">INDEX(Unidades[selectorSeccion],MATCH(0,COUNTIF($A$1:AF1,Unidades[selectorSeccion]),0))</f>
        <v>#N/A</v>
      </c>
    </row>
    <row r="2" spans="2:33" x14ac:dyDescent="0.3">
      <c r="B2" s="50" t="str">
        <f t="array" aca="1" ref="B2" ca="1">IFERROR(INDEX(Unidades[selectorSubSeccion],SMALL(IF(B$1=Unidades[selectorSeccion],MATCH(ROW(Unidades[selectorSeccion]),ROW(Unidades[selectorSeccion]))),ROW(A1))),"")</f>
        <v>1:1:test de conocimiento</v>
      </c>
      <c r="C2" s="50" t="str">
        <f t="array" aca="1" ref="C2" ca="1">IFERROR(INDEX(Unidades[selectorSubSeccion],SMALL(IF(C$1=Unidades[selectorSeccion],MATCH(ROW(Unidades[selectorSeccion]),ROW(Unidades[selectorSeccion]))),ROW(B1))),"")</f>
        <v>2:1:Introducción</v>
      </c>
      <c r="D2" s="50" t="str">
        <f t="array" aca="1" ref="D2" ca="1">IFERROR(INDEX(Unidades[selectorSubSeccion],SMALL(IF(D$1=Unidades[selectorSeccion],MATCH(ROW(Unidades[selectorSeccion]),ROW(Unidades[selectorSeccion]))),ROW(C1))),"")</f>
        <v>3:1:Introducción</v>
      </c>
      <c r="E2" s="50" t="str">
        <f t="array" aca="1" ref="E2" ca="1">IFERROR(INDEX(Unidades[selectorSubSeccion],SMALL(IF(E$1=Unidades[selectorSeccion],MATCH(ROW(Unidades[selectorSeccion]),ROW(Unidades[selectorSeccion]))),ROW(D1))),"")</f>
        <v>4:1:Exámen final</v>
      </c>
      <c r="F2" s="50" t="str">
        <f t="array" aca="1" ref="F2" ca="1">IFERROR(INDEX(Unidades[selectorSubSeccion],SMALL(IF(F$1=Unidades[selectorSeccion],MATCH(ROW(Unidades[selectorSeccion]),ROW(Unidades[selectorSeccion]))),ROW(E1))),"")</f>
        <v/>
      </c>
      <c r="G2" s="50" t="str">
        <f t="array" aca="1" ref="G2" ca="1">IFERROR(INDEX(Unidades[selectorSubSeccion],SMALL(IF(G$1=Unidades[selectorSeccion],MATCH(ROW(Unidades[selectorSeccion]),ROW(Unidades[selectorSeccion]))),ROW(F1))),"")</f>
        <v/>
      </c>
      <c r="H2" s="50" t="str">
        <f t="array" aca="1" ref="H2" ca="1">IFERROR(INDEX(Unidades[selectorSubSeccion],SMALL(IF(H$1=Unidades[selectorSeccion],MATCH(ROW(Unidades[selectorSeccion]),ROW(Unidades[selectorSeccion]))),ROW(G1))),"")</f>
        <v/>
      </c>
      <c r="I2" s="50" t="str">
        <f t="array" aca="1" ref="I2" ca="1">IFERROR(INDEX(Unidades[selectorSubSeccion],SMALL(IF(I$1=Unidades[selectorSeccion],MATCH(ROW(Unidades[selectorSeccion]),ROW(Unidades[selectorSeccion]))),ROW(H1))),"")</f>
        <v/>
      </c>
      <c r="J2" s="50" t="str">
        <f t="array" aca="1" ref="J2" ca="1">IFERROR(INDEX(Unidades[selectorSubSeccion],SMALL(IF(J$1=Unidades[selectorSeccion],MATCH(ROW(Unidades[selectorSeccion]),ROW(Unidades[selectorSeccion]))),ROW(I1))),"")</f>
        <v/>
      </c>
      <c r="K2" s="50" t="str">
        <f t="array" aca="1" ref="K2" ca="1">IFERROR(INDEX(Unidades[selectorSubSeccion],SMALL(IF(K$1=Unidades[selectorSeccion],MATCH(ROW(Unidades[selectorSeccion]),ROW(Unidades[selectorSeccion]))),ROW(J1))),"")</f>
        <v/>
      </c>
      <c r="L2" s="50" t="str">
        <f t="array" aca="1" ref="L2" ca="1">IFERROR(INDEX(Unidades[selectorSubSeccion],SMALL(IF(L$1=Unidades[selectorSeccion],MATCH(ROW(Unidades[selectorSeccion]),ROW(Unidades[selectorSeccion]))),ROW(K1))),"")</f>
        <v/>
      </c>
      <c r="M2" s="50" t="str">
        <f t="array" aca="1" ref="M2" ca="1">IFERROR(INDEX(Unidades[selectorSubSeccion],SMALL(IF(M$1=Unidades[selectorSeccion],MATCH(ROW(Unidades[selectorSeccion]),ROW(Unidades[selectorSeccion]))),ROW(L1))),"")</f>
        <v/>
      </c>
      <c r="N2" s="50" t="str">
        <f t="array" aca="1" ref="N2" ca="1">IFERROR(INDEX(Unidades[selectorSubSeccion],SMALL(IF(N$1=Unidades[selectorSeccion],MATCH(ROW(Unidades[selectorSeccion]),ROW(Unidades[selectorSeccion]))),ROW(M1))),"")</f>
        <v/>
      </c>
      <c r="O2" s="50" t="str">
        <f t="array" aca="1" ref="O2" ca="1">IFERROR(INDEX(Unidades[selectorSubSeccion],SMALL(IF(O$1=Unidades[selectorSeccion],MATCH(ROW(Unidades[selectorSeccion]),ROW(Unidades[selectorSeccion]))),ROW(N1))),"")</f>
        <v/>
      </c>
      <c r="P2" s="50" t="str">
        <f t="array" aca="1" ref="P2" ca="1">IFERROR(INDEX(Unidades[selectorSubSeccion],SMALL(IF(P$1=Unidades[selectorSeccion],MATCH(ROW(Unidades[selectorSeccion]),ROW(Unidades[selectorSeccion]))),ROW(O1))),"")</f>
        <v/>
      </c>
      <c r="Q2" s="50" t="str">
        <f t="array" aca="1" ref="Q2" ca="1">IFERROR(INDEX(Unidades[selectorSubSeccion],SMALL(IF(Q$1=Unidades[selectorSeccion],MATCH(ROW(Unidades[selectorSeccion]),ROW(Unidades[selectorSeccion]))),ROW(P1))),"")</f>
        <v/>
      </c>
      <c r="R2" s="50" t="str">
        <f t="array" aca="1" ref="R2" ca="1">IFERROR(INDEX(Unidades[selectorSubSeccion],SMALL(IF(R$1=Unidades[selectorSeccion],MATCH(ROW(Unidades[selectorSeccion]),ROW(Unidades[selectorSeccion]))),ROW(Q1))),"")</f>
        <v/>
      </c>
      <c r="S2" s="50" t="str">
        <f t="array" aca="1" ref="S2" ca="1">IFERROR(INDEX(Unidades[selectorSubSeccion],SMALL(IF(S$1=Unidades[selectorSeccion],MATCH(ROW(Unidades[selectorSeccion]),ROW(Unidades[selectorSeccion]))),ROW(R1))),"")</f>
        <v/>
      </c>
      <c r="T2" s="50" t="str">
        <f t="array" aca="1" ref="T2" ca="1">IFERROR(INDEX(Unidades[selectorSubSeccion],SMALL(IF(T$1=Unidades[selectorSeccion],MATCH(ROW(Unidades[selectorSeccion]),ROW(Unidades[selectorSeccion]))),ROW(S1))),"")</f>
        <v/>
      </c>
      <c r="U2" s="50" t="str">
        <f t="array" aca="1" ref="U2" ca="1">IFERROR(INDEX(Unidades[selectorSubSeccion],SMALL(IF(U$1=Unidades[selectorSeccion],MATCH(ROW(Unidades[selectorSeccion]),ROW(Unidades[selectorSeccion]))),ROW(T1))),"")</f>
        <v/>
      </c>
      <c r="V2" s="50" t="str">
        <f t="array" aca="1" ref="V2" ca="1">IFERROR(INDEX(Unidades[selectorSubSeccion],SMALL(IF(V$1=Unidades[selectorSeccion],MATCH(ROW(Unidades[selectorSeccion]),ROW(Unidades[selectorSeccion]))),ROW(U1))),"")</f>
        <v/>
      </c>
      <c r="W2" s="50" t="str">
        <f t="array" aca="1" ref="W2" ca="1">IFERROR(INDEX(Unidades[selectorSubSeccion],SMALL(IF(W$1=Unidades[selectorSeccion],MATCH(ROW(Unidades[selectorSeccion]),ROW(Unidades[selectorSeccion]))),ROW(V1))),"")</f>
        <v/>
      </c>
      <c r="X2" s="50" t="str">
        <f t="array" aca="1" ref="X2" ca="1">IFERROR(INDEX(Unidades[selectorSubSeccion],SMALL(IF(X$1=Unidades[selectorSeccion],MATCH(ROW(Unidades[selectorSeccion]),ROW(Unidades[selectorSeccion]))),ROW(W1))),"")</f>
        <v/>
      </c>
      <c r="Y2" s="50" t="str">
        <f t="array" aca="1" ref="Y2" ca="1">IFERROR(INDEX(Unidades[selectorSubSeccion],SMALL(IF(Y$1=Unidades[selectorSeccion],MATCH(ROW(Unidades[selectorSeccion]),ROW(Unidades[selectorSeccion]))),ROW(X1))),"")</f>
        <v/>
      </c>
      <c r="Z2" s="50" t="str">
        <f t="array" aca="1" ref="Z2" ca="1">IFERROR(INDEX(Unidades[selectorSubSeccion],SMALL(IF(Z$1=Unidades[selectorSeccion],MATCH(ROW(Unidades[selectorSeccion]),ROW(Unidades[selectorSeccion]))),ROW(Y1))),"")</f>
        <v/>
      </c>
      <c r="AA2" s="50" t="str">
        <f t="array" aca="1" ref="AA2" ca="1">IFERROR(INDEX(Unidades[selectorSubSeccion],SMALL(IF(AA$1=Unidades[selectorSeccion],MATCH(ROW(Unidades[selectorSeccion]),ROW(Unidades[selectorSeccion]))),ROW(Z1))),"")</f>
        <v/>
      </c>
      <c r="AB2" s="50" t="str">
        <f t="array" aca="1" ref="AB2" ca="1">IFERROR(INDEX(Unidades[selectorSubSeccion],SMALL(IF(AB$1=Unidades[selectorSeccion],MATCH(ROW(Unidades[selectorSeccion]),ROW(Unidades[selectorSeccion]))),ROW(AA1))),"")</f>
        <v/>
      </c>
      <c r="AC2" s="50" t="str">
        <f t="array" aca="1" ref="AC2" ca="1">IFERROR(INDEX(Unidades[selectorSubSeccion],SMALL(IF(AC$1=Unidades[selectorSeccion],MATCH(ROW(Unidades[selectorSeccion]),ROW(Unidades[selectorSeccion]))),ROW(AB1))),"")</f>
        <v/>
      </c>
      <c r="AD2" s="50" t="str">
        <f t="array" aca="1" ref="AD2" ca="1">IFERROR(INDEX(Unidades[selectorSubSeccion],SMALL(IF(AD$1=Unidades[selectorSeccion],MATCH(ROW(Unidades[selectorSeccion]),ROW(Unidades[selectorSeccion]))),ROW(AC1))),"")</f>
        <v/>
      </c>
      <c r="AE2" s="50" t="str">
        <f t="array" aca="1" ref="AE2" ca="1">IFERROR(INDEX(Unidades[selectorSubSeccion],SMALL(IF(AE$1=Unidades[selectorSeccion],MATCH(ROW(Unidades[selectorSeccion]),ROW(Unidades[selectorSeccion]))),ROW(AD1))),"")</f>
        <v/>
      </c>
      <c r="AF2" s="50" t="str">
        <f t="array" aca="1" ref="AF2" ca="1">IFERROR(INDEX(Unidades[selectorSubSeccion],SMALL(IF(AF$1=Unidades[selectorSeccion],MATCH(ROW(Unidades[selectorSeccion]),ROW(Unidades[selectorSeccion]))),ROW(AE1))),"")</f>
        <v/>
      </c>
      <c r="AG2" s="50" t="str">
        <f t="array" aca="1" ref="AG2" ca="1">IFERROR(INDEX(Unidades[selectorSubSeccion],SMALL(IF(AG$1=Unidades[selectorSeccion],MATCH(ROW(Unidades[selectorSeccion]),ROW(Unidades[selectorSeccion]))),ROW(AF1))),"")</f>
        <v/>
      </c>
    </row>
    <row r="3" spans="2:33" x14ac:dyDescent="0.3">
      <c r="B3" s="50" t="str">
        <f t="array" aca="1" ref="B3" ca="1">IFERROR(INDEX(Unidades[selectorSubSeccion],SMALL(IF(B$1=Unidades[selectorSeccion],MATCH(ROW(Unidades[selectorSeccion]),ROW(Unidades[selectorSeccion]))),ROW(A2))),"")</f>
        <v/>
      </c>
      <c r="C3" s="50" t="str">
        <f t="array" aca="1" ref="C3" ca="1">IFERROR(INDEX(Unidades[selectorSubSeccion],SMALL(IF(C$1=Unidades[selectorSeccion],MATCH(ROW(Unidades[selectorSeccion]),ROW(Unidades[selectorSeccion]))),ROW(B2))),"")</f>
        <v>2:2:Primeras lecciones</v>
      </c>
      <c r="D3" s="50" t="str">
        <f t="array" aca="1" ref="D3" ca="1">IFERROR(INDEX(Unidades[selectorSubSeccion],SMALL(IF(D$1=Unidades[selectorSeccion],MATCH(ROW(Unidades[selectorSeccion]),ROW(Unidades[selectorSeccion]))),ROW(C2))),"")</f>
        <v>3:2:Temas relacionados</v>
      </c>
      <c r="E3" s="50" t="str">
        <f t="array" aca="1" ref="E3" ca="1">IFERROR(INDEX(Unidades[selectorSubSeccion],SMALL(IF(E$1=Unidades[selectorSeccion],MATCH(ROW(Unidades[selectorSeccion]),ROW(Unidades[selectorSeccion]))),ROW(D2))),"")</f>
        <v/>
      </c>
      <c r="F3" s="50" t="str">
        <f t="array" aca="1" ref="F3" ca="1">IFERROR(INDEX(Unidades[selectorSubSeccion],SMALL(IF(F$1=Unidades[selectorSeccion],MATCH(ROW(Unidades[selectorSeccion]),ROW(Unidades[selectorSeccion]))),ROW(E2))),"")</f>
        <v/>
      </c>
      <c r="G3" s="50" t="str">
        <f t="array" aca="1" ref="G3" ca="1">IFERROR(INDEX(Unidades[selectorSubSeccion],SMALL(IF(G$1=Unidades[selectorSeccion],MATCH(ROW(Unidades[selectorSeccion]),ROW(Unidades[selectorSeccion]))),ROW(F2))),"")</f>
        <v/>
      </c>
      <c r="H3" s="50" t="str">
        <f t="array" aca="1" ref="H3" ca="1">IFERROR(INDEX(Unidades[selectorSubSeccion],SMALL(IF(H$1=Unidades[selectorSeccion],MATCH(ROW(Unidades[selectorSeccion]),ROW(Unidades[selectorSeccion]))),ROW(G2))),"")</f>
        <v/>
      </c>
      <c r="I3" s="50" t="str">
        <f t="array" aca="1" ref="I3" ca="1">IFERROR(INDEX(Unidades[selectorSubSeccion],SMALL(IF(I$1=Unidades[selectorSeccion],MATCH(ROW(Unidades[selectorSeccion]),ROW(Unidades[selectorSeccion]))),ROW(H2))),"")</f>
        <v/>
      </c>
      <c r="J3" s="50" t="str">
        <f t="array" aca="1" ref="J3" ca="1">IFERROR(INDEX(Unidades[selectorSubSeccion],SMALL(IF(J$1=Unidades[selectorSeccion],MATCH(ROW(Unidades[selectorSeccion]),ROW(Unidades[selectorSeccion]))),ROW(I2))),"")</f>
        <v/>
      </c>
      <c r="K3" s="50" t="str">
        <f t="array" aca="1" ref="K3" ca="1">IFERROR(INDEX(Unidades[selectorSubSeccion],SMALL(IF(K$1=Unidades[selectorSeccion],MATCH(ROW(Unidades[selectorSeccion]),ROW(Unidades[selectorSeccion]))),ROW(J2))),"")</f>
        <v/>
      </c>
      <c r="L3" s="50" t="str">
        <f t="array" aca="1" ref="L3" ca="1">IFERROR(INDEX(Unidades[selectorSubSeccion],SMALL(IF(L$1=Unidades[selectorSeccion],MATCH(ROW(Unidades[selectorSeccion]),ROW(Unidades[selectorSeccion]))),ROW(K2))),"")</f>
        <v/>
      </c>
      <c r="M3" s="50" t="str">
        <f t="array" aca="1" ref="M3" ca="1">IFERROR(INDEX(Unidades[selectorSubSeccion],SMALL(IF(M$1=Unidades[selectorSeccion],MATCH(ROW(Unidades[selectorSeccion]),ROW(Unidades[selectorSeccion]))),ROW(L2))),"")</f>
        <v/>
      </c>
      <c r="N3" s="50" t="str">
        <f t="array" aca="1" ref="N3" ca="1">IFERROR(INDEX(Unidades[selectorSubSeccion],SMALL(IF(N$1=Unidades[selectorSeccion],MATCH(ROW(Unidades[selectorSeccion]),ROW(Unidades[selectorSeccion]))),ROW(M2))),"")</f>
        <v/>
      </c>
      <c r="O3" s="50" t="str">
        <f t="array" aca="1" ref="O3" ca="1">IFERROR(INDEX(Unidades[selectorSubSeccion],SMALL(IF(O$1=Unidades[selectorSeccion],MATCH(ROW(Unidades[selectorSeccion]),ROW(Unidades[selectorSeccion]))),ROW(N2))),"")</f>
        <v/>
      </c>
      <c r="P3" s="50" t="str">
        <f t="array" aca="1" ref="P3" ca="1">IFERROR(INDEX(Unidades[selectorSubSeccion],SMALL(IF(P$1=Unidades[selectorSeccion],MATCH(ROW(Unidades[selectorSeccion]),ROW(Unidades[selectorSeccion]))),ROW(O2))),"")</f>
        <v/>
      </c>
      <c r="Q3" s="50" t="str">
        <f t="array" aca="1" ref="Q3" ca="1">IFERROR(INDEX(Unidades[selectorSubSeccion],SMALL(IF(Q$1=Unidades[selectorSeccion],MATCH(ROW(Unidades[selectorSeccion]),ROW(Unidades[selectorSeccion]))),ROW(P2))),"")</f>
        <v/>
      </c>
      <c r="R3" s="50" t="str">
        <f t="array" aca="1" ref="R3" ca="1">IFERROR(INDEX(Unidades[selectorSubSeccion],SMALL(IF(R$1=Unidades[selectorSeccion],MATCH(ROW(Unidades[selectorSeccion]),ROW(Unidades[selectorSeccion]))),ROW(Q2))),"")</f>
        <v/>
      </c>
      <c r="S3" s="50" t="str">
        <f t="array" aca="1" ref="S3" ca="1">IFERROR(INDEX(Unidades[selectorSubSeccion],SMALL(IF(S$1=Unidades[selectorSeccion],MATCH(ROW(Unidades[selectorSeccion]),ROW(Unidades[selectorSeccion]))),ROW(R2))),"")</f>
        <v/>
      </c>
      <c r="T3" s="50" t="str">
        <f t="array" aca="1" ref="T3" ca="1">IFERROR(INDEX(Unidades[selectorSubSeccion],SMALL(IF(T$1=Unidades[selectorSeccion],MATCH(ROW(Unidades[selectorSeccion]),ROW(Unidades[selectorSeccion]))),ROW(S2))),"")</f>
        <v/>
      </c>
      <c r="U3" s="50" t="str">
        <f t="array" aca="1" ref="U3" ca="1">IFERROR(INDEX(Unidades[selectorSubSeccion],SMALL(IF(U$1=Unidades[selectorSeccion],MATCH(ROW(Unidades[selectorSeccion]),ROW(Unidades[selectorSeccion]))),ROW(T2))),"")</f>
        <v/>
      </c>
      <c r="V3" s="50" t="str">
        <f t="array" aca="1" ref="V3" ca="1">IFERROR(INDEX(Unidades[selectorSubSeccion],SMALL(IF(V$1=Unidades[selectorSeccion],MATCH(ROW(Unidades[selectorSeccion]),ROW(Unidades[selectorSeccion]))),ROW(U2))),"")</f>
        <v/>
      </c>
      <c r="W3" s="50" t="str">
        <f t="array" aca="1" ref="W3" ca="1">IFERROR(INDEX(Unidades[selectorSubSeccion],SMALL(IF(W$1=Unidades[selectorSeccion],MATCH(ROW(Unidades[selectorSeccion]),ROW(Unidades[selectorSeccion]))),ROW(V2))),"")</f>
        <v/>
      </c>
      <c r="X3" s="50" t="str">
        <f t="array" aca="1" ref="X3" ca="1">IFERROR(INDEX(Unidades[selectorSubSeccion],SMALL(IF(X$1=Unidades[selectorSeccion],MATCH(ROW(Unidades[selectorSeccion]),ROW(Unidades[selectorSeccion]))),ROW(W2))),"")</f>
        <v/>
      </c>
      <c r="Y3" s="50" t="str">
        <f t="array" aca="1" ref="Y3" ca="1">IFERROR(INDEX(Unidades[selectorSubSeccion],SMALL(IF(Y$1=Unidades[selectorSeccion],MATCH(ROW(Unidades[selectorSeccion]),ROW(Unidades[selectorSeccion]))),ROW(X2))),"")</f>
        <v/>
      </c>
      <c r="Z3" s="50" t="str">
        <f t="array" aca="1" ref="Z3" ca="1">IFERROR(INDEX(Unidades[selectorSubSeccion],SMALL(IF(Z$1=Unidades[selectorSeccion],MATCH(ROW(Unidades[selectorSeccion]),ROW(Unidades[selectorSeccion]))),ROW(Y2))),"")</f>
        <v/>
      </c>
      <c r="AA3" s="50" t="str">
        <f t="array" aca="1" ref="AA3" ca="1">IFERROR(INDEX(Unidades[selectorSubSeccion],SMALL(IF(AA$1=Unidades[selectorSeccion],MATCH(ROW(Unidades[selectorSeccion]),ROW(Unidades[selectorSeccion]))),ROW(Z2))),"")</f>
        <v/>
      </c>
      <c r="AB3" s="50" t="str">
        <f t="array" aca="1" ref="AB3" ca="1">IFERROR(INDEX(Unidades[selectorSubSeccion],SMALL(IF(AB$1=Unidades[selectorSeccion],MATCH(ROW(Unidades[selectorSeccion]),ROW(Unidades[selectorSeccion]))),ROW(AA2))),"")</f>
        <v/>
      </c>
      <c r="AC3" s="50" t="str">
        <f t="array" aca="1" ref="AC3" ca="1">IFERROR(INDEX(Unidades[selectorSubSeccion],SMALL(IF(AC$1=Unidades[selectorSeccion],MATCH(ROW(Unidades[selectorSeccion]),ROW(Unidades[selectorSeccion]))),ROW(AB2))),"")</f>
        <v/>
      </c>
      <c r="AD3" s="50" t="str">
        <f t="array" aca="1" ref="AD3" ca="1">IFERROR(INDEX(Unidades[selectorSubSeccion],SMALL(IF(AD$1=Unidades[selectorSeccion],MATCH(ROW(Unidades[selectorSeccion]),ROW(Unidades[selectorSeccion]))),ROW(AC2))),"")</f>
        <v/>
      </c>
      <c r="AE3" s="50" t="str">
        <f t="array" aca="1" ref="AE3" ca="1">IFERROR(INDEX(Unidades[selectorSubSeccion],SMALL(IF(AE$1=Unidades[selectorSeccion],MATCH(ROW(Unidades[selectorSeccion]),ROW(Unidades[selectorSeccion]))),ROW(AD2))),"")</f>
        <v/>
      </c>
      <c r="AF3" s="50" t="str">
        <f t="array" aca="1" ref="AF3" ca="1">IFERROR(INDEX(Unidades[selectorSubSeccion],SMALL(IF(AF$1=Unidades[selectorSeccion],MATCH(ROW(Unidades[selectorSeccion]),ROW(Unidades[selectorSeccion]))),ROW(AE2))),"")</f>
        <v/>
      </c>
      <c r="AG3" s="50" t="str">
        <f t="array" aca="1" ref="AG3" ca="1">IFERROR(INDEX(Unidades[selectorSubSeccion],SMALL(IF(AG$1=Unidades[selectorSeccion],MATCH(ROW(Unidades[selectorSeccion]),ROW(Unidades[selectorSeccion]))),ROW(AF2))),"")</f>
        <v/>
      </c>
    </row>
    <row r="4" spans="2:33" x14ac:dyDescent="0.3">
      <c r="B4" s="50" t="str">
        <f t="array" aca="1" ref="B4" ca="1">IFERROR(INDEX(Unidades[selectorSubSeccion],SMALL(IF(B$1=Unidades[selectorSeccion],MATCH(ROW(Unidades[selectorSeccion]),ROW(Unidades[selectorSeccion]))),ROW(A3))),"")</f>
        <v/>
      </c>
      <c r="C4" s="50" t="str">
        <f t="array" aca="1" ref="C4" ca="1">IFERROR(INDEX(Unidades[selectorSubSeccion],SMALL(IF(C$1=Unidades[selectorSeccion],MATCH(ROW(Unidades[selectorSeccion]),ROW(Unidades[selectorSeccion]))),ROW(B3))),"")</f>
        <v>2:3:Importancia de la materia</v>
      </c>
      <c r="D4" s="50" t="str">
        <f t="array" aca="1" ref="D4" ca="1">IFERROR(INDEX(Unidades[selectorSubSeccion],SMALL(IF(D$1=Unidades[selectorSeccion],MATCH(ROW(Unidades[selectorSeccion]),ROW(Unidades[selectorSeccion]))),ROW(C3))),"")</f>
        <v>3:3:Ecuaciones básicas</v>
      </c>
      <c r="E4" s="50" t="str">
        <f t="array" aca="1" ref="E4" ca="1">IFERROR(INDEX(Unidades[selectorSubSeccion],SMALL(IF(E$1=Unidades[selectorSeccion],MATCH(ROW(Unidades[selectorSeccion]),ROW(Unidades[selectorSeccion]))),ROW(D3))),"")</f>
        <v/>
      </c>
      <c r="F4" s="50" t="str">
        <f t="array" aca="1" ref="F4" ca="1">IFERROR(INDEX(Unidades[selectorSubSeccion],SMALL(IF(F$1=Unidades[selectorSeccion],MATCH(ROW(Unidades[selectorSeccion]),ROW(Unidades[selectorSeccion]))),ROW(E3))),"")</f>
        <v/>
      </c>
      <c r="G4" s="50" t="str">
        <f t="array" aca="1" ref="G4" ca="1">IFERROR(INDEX(Unidades[selectorSubSeccion],SMALL(IF(G$1=Unidades[selectorSeccion],MATCH(ROW(Unidades[selectorSeccion]),ROW(Unidades[selectorSeccion]))),ROW(F3))),"")</f>
        <v/>
      </c>
      <c r="H4" s="50" t="str">
        <f t="array" aca="1" ref="H4" ca="1">IFERROR(INDEX(Unidades[selectorSubSeccion],SMALL(IF(H$1=Unidades[selectorSeccion],MATCH(ROW(Unidades[selectorSeccion]),ROW(Unidades[selectorSeccion]))),ROW(G3))),"")</f>
        <v/>
      </c>
      <c r="I4" s="50" t="str">
        <f t="array" aca="1" ref="I4" ca="1">IFERROR(INDEX(Unidades[selectorSubSeccion],SMALL(IF(I$1=Unidades[selectorSeccion],MATCH(ROW(Unidades[selectorSeccion]),ROW(Unidades[selectorSeccion]))),ROW(H3))),"")</f>
        <v/>
      </c>
      <c r="J4" s="50" t="str">
        <f t="array" aca="1" ref="J4" ca="1">IFERROR(INDEX(Unidades[selectorSubSeccion],SMALL(IF(J$1=Unidades[selectorSeccion],MATCH(ROW(Unidades[selectorSeccion]),ROW(Unidades[selectorSeccion]))),ROW(I3))),"")</f>
        <v/>
      </c>
      <c r="K4" s="50" t="str">
        <f t="array" aca="1" ref="K4" ca="1">IFERROR(INDEX(Unidades[selectorSubSeccion],SMALL(IF(K$1=Unidades[selectorSeccion],MATCH(ROW(Unidades[selectorSeccion]),ROW(Unidades[selectorSeccion]))),ROW(J3))),"")</f>
        <v/>
      </c>
      <c r="L4" s="50" t="str">
        <f t="array" aca="1" ref="L4" ca="1">IFERROR(INDEX(Unidades[selectorSubSeccion],SMALL(IF(L$1=Unidades[selectorSeccion],MATCH(ROW(Unidades[selectorSeccion]),ROW(Unidades[selectorSeccion]))),ROW(K3))),"")</f>
        <v/>
      </c>
      <c r="M4" s="50" t="str">
        <f t="array" aca="1" ref="M4" ca="1">IFERROR(INDEX(Unidades[selectorSubSeccion],SMALL(IF(M$1=Unidades[selectorSeccion],MATCH(ROW(Unidades[selectorSeccion]),ROW(Unidades[selectorSeccion]))),ROW(L3))),"")</f>
        <v/>
      </c>
      <c r="N4" s="50" t="str">
        <f t="array" aca="1" ref="N4" ca="1">IFERROR(INDEX(Unidades[selectorSubSeccion],SMALL(IF(N$1=Unidades[selectorSeccion],MATCH(ROW(Unidades[selectorSeccion]),ROW(Unidades[selectorSeccion]))),ROW(M3))),"")</f>
        <v/>
      </c>
      <c r="O4" s="50" t="str">
        <f t="array" aca="1" ref="O4" ca="1">IFERROR(INDEX(Unidades[selectorSubSeccion],SMALL(IF(O$1=Unidades[selectorSeccion],MATCH(ROW(Unidades[selectorSeccion]),ROW(Unidades[selectorSeccion]))),ROW(N3))),"")</f>
        <v/>
      </c>
      <c r="P4" s="50" t="str">
        <f t="array" aca="1" ref="P4" ca="1">IFERROR(INDEX(Unidades[selectorSubSeccion],SMALL(IF(P$1=Unidades[selectorSeccion],MATCH(ROW(Unidades[selectorSeccion]),ROW(Unidades[selectorSeccion]))),ROW(O3))),"")</f>
        <v/>
      </c>
      <c r="Q4" s="50" t="str">
        <f t="array" aca="1" ref="Q4" ca="1">IFERROR(INDEX(Unidades[selectorSubSeccion],SMALL(IF(Q$1=Unidades[selectorSeccion],MATCH(ROW(Unidades[selectorSeccion]),ROW(Unidades[selectorSeccion]))),ROW(P3))),"")</f>
        <v/>
      </c>
      <c r="R4" s="50" t="str">
        <f t="array" aca="1" ref="R4" ca="1">IFERROR(INDEX(Unidades[selectorSubSeccion],SMALL(IF(R$1=Unidades[selectorSeccion],MATCH(ROW(Unidades[selectorSeccion]),ROW(Unidades[selectorSeccion]))),ROW(Q3))),"")</f>
        <v/>
      </c>
      <c r="S4" s="50" t="str">
        <f t="array" aca="1" ref="S4" ca="1">IFERROR(INDEX(Unidades[selectorSubSeccion],SMALL(IF(S$1=Unidades[selectorSeccion],MATCH(ROW(Unidades[selectorSeccion]),ROW(Unidades[selectorSeccion]))),ROW(R3))),"")</f>
        <v/>
      </c>
      <c r="T4" s="50" t="str">
        <f t="array" aca="1" ref="T4" ca="1">IFERROR(INDEX(Unidades[selectorSubSeccion],SMALL(IF(T$1=Unidades[selectorSeccion],MATCH(ROW(Unidades[selectorSeccion]),ROW(Unidades[selectorSeccion]))),ROW(S3))),"")</f>
        <v/>
      </c>
      <c r="U4" s="50" t="str">
        <f t="array" aca="1" ref="U4" ca="1">IFERROR(INDEX(Unidades[selectorSubSeccion],SMALL(IF(U$1=Unidades[selectorSeccion],MATCH(ROW(Unidades[selectorSeccion]),ROW(Unidades[selectorSeccion]))),ROW(T3))),"")</f>
        <v/>
      </c>
      <c r="V4" s="50" t="str">
        <f t="array" aca="1" ref="V4" ca="1">IFERROR(INDEX(Unidades[selectorSubSeccion],SMALL(IF(V$1=Unidades[selectorSeccion],MATCH(ROW(Unidades[selectorSeccion]),ROW(Unidades[selectorSeccion]))),ROW(U3))),"")</f>
        <v/>
      </c>
      <c r="W4" s="50" t="str">
        <f t="array" aca="1" ref="W4" ca="1">IFERROR(INDEX(Unidades[selectorSubSeccion],SMALL(IF(W$1=Unidades[selectorSeccion],MATCH(ROW(Unidades[selectorSeccion]),ROW(Unidades[selectorSeccion]))),ROW(V3))),"")</f>
        <v/>
      </c>
      <c r="X4" s="50" t="str">
        <f t="array" aca="1" ref="X4" ca="1">IFERROR(INDEX(Unidades[selectorSubSeccion],SMALL(IF(X$1=Unidades[selectorSeccion],MATCH(ROW(Unidades[selectorSeccion]),ROW(Unidades[selectorSeccion]))),ROW(W3))),"")</f>
        <v/>
      </c>
      <c r="Y4" s="50" t="str">
        <f t="array" aca="1" ref="Y4" ca="1">IFERROR(INDEX(Unidades[selectorSubSeccion],SMALL(IF(Y$1=Unidades[selectorSeccion],MATCH(ROW(Unidades[selectorSeccion]),ROW(Unidades[selectorSeccion]))),ROW(X3))),"")</f>
        <v/>
      </c>
      <c r="Z4" s="50" t="str">
        <f t="array" aca="1" ref="Z4" ca="1">IFERROR(INDEX(Unidades[selectorSubSeccion],SMALL(IF(Z$1=Unidades[selectorSeccion],MATCH(ROW(Unidades[selectorSeccion]),ROW(Unidades[selectorSeccion]))),ROW(Y3))),"")</f>
        <v/>
      </c>
      <c r="AA4" s="50" t="str">
        <f t="array" aca="1" ref="AA4" ca="1">IFERROR(INDEX(Unidades[selectorSubSeccion],SMALL(IF(AA$1=Unidades[selectorSeccion],MATCH(ROW(Unidades[selectorSeccion]),ROW(Unidades[selectorSeccion]))),ROW(Z3))),"")</f>
        <v/>
      </c>
      <c r="AB4" s="50" t="str">
        <f t="array" aca="1" ref="AB4" ca="1">IFERROR(INDEX(Unidades[selectorSubSeccion],SMALL(IF(AB$1=Unidades[selectorSeccion],MATCH(ROW(Unidades[selectorSeccion]),ROW(Unidades[selectorSeccion]))),ROW(AA3))),"")</f>
        <v/>
      </c>
      <c r="AC4" s="50" t="str">
        <f t="array" aca="1" ref="AC4" ca="1">IFERROR(INDEX(Unidades[selectorSubSeccion],SMALL(IF(AC$1=Unidades[selectorSeccion],MATCH(ROW(Unidades[selectorSeccion]),ROW(Unidades[selectorSeccion]))),ROW(AB3))),"")</f>
        <v/>
      </c>
      <c r="AD4" s="50" t="str">
        <f t="array" aca="1" ref="AD4" ca="1">IFERROR(INDEX(Unidades[selectorSubSeccion],SMALL(IF(AD$1=Unidades[selectorSeccion],MATCH(ROW(Unidades[selectorSeccion]),ROW(Unidades[selectorSeccion]))),ROW(AC3))),"")</f>
        <v/>
      </c>
      <c r="AE4" s="50" t="str">
        <f t="array" aca="1" ref="AE4" ca="1">IFERROR(INDEX(Unidades[selectorSubSeccion],SMALL(IF(AE$1=Unidades[selectorSeccion],MATCH(ROW(Unidades[selectorSeccion]),ROW(Unidades[selectorSeccion]))),ROW(AD3))),"")</f>
        <v/>
      </c>
      <c r="AF4" s="50" t="str">
        <f t="array" aca="1" ref="AF4" ca="1">IFERROR(INDEX(Unidades[selectorSubSeccion],SMALL(IF(AF$1=Unidades[selectorSeccion],MATCH(ROW(Unidades[selectorSeccion]),ROW(Unidades[selectorSeccion]))),ROW(AE3))),"")</f>
        <v/>
      </c>
      <c r="AG4" s="50" t="str">
        <f t="array" aca="1" ref="AG4" ca="1">IFERROR(INDEX(Unidades[selectorSubSeccion],SMALL(IF(AG$1=Unidades[selectorSeccion],MATCH(ROW(Unidades[selectorSeccion]),ROW(Unidades[selectorSeccion]))),ROW(AF3))),"")</f>
        <v/>
      </c>
    </row>
    <row r="5" spans="2:33" x14ac:dyDescent="0.3">
      <c r="B5" s="50" t="str">
        <f t="array" aca="1" ref="B5" ca="1">IFERROR(INDEX(Unidades[selectorSubSeccion],SMALL(IF(B$1=Unidades[selectorSeccion],MATCH(ROW(Unidades[selectorSeccion]),ROW(Unidades[selectorSeccion]))),ROW(A4))),"")</f>
        <v/>
      </c>
      <c r="C5" s="50" t="str">
        <f t="array" aca="1" ref="C5" ca="1">IFERROR(INDEX(Unidades[selectorSubSeccion],SMALL(IF(C$1=Unidades[selectorSeccion],MATCH(ROW(Unidades[selectorSeccion]),ROW(Unidades[selectorSeccion]))),ROW(B4))),"")</f>
        <v>2:4:Más datos</v>
      </c>
      <c r="D5" s="50" t="str">
        <f t="array" aca="1" ref="D5" ca="1">IFERROR(INDEX(Unidades[selectorSubSeccion],SMALL(IF(D$1=Unidades[selectorSeccion],MATCH(ROW(Unidades[selectorSeccion]),ROW(Unidades[selectorSeccion]))),ROW(C4))),"")</f>
        <v>3:4:Exámen de módulo</v>
      </c>
      <c r="E5" s="50" t="str">
        <f t="array" aca="1" ref="E5" ca="1">IFERROR(INDEX(Unidades[selectorSubSeccion],SMALL(IF(E$1=Unidades[selectorSeccion],MATCH(ROW(Unidades[selectorSeccion]),ROW(Unidades[selectorSeccion]))),ROW(D4))),"")</f>
        <v/>
      </c>
      <c r="F5" s="50" t="str">
        <f t="array" aca="1" ref="F5" ca="1">IFERROR(INDEX(Unidades[selectorSubSeccion],SMALL(IF(F$1=Unidades[selectorSeccion],MATCH(ROW(Unidades[selectorSeccion]),ROW(Unidades[selectorSeccion]))),ROW(E4))),"")</f>
        <v/>
      </c>
      <c r="G5" s="50" t="str">
        <f t="array" aca="1" ref="G5" ca="1">IFERROR(INDEX(Unidades[selectorSubSeccion],SMALL(IF(G$1=Unidades[selectorSeccion],MATCH(ROW(Unidades[selectorSeccion]),ROW(Unidades[selectorSeccion]))),ROW(F4))),"")</f>
        <v/>
      </c>
      <c r="H5" s="50" t="str">
        <f t="array" aca="1" ref="H5" ca="1">IFERROR(INDEX(Unidades[selectorSubSeccion],SMALL(IF(H$1=Unidades[selectorSeccion],MATCH(ROW(Unidades[selectorSeccion]),ROW(Unidades[selectorSeccion]))),ROW(G4))),"")</f>
        <v/>
      </c>
      <c r="I5" s="50" t="str">
        <f t="array" aca="1" ref="I5" ca="1">IFERROR(INDEX(Unidades[selectorSubSeccion],SMALL(IF(I$1=Unidades[selectorSeccion],MATCH(ROW(Unidades[selectorSeccion]),ROW(Unidades[selectorSeccion]))),ROW(H4))),"")</f>
        <v/>
      </c>
      <c r="J5" s="50" t="str">
        <f t="array" aca="1" ref="J5" ca="1">IFERROR(INDEX(Unidades[selectorSubSeccion],SMALL(IF(J$1=Unidades[selectorSeccion],MATCH(ROW(Unidades[selectorSeccion]),ROW(Unidades[selectorSeccion]))),ROW(I4))),"")</f>
        <v/>
      </c>
      <c r="K5" s="50" t="str">
        <f t="array" aca="1" ref="K5" ca="1">IFERROR(INDEX(Unidades[selectorSubSeccion],SMALL(IF(K$1=Unidades[selectorSeccion],MATCH(ROW(Unidades[selectorSeccion]),ROW(Unidades[selectorSeccion]))),ROW(J4))),"")</f>
        <v/>
      </c>
      <c r="L5" s="50" t="str">
        <f t="array" aca="1" ref="L5" ca="1">IFERROR(INDEX(Unidades[selectorSubSeccion],SMALL(IF(L$1=Unidades[selectorSeccion],MATCH(ROW(Unidades[selectorSeccion]),ROW(Unidades[selectorSeccion]))),ROW(K4))),"")</f>
        <v/>
      </c>
      <c r="M5" s="50" t="str">
        <f t="array" aca="1" ref="M5" ca="1">IFERROR(INDEX(Unidades[selectorSubSeccion],SMALL(IF(M$1=Unidades[selectorSeccion],MATCH(ROW(Unidades[selectorSeccion]),ROW(Unidades[selectorSeccion]))),ROW(L4))),"")</f>
        <v/>
      </c>
      <c r="N5" s="50" t="str">
        <f t="array" aca="1" ref="N5" ca="1">IFERROR(INDEX(Unidades[selectorSubSeccion],SMALL(IF(N$1=Unidades[selectorSeccion],MATCH(ROW(Unidades[selectorSeccion]),ROW(Unidades[selectorSeccion]))),ROW(M4))),"")</f>
        <v/>
      </c>
      <c r="O5" s="50" t="str">
        <f t="array" aca="1" ref="O5" ca="1">IFERROR(INDEX(Unidades[selectorSubSeccion],SMALL(IF(O$1=Unidades[selectorSeccion],MATCH(ROW(Unidades[selectorSeccion]),ROW(Unidades[selectorSeccion]))),ROW(N4))),"")</f>
        <v/>
      </c>
      <c r="P5" s="50" t="str">
        <f t="array" aca="1" ref="P5" ca="1">IFERROR(INDEX(Unidades[selectorSubSeccion],SMALL(IF(P$1=Unidades[selectorSeccion],MATCH(ROW(Unidades[selectorSeccion]),ROW(Unidades[selectorSeccion]))),ROW(O4))),"")</f>
        <v/>
      </c>
      <c r="Q5" s="50" t="str">
        <f t="array" aca="1" ref="Q5" ca="1">IFERROR(INDEX(Unidades[selectorSubSeccion],SMALL(IF(Q$1=Unidades[selectorSeccion],MATCH(ROW(Unidades[selectorSeccion]),ROW(Unidades[selectorSeccion]))),ROW(P4))),"")</f>
        <v/>
      </c>
      <c r="R5" s="50" t="str">
        <f t="array" aca="1" ref="R5" ca="1">IFERROR(INDEX(Unidades[selectorSubSeccion],SMALL(IF(R$1=Unidades[selectorSeccion],MATCH(ROW(Unidades[selectorSeccion]),ROW(Unidades[selectorSeccion]))),ROW(Q4))),"")</f>
        <v/>
      </c>
      <c r="S5" s="50" t="str">
        <f t="array" aca="1" ref="S5" ca="1">IFERROR(INDEX(Unidades[selectorSubSeccion],SMALL(IF(S$1=Unidades[selectorSeccion],MATCH(ROW(Unidades[selectorSeccion]),ROW(Unidades[selectorSeccion]))),ROW(R4))),"")</f>
        <v/>
      </c>
      <c r="T5" s="50" t="str">
        <f t="array" aca="1" ref="T5" ca="1">IFERROR(INDEX(Unidades[selectorSubSeccion],SMALL(IF(T$1=Unidades[selectorSeccion],MATCH(ROW(Unidades[selectorSeccion]),ROW(Unidades[selectorSeccion]))),ROW(S4))),"")</f>
        <v/>
      </c>
      <c r="U5" s="50" t="str">
        <f t="array" aca="1" ref="U5" ca="1">IFERROR(INDEX(Unidades[selectorSubSeccion],SMALL(IF(U$1=Unidades[selectorSeccion],MATCH(ROW(Unidades[selectorSeccion]),ROW(Unidades[selectorSeccion]))),ROW(T4))),"")</f>
        <v/>
      </c>
      <c r="V5" s="50" t="str">
        <f t="array" aca="1" ref="V5" ca="1">IFERROR(INDEX(Unidades[selectorSubSeccion],SMALL(IF(V$1=Unidades[selectorSeccion],MATCH(ROW(Unidades[selectorSeccion]),ROW(Unidades[selectorSeccion]))),ROW(U4))),"")</f>
        <v/>
      </c>
      <c r="W5" s="50" t="str">
        <f t="array" aca="1" ref="W5" ca="1">IFERROR(INDEX(Unidades[selectorSubSeccion],SMALL(IF(W$1=Unidades[selectorSeccion],MATCH(ROW(Unidades[selectorSeccion]),ROW(Unidades[selectorSeccion]))),ROW(V4))),"")</f>
        <v/>
      </c>
      <c r="X5" s="50" t="str">
        <f t="array" aca="1" ref="X5" ca="1">IFERROR(INDEX(Unidades[selectorSubSeccion],SMALL(IF(X$1=Unidades[selectorSeccion],MATCH(ROW(Unidades[selectorSeccion]),ROW(Unidades[selectorSeccion]))),ROW(W4))),"")</f>
        <v/>
      </c>
      <c r="Y5" s="50" t="str">
        <f t="array" aca="1" ref="Y5" ca="1">IFERROR(INDEX(Unidades[selectorSubSeccion],SMALL(IF(Y$1=Unidades[selectorSeccion],MATCH(ROW(Unidades[selectorSeccion]),ROW(Unidades[selectorSeccion]))),ROW(X4))),"")</f>
        <v/>
      </c>
      <c r="Z5" s="50" t="str">
        <f t="array" aca="1" ref="Z5" ca="1">IFERROR(INDEX(Unidades[selectorSubSeccion],SMALL(IF(Z$1=Unidades[selectorSeccion],MATCH(ROW(Unidades[selectorSeccion]),ROW(Unidades[selectorSeccion]))),ROW(Y4))),"")</f>
        <v/>
      </c>
      <c r="AA5" s="50" t="str">
        <f t="array" aca="1" ref="AA5" ca="1">IFERROR(INDEX(Unidades[selectorSubSeccion],SMALL(IF(AA$1=Unidades[selectorSeccion],MATCH(ROW(Unidades[selectorSeccion]),ROW(Unidades[selectorSeccion]))),ROW(Z4))),"")</f>
        <v/>
      </c>
      <c r="AB5" s="50" t="str">
        <f t="array" aca="1" ref="AB5" ca="1">IFERROR(INDEX(Unidades[selectorSubSeccion],SMALL(IF(AB$1=Unidades[selectorSeccion],MATCH(ROW(Unidades[selectorSeccion]),ROW(Unidades[selectorSeccion]))),ROW(AA4))),"")</f>
        <v/>
      </c>
      <c r="AC5" s="50" t="str">
        <f t="array" aca="1" ref="AC5" ca="1">IFERROR(INDEX(Unidades[selectorSubSeccion],SMALL(IF(AC$1=Unidades[selectorSeccion],MATCH(ROW(Unidades[selectorSeccion]),ROW(Unidades[selectorSeccion]))),ROW(AB4))),"")</f>
        <v/>
      </c>
      <c r="AD5" s="50" t="str">
        <f t="array" aca="1" ref="AD5" ca="1">IFERROR(INDEX(Unidades[selectorSubSeccion],SMALL(IF(AD$1=Unidades[selectorSeccion],MATCH(ROW(Unidades[selectorSeccion]),ROW(Unidades[selectorSeccion]))),ROW(AC4))),"")</f>
        <v/>
      </c>
      <c r="AE5" s="50" t="str">
        <f t="array" aca="1" ref="AE5" ca="1">IFERROR(INDEX(Unidades[selectorSubSeccion],SMALL(IF(AE$1=Unidades[selectorSeccion],MATCH(ROW(Unidades[selectorSeccion]),ROW(Unidades[selectorSeccion]))),ROW(AD4))),"")</f>
        <v/>
      </c>
      <c r="AF5" s="50" t="str">
        <f t="array" aca="1" ref="AF5" ca="1">IFERROR(INDEX(Unidades[selectorSubSeccion],SMALL(IF(AF$1=Unidades[selectorSeccion],MATCH(ROW(Unidades[selectorSeccion]),ROW(Unidades[selectorSeccion]))),ROW(AE4))),"")</f>
        <v/>
      </c>
      <c r="AG5" s="50" t="str">
        <f t="array" aca="1" ref="AG5" ca="1">IFERROR(INDEX(Unidades[selectorSubSeccion],SMALL(IF(AG$1=Unidades[selectorSeccion],MATCH(ROW(Unidades[selectorSeccion]),ROW(Unidades[selectorSeccion]))),ROW(AF4))),"")</f>
        <v/>
      </c>
    </row>
    <row r="6" spans="2:33" x14ac:dyDescent="0.3">
      <c r="B6" s="50" t="str">
        <f t="array" aca="1" ref="B6" ca="1">IFERROR(INDEX(Unidades[selectorSubSeccion],SMALL(IF(B$1=Unidades[selectorSeccion],MATCH(ROW(Unidades[selectorSeccion]),ROW(Unidades[selectorSeccion]))),ROW(A5))),"")</f>
        <v/>
      </c>
      <c r="C6" s="50" t="str">
        <f t="array" aca="1" ref="C6" ca="1">IFERROR(INDEX(Unidades[selectorSubSeccion],SMALL(IF(C$1=Unidades[selectorSeccion],MATCH(ROW(Unidades[selectorSeccion]),ROW(Unidades[selectorSeccion]))),ROW(B5))),"")</f>
        <v>2:5:Exámen de módulo</v>
      </c>
      <c r="D6" s="50" t="str">
        <f t="array" aca="1" ref="D6" ca="1">IFERROR(INDEX(Unidades[selectorSubSeccion],SMALL(IF(D$1=Unidades[selectorSeccion],MATCH(ROW(Unidades[selectorSeccion]),ROW(Unidades[selectorSeccion]))),ROW(C5))),"")</f>
        <v/>
      </c>
      <c r="E6" s="50" t="str">
        <f t="array" aca="1" ref="E6" ca="1">IFERROR(INDEX(Unidades[selectorSubSeccion],SMALL(IF(E$1=Unidades[selectorSeccion],MATCH(ROW(Unidades[selectorSeccion]),ROW(Unidades[selectorSeccion]))),ROW(D5))),"")</f>
        <v/>
      </c>
      <c r="F6" s="50" t="str">
        <f t="array" aca="1" ref="F6" ca="1">IFERROR(INDEX(Unidades[selectorSubSeccion],SMALL(IF(F$1=Unidades[selectorSeccion],MATCH(ROW(Unidades[selectorSeccion]),ROW(Unidades[selectorSeccion]))),ROW(E5))),"")</f>
        <v/>
      </c>
      <c r="G6" s="50" t="str">
        <f t="array" aca="1" ref="G6" ca="1">IFERROR(INDEX(Unidades[selectorSubSeccion],SMALL(IF(G$1=Unidades[selectorSeccion],MATCH(ROW(Unidades[selectorSeccion]),ROW(Unidades[selectorSeccion]))),ROW(F5))),"")</f>
        <v/>
      </c>
      <c r="H6" s="50" t="str">
        <f t="array" aca="1" ref="H6" ca="1">IFERROR(INDEX(Unidades[selectorSubSeccion],SMALL(IF(H$1=Unidades[selectorSeccion],MATCH(ROW(Unidades[selectorSeccion]),ROW(Unidades[selectorSeccion]))),ROW(G5))),"")</f>
        <v/>
      </c>
      <c r="I6" s="50" t="str">
        <f t="array" aca="1" ref="I6" ca="1">IFERROR(INDEX(Unidades[selectorSubSeccion],SMALL(IF(I$1=Unidades[selectorSeccion],MATCH(ROW(Unidades[selectorSeccion]),ROW(Unidades[selectorSeccion]))),ROW(H5))),"")</f>
        <v/>
      </c>
      <c r="J6" s="50" t="str">
        <f t="array" aca="1" ref="J6" ca="1">IFERROR(INDEX(Unidades[selectorSubSeccion],SMALL(IF(J$1=Unidades[selectorSeccion],MATCH(ROW(Unidades[selectorSeccion]),ROW(Unidades[selectorSeccion]))),ROW(I5))),"")</f>
        <v/>
      </c>
      <c r="K6" s="50" t="str">
        <f t="array" aca="1" ref="K6" ca="1">IFERROR(INDEX(Unidades[selectorSubSeccion],SMALL(IF(K$1=Unidades[selectorSeccion],MATCH(ROW(Unidades[selectorSeccion]),ROW(Unidades[selectorSeccion]))),ROW(J5))),"")</f>
        <v/>
      </c>
      <c r="L6" s="50" t="str">
        <f t="array" aca="1" ref="L6" ca="1">IFERROR(INDEX(Unidades[selectorSubSeccion],SMALL(IF(L$1=Unidades[selectorSeccion],MATCH(ROW(Unidades[selectorSeccion]),ROW(Unidades[selectorSeccion]))),ROW(K5))),"")</f>
        <v/>
      </c>
      <c r="M6" s="50" t="str">
        <f t="array" aca="1" ref="M6" ca="1">IFERROR(INDEX(Unidades[selectorSubSeccion],SMALL(IF(M$1=Unidades[selectorSeccion],MATCH(ROW(Unidades[selectorSeccion]),ROW(Unidades[selectorSeccion]))),ROW(L5))),"")</f>
        <v/>
      </c>
      <c r="N6" s="50" t="str">
        <f t="array" aca="1" ref="N6" ca="1">IFERROR(INDEX(Unidades[selectorSubSeccion],SMALL(IF(N$1=Unidades[selectorSeccion],MATCH(ROW(Unidades[selectorSeccion]),ROW(Unidades[selectorSeccion]))),ROW(M5))),"")</f>
        <v/>
      </c>
      <c r="O6" s="50" t="str">
        <f t="array" aca="1" ref="O6" ca="1">IFERROR(INDEX(Unidades[selectorSubSeccion],SMALL(IF(O$1=Unidades[selectorSeccion],MATCH(ROW(Unidades[selectorSeccion]),ROW(Unidades[selectorSeccion]))),ROW(N5))),"")</f>
        <v/>
      </c>
      <c r="P6" s="50" t="str">
        <f t="array" aca="1" ref="P6" ca="1">IFERROR(INDEX(Unidades[selectorSubSeccion],SMALL(IF(P$1=Unidades[selectorSeccion],MATCH(ROW(Unidades[selectorSeccion]),ROW(Unidades[selectorSeccion]))),ROW(O5))),"")</f>
        <v/>
      </c>
      <c r="Q6" s="50" t="str">
        <f t="array" aca="1" ref="Q6" ca="1">IFERROR(INDEX(Unidades[selectorSubSeccion],SMALL(IF(Q$1=Unidades[selectorSeccion],MATCH(ROW(Unidades[selectorSeccion]),ROW(Unidades[selectorSeccion]))),ROW(P5))),"")</f>
        <v/>
      </c>
      <c r="R6" s="50" t="str">
        <f t="array" aca="1" ref="R6" ca="1">IFERROR(INDEX(Unidades[selectorSubSeccion],SMALL(IF(R$1=Unidades[selectorSeccion],MATCH(ROW(Unidades[selectorSeccion]),ROW(Unidades[selectorSeccion]))),ROW(Q5))),"")</f>
        <v/>
      </c>
      <c r="S6" s="50" t="str">
        <f t="array" aca="1" ref="S6" ca="1">IFERROR(INDEX(Unidades[selectorSubSeccion],SMALL(IF(S$1=Unidades[selectorSeccion],MATCH(ROW(Unidades[selectorSeccion]),ROW(Unidades[selectorSeccion]))),ROW(R5))),"")</f>
        <v/>
      </c>
      <c r="T6" s="50" t="str">
        <f t="array" aca="1" ref="T6" ca="1">IFERROR(INDEX(Unidades[selectorSubSeccion],SMALL(IF(T$1=Unidades[selectorSeccion],MATCH(ROW(Unidades[selectorSeccion]),ROW(Unidades[selectorSeccion]))),ROW(S5))),"")</f>
        <v/>
      </c>
      <c r="U6" s="50" t="str">
        <f t="array" aca="1" ref="U6" ca="1">IFERROR(INDEX(Unidades[selectorSubSeccion],SMALL(IF(U$1=Unidades[selectorSeccion],MATCH(ROW(Unidades[selectorSeccion]),ROW(Unidades[selectorSeccion]))),ROW(T5))),"")</f>
        <v/>
      </c>
      <c r="V6" s="50" t="str">
        <f t="array" aca="1" ref="V6" ca="1">IFERROR(INDEX(Unidades[selectorSubSeccion],SMALL(IF(V$1=Unidades[selectorSeccion],MATCH(ROW(Unidades[selectorSeccion]),ROW(Unidades[selectorSeccion]))),ROW(U5))),"")</f>
        <v/>
      </c>
      <c r="W6" s="50" t="str">
        <f t="array" aca="1" ref="W6" ca="1">IFERROR(INDEX(Unidades[selectorSubSeccion],SMALL(IF(W$1=Unidades[selectorSeccion],MATCH(ROW(Unidades[selectorSeccion]),ROW(Unidades[selectorSeccion]))),ROW(V5))),"")</f>
        <v/>
      </c>
      <c r="X6" s="50" t="str">
        <f t="array" aca="1" ref="X6" ca="1">IFERROR(INDEX(Unidades[selectorSubSeccion],SMALL(IF(X$1=Unidades[selectorSeccion],MATCH(ROW(Unidades[selectorSeccion]),ROW(Unidades[selectorSeccion]))),ROW(W5))),"")</f>
        <v/>
      </c>
      <c r="Y6" s="50" t="str">
        <f t="array" aca="1" ref="Y6" ca="1">IFERROR(INDEX(Unidades[selectorSubSeccion],SMALL(IF(Y$1=Unidades[selectorSeccion],MATCH(ROW(Unidades[selectorSeccion]),ROW(Unidades[selectorSeccion]))),ROW(X5))),"")</f>
        <v/>
      </c>
      <c r="Z6" s="50" t="str">
        <f t="array" aca="1" ref="Z6" ca="1">IFERROR(INDEX(Unidades[selectorSubSeccion],SMALL(IF(Z$1=Unidades[selectorSeccion],MATCH(ROW(Unidades[selectorSeccion]),ROW(Unidades[selectorSeccion]))),ROW(Y5))),"")</f>
        <v/>
      </c>
      <c r="AA6" s="50" t="str">
        <f t="array" aca="1" ref="AA6" ca="1">IFERROR(INDEX(Unidades[selectorSubSeccion],SMALL(IF(AA$1=Unidades[selectorSeccion],MATCH(ROW(Unidades[selectorSeccion]),ROW(Unidades[selectorSeccion]))),ROW(Z5))),"")</f>
        <v/>
      </c>
      <c r="AB6" s="50" t="str">
        <f t="array" aca="1" ref="AB6" ca="1">IFERROR(INDEX(Unidades[selectorSubSeccion],SMALL(IF(AB$1=Unidades[selectorSeccion],MATCH(ROW(Unidades[selectorSeccion]),ROW(Unidades[selectorSeccion]))),ROW(AA5))),"")</f>
        <v/>
      </c>
      <c r="AC6" s="50" t="str">
        <f t="array" aca="1" ref="AC6" ca="1">IFERROR(INDEX(Unidades[selectorSubSeccion],SMALL(IF(AC$1=Unidades[selectorSeccion],MATCH(ROW(Unidades[selectorSeccion]),ROW(Unidades[selectorSeccion]))),ROW(AB5))),"")</f>
        <v/>
      </c>
      <c r="AD6" s="50" t="str">
        <f t="array" aca="1" ref="AD6" ca="1">IFERROR(INDEX(Unidades[selectorSubSeccion],SMALL(IF(AD$1=Unidades[selectorSeccion],MATCH(ROW(Unidades[selectorSeccion]),ROW(Unidades[selectorSeccion]))),ROW(AC5))),"")</f>
        <v/>
      </c>
      <c r="AE6" s="50" t="str">
        <f t="array" aca="1" ref="AE6" ca="1">IFERROR(INDEX(Unidades[selectorSubSeccion],SMALL(IF(AE$1=Unidades[selectorSeccion],MATCH(ROW(Unidades[selectorSeccion]),ROW(Unidades[selectorSeccion]))),ROW(AD5))),"")</f>
        <v/>
      </c>
      <c r="AF6" s="50" t="str">
        <f t="array" aca="1" ref="AF6" ca="1">IFERROR(INDEX(Unidades[selectorSubSeccion],SMALL(IF(AF$1=Unidades[selectorSeccion],MATCH(ROW(Unidades[selectorSeccion]),ROW(Unidades[selectorSeccion]))),ROW(AE5))),"")</f>
        <v/>
      </c>
      <c r="AG6" s="50" t="str">
        <f t="array" aca="1" ref="AG6" ca="1">IFERROR(INDEX(Unidades[selectorSubSeccion],SMALL(IF(AG$1=Unidades[selectorSeccion],MATCH(ROW(Unidades[selectorSeccion]),ROW(Unidades[selectorSeccion]))),ROW(AF5))),"")</f>
        <v/>
      </c>
    </row>
    <row r="7" spans="2:33" x14ac:dyDescent="0.3">
      <c r="B7" s="50" t="str">
        <f t="array" aca="1" ref="B7" ca="1">IFERROR(INDEX(Unidades[selectorSubSeccion],SMALL(IF(B$1=Unidades[selectorSeccion],MATCH(ROW(Unidades[selectorSeccion]),ROW(Unidades[selectorSeccion]))),ROW(A6))),"")</f>
        <v/>
      </c>
      <c r="C7" s="50" t="str">
        <f t="array" aca="1" ref="C7" ca="1">IFERROR(INDEX(Unidades[selectorSubSeccion],SMALL(IF(C$1=Unidades[selectorSeccion],MATCH(ROW(Unidades[selectorSeccion]),ROW(Unidades[selectorSeccion]))),ROW(B6))),"")</f>
        <v/>
      </c>
      <c r="D7" s="50" t="str">
        <f t="array" aca="1" ref="D7" ca="1">IFERROR(INDEX(Unidades[selectorSubSeccion],SMALL(IF(D$1=Unidades[selectorSeccion],MATCH(ROW(Unidades[selectorSeccion]),ROW(Unidades[selectorSeccion]))),ROW(C6))),"")</f>
        <v/>
      </c>
      <c r="E7" s="50" t="str">
        <f t="array" aca="1" ref="E7" ca="1">IFERROR(INDEX(Unidades[selectorSubSeccion],SMALL(IF(E$1=Unidades[selectorSeccion],MATCH(ROW(Unidades[selectorSeccion]),ROW(Unidades[selectorSeccion]))),ROW(D6))),"")</f>
        <v/>
      </c>
      <c r="F7" s="50" t="str">
        <f t="array" aca="1" ref="F7" ca="1">IFERROR(INDEX(Unidades[selectorSubSeccion],SMALL(IF(F$1=Unidades[selectorSeccion],MATCH(ROW(Unidades[selectorSeccion]),ROW(Unidades[selectorSeccion]))),ROW(E6))),"")</f>
        <v/>
      </c>
      <c r="G7" s="50" t="str">
        <f t="array" aca="1" ref="G7" ca="1">IFERROR(INDEX(Unidades[selectorSubSeccion],SMALL(IF(G$1=Unidades[selectorSeccion],MATCH(ROW(Unidades[selectorSeccion]),ROW(Unidades[selectorSeccion]))),ROW(F6))),"")</f>
        <v/>
      </c>
      <c r="H7" s="50" t="str">
        <f t="array" aca="1" ref="H7" ca="1">IFERROR(INDEX(Unidades[selectorSubSeccion],SMALL(IF(H$1=Unidades[selectorSeccion],MATCH(ROW(Unidades[selectorSeccion]),ROW(Unidades[selectorSeccion]))),ROW(G6))),"")</f>
        <v/>
      </c>
      <c r="I7" s="50" t="str">
        <f t="array" aca="1" ref="I7" ca="1">IFERROR(INDEX(Unidades[selectorSubSeccion],SMALL(IF(I$1=Unidades[selectorSeccion],MATCH(ROW(Unidades[selectorSeccion]),ROW(Unidades[selectorSeccion]))),ROW(H6))),"")</f>
        <v/>
      </c>
      <c r="J7" s="50" t="str">
        <f t="array" aca="1" ref="J7" ca="1">IFERROR(INDEX(Unidades[selectorSubSeccion],SMALL(IF(J$1=Unidades[selectorSeccion],MATCH(ROW(Unidades[selectorSeccion]),ROW(Unidades[selectorSeccion]))),ROW(I6))),"")</f>
        <v/>
      </c>
      <c r="K7" s="50" t="str">
        <f t="array" aca="1" ref="K7" ca="1">IFERROR(INDEX(Unidades[selectorSubSeccion],SMALL(IF(K$1=Unidades[selectorSeccion],MATCH(ROW(Unidades[selectorSeccion]),ROW(Unidades[selectorSeccion]))),ROW(J6))),"")</f>
        <v/>
      </c>
      <c r="L7" s="50" t="str">
        <f t="array" aca="1" ref="L7" ca="1">IFERROR(INDEX(Unidades[selectorSubSeccion],SMALL(IF(L$1=Unidades[selectorSeccion],MATCH(ROW(Unidades[selectorSeccion]),ROW(Unidades[selectorSeccion]))),ROW(K6))),"")</f>
        <v/>
      </c>
      <c r="M7" s="50" t="str">
        <f t="array" aca="1" ref="M7" ca="1">IFERROR(INDEX(Unidades[selectorSubSeccion],SMALL(IF(M$1=Unidades[selectorSeccion],MATCH(ROW(Unidades[selectorSeccion]),ROW(Unidades[selectorSeccion]))),ROW(L6))),"")</f>
        <v/>
      </c>
      <c r="N7" s="50" t="str">
        <f t="array" aca="1" ref="N7" ca="1">IFERROR(INDEX(Unidades[selectorSubSeccion],SMALL(IF(N$1=Unidades[selectorSeccion],MATCH(ROW(Unidades[selectorSeccion]),ROW(Unidades[selectorSeccion]))),ROW(M6))),"")</f>
        <v/>
      </c>
      <c r="O7" s="50" t="str">
        <f t="array" aca="1" ref="O7" ca="1">IFERROR(INDEX(Unidades[selectorSubSeccion],SMALL(IF(O$1=Unidades[selectorSeccion],MATCH(ROW(Unidades[selectorSeccion]),ROW(Unidades[selectorSeccion]))),ROW(N6))),"")</f>
        <v/>
      </c>
      <c r="P7" s="50" t="str">
        <f t="array" aca="1" ref="P7" ca="1">IFERROR(INDEX(Unidades[selectorSubSeccion],SMALL(IF(P$1=Unidades[selectorSeccion],MATCH(ROW(Unidades[selectorSeccion]),ROW(Unidades[selectorSeccion]))),ROW(O6))),"")</f>
        <v/>
      </c>
      <c r="Q7" s="50" t="str">
        <f t="array" aca="1" ref="Q7" ca="1">IFERROR(INDEX(Unidades[selectorSubSeccion],SMALL(IF(Q$1=Unidades[selectorSeccion],MATCH(ROW(Unidades[selectorSeccion]),ROW(Unidades[selectorSeccion]))),ROW(P6))),"")</f>
        <v/>
      </c>
      <c r="R7" s="50" t="str">
        <f t="array" aca="1" ref="R7" ca="1">IFERROR(INDEX(Unidades[selectorSubSeccion],SMALL(IF(R$1=Unidades[selectorSeccion],MATCH(ROW(Unidades[selectorSeccion]),ROW(Unidades[selectorSeccion]))),ROW(Q6))),"")</f>
        <v/>
      </c>
      <c r="S7" s="50" t="str">
        <f t="array" aca="1" ref="S7" ca="1">IFERROR(INDEX(Unidades[selectorSubSeccion],SMALL(IF(S$1=Unidades[selectorSeccion],MATCH(ROW(Unidades[selectorSeccion]),ROW(Unidades[selectorSeccion]))),ROW(R6))),"")</f>
        <v/>
      </c>
      <c r="T7" s="50" t="str">
        <f t="array" aca="1" ref="T7" ca="1">IFERROR(INDEX(Unidades[selectorSubSeccion],SMALL(IF(T$1=Unidades[selectorSeccion],MATCH(ROW(Unidades[selectorSeccion]),ROW(Unidades[selectorSeccion]))),ROW(S6))),"")</f>
        <v/>
      </c>
      <c r="U7" s="50" t="str">
        <f t="array" aca="1" ref="U7" ca="1">IFERROR(INDEX(Unidades[selectorSubSeccion],SMALL(IF(U$1=Unidades[selectorSeccion],MATCH(ROW(Unidades[selectorSeccion]),ROW(Unidades[selectorSeccion]))),ROW(T6))),"")</f>
        <v/>
      </c>
      <c r="V7" s="50" t="str">
        <f t="array" aca="1" ref="V7" ca="1">IFERROR(INDEX(Unidades[selectorSubSeccion],SMALL(IF(V$1=Unidades[selectorSeccion],MATCH(ROW(Unidades[selectorSeccion]),ROW(Unidades[selectorSeccion]))),ROW(U6))),"")</f>
        <v/>
      </c>
      <c r="W7" s="50" t="str">
        <f t="array" aca="1" ref="W7" ca="1">IFERROR(INDEX(Unidades[selectorSubSeccion],SMALL(IF(W$1=Unidades[selectorSeccion],MATCH(ROW(Unidades[selectorSeccion]),ROW(Unidades[selectorSeccion]))),ROW(V6))),"")</f>
        <v/>
      </c>
      <c r="X7" s="50" t="str">
        <f t="array" aca="1" ref="X7" ca="1">IFERROR(INDEX(Unidades[selectorSubSeccion],SMALL(IF(X$1=Unidades[selectorSeccion],MATCH(ROW(Unidades[selectorSeccion]),ROW(Unidades[selectorSeccion]))),ROW(W6))),"")</f>
        <v/>
      </c>
      <c r="Y7" s="50" t="str">
        <f t="array" aca="1" ref="Y7" ca="1">IFERROR(INDEX(Unidades[selectorSubSeccion],SMALL(IF(Y$1=Unidades[selectorSeccion],MATCH(ROW(Unidades[selectorSeccion]),ROW(Unidades[selectorSeccion]))),ROW(X6))),"")</f>
        <v/>
      </c>
      <c r="Z7" s="50" t="str">
        <f t="array" aca="1" ref="Z7" ca="1">IFERROR(INDEX(Unidades[selectorSubSeccion],SMALL(IF(Z$1=Unidades[selectorSeccion],MATCH(ROW(Unidades[selectorSeccion]),ROW(Unidades[selectorSeccion]))),ROW(Y6))),"")</f>
        <v/>
      </c>
      <c r="AA7" s="50" t="str">
        <f t="array" aca="1" ref="AA7" ca="1">IFERROR(INDEX(Unidades[selectorSubSeccion],SMALL(IF(AA$1=Unidades[selectorSeccion],MATCH(ROW(Unidades[selectorSeccion]),ROW(Unidades[selectorSeccion]))),ROW(Z6))),"")</f>
        <v/>
      </c>
      <c r="AB7" s="50" t="str">
        <f t="array" aca="1" ref="AB7" ca="1">IFERROR(INDEX(Unidades[selectorSubSeccion],SMALL(IF(AB$1=Unidades[selectorSeccion],MATCH(ROW(Unidades[selectorSeccion]),ROW(Unidades[selectorSeccion]))),ROW(AA6))),"")</f>
        <v/>
      </c>
      <c r="AC7" s="50" t="str">
        <f t="array" aca="1" ref="AC7" ca="1">IFERROR(INDEX(Unidades[selectorSubSeccion],SMALL(IF(AC$1=Unidades[selectorSeccion],MATCH(ROW(Unidades[selectorSeccion]),ROW(Unidades[selectorSeccion]))),ROW(AB6))),"")</f>
        <v/>
      </c>
      <c r="AD7" s="50" t="str">
        <f t="array" aca="1" ref="AD7" ca="1">IFERROR(INDEX(Unidades[selectorSubSeccion],SMALL(IF(AD$1=Unidades[selectorSeccion],MATCH(ROW(Unidades[selectorSeccion]),ROW(Unidades[selectorSeccion]))),ROW(AC6))),"")</f>
        <v/>
      </c>
      <c r="AE7" s="50" t="str">
        <f t="array" aca="1" ref="AE7" ca="1">IFERROR(INDEX(Unidades[selectorSubSeccion],SMALL(IF(AE$1=Unidades[selectorSeccion],MATCH(ROW(Unidades[selectorSeccion]),ROW(Unidades[selectorSeccion]))),ROW(AD6))),"")</f>
        <v/>
      </c>
      <c r="AF7" s="50" t="str">
        <f t="array" aca="1" ref="AF7" ca="1">IFERROR(INDEX(Unidades[selectorSubSeccion],SMALL(IF(AF$1=Unidades[selectorSeccion],MATCH(ROW(Unidades[selectorSeccion]),ROW(Unidades[selectorSeccion]))),ROW(AE6))),"")</f>
        <v/>
      </c>
      <c r="AG7" s="50" t="str">
        <f t="array" aca="1" ref="AG7" ca="1">IFERROR(INDEX(Unidades[selectorSubSeccion],SMALL(IF(AG$1=Unidades[selectorSeccion],MATCH(ROW(Unidades[selectorSeccion]),ROW(Unidades[selectorSeccion]))),ROW(AF6))),"")</f>
        <v/>
      </c>
    </row>
    <row r="8" spans="2:33" x14ac:dyDescent="0.3">
      <c r="B8" s="50" t="str">
        <f t="array" aca="1" ref="B8" ca="1">IFERROR(INDEX(Unidades[selectorSubSeccion],SMALL(IF(B$1=Unidades[selectorSeccion],MATCH(ROW(Unidades[selectorSeccion]),ROW(Unidades[selectorSeccion]))),ROW(A7))),"")</f>
        <v/>
      </c>
      <c r="C8" s="50" t="str">
        <f t="array" aca="1" ref="C8" ca="1">IFERROR(INDEX(Unidades[selectorSubSeccion],SMALL(IF(C$1=Unidades[selectorSeccion],MATCH(ROW(Unidades[selectorSeccion]),ROW(Unidades[selectorSeccion]))),ROW(B7))),"")</f>
        <v/>
      </c>
      <c r="D8" s="50" t="str">
        <f t="array" aca="1" ref="D8" ca="1">IFERROR(INDEX(Unidades[selectorSubSeccion],SMALL(IF(D$1=Unidades[selectorSeccion],MATCH(ROW(Unidades[selectorSeccion]),ROW(Unidades[selectorSeccion]))),ROW(C7))),"")</f>
        <v/>
      </c>
      <c r="E8" s="50" t="str">
        <f t="array" aca="1" ref="E8" ca="1">IFERROR(INDEX(Unidades[selectorSubSeccion],SMALL(IF(E$1=Unidades[selectorSeccion],MATCH(ROW(Unidades[selectorSeccion]),ROW(Unidades[selectorSeccion]))),ROW(D7))),"")</f>
        <v/>
      </c>
      <c r="F8" s="50" t="str">
        <f t="array" aca="1" ref="F8" ca="1">IFERROR(INDEX(Unidades[selectorSubSeccion],SMALL(IF(F$1=Unidades[selectorSeccion],MATCH(ROW(Unidades[selectorSeccion]),ROW(Unidades[selectorSeccion]))),ROW(E7))),"")</f>
        <v/>
      </c>
      <c r="G8" s="50" t="str">
        <f t="array" aca="1" ref="G8" ca="1">IFERROR(INDEX(Unidades[selectorSubSeccion],SMALL(IF(G$1=Unidades[selectorSeccion],MATCH(ROW(Unidades[selectorSeccion]),ROW(Unidades[selectorSeccion]))),ROW(F7))),"")</f>
        <v/>
      </c>
      <c r="H8" s="50" t="str">
        <f t="array" aca="1" ref="H8" ca="1">IFERROR(INDEX(Unidades[selectorSubSeccion],SMALL(IF(H$1=Unidades[selectorSeccion],MATCH(ROW(Unidades[selectorSeccion]),ROW(Unidades[selectorSeccion]))),ROW(G7))),"")</f>
        <v/>
      </c>
      <c r="I8" s="50" t="str">
        <f t="array" aca="1" ref="I8" ca="1">IFERROR(INDEX(Unidades[selectorSubSeccion],SMALL(IF(I$1=Unidades[selectorSeccion],MATCH(ROW(Unidades[selectorSeccion]),ROW(Unidades[selectorSeccion]))),ROW(H7))),"")</f>
        <v/>
      </c>
      <c r="J8" s="50" t="str">
        <f t="array" aca="1" ref="J8" ca="1">IFERROR(INDEX(Unidades[selectorSubSeccion],SMALL(IF(J$1=Unidades[selectorSeccion],MATCH(ROW(Unidades[selectorSeccion]),ROW(Unidades[selectorSeccion]))),ROW(I7))),"")</f>
        <v/>
      </c>
      <c r="K8" s="50" t="str">
        <f t="array" aca="1" ref="K8" ca="1">IFERROR(INDEX(Unidades[selectorSubSeccion],SMALL(IF(K$1=Unidades[selectorSeccion],MATCH(ROW(Unidades[selectorSeccion]),ROW(Unidades[selectorSeccion]))),ROW(J7))),"")</f>
        <v/>
      </c>
      <c r="L8" s="50" t="str">
        <f t="array" aca="1" ref="L8" ca="1">IFERROR(INDEX(Unidades[selectorSubSeccion],SMALL(IF(L$1=Unidades[selectorSeccion],MATCH(ROW(Unidades[selectorSeccion]),ROW(Unidades[selectorSeccion]))),ROW(K7))),"")</f>
        <v/>
      </c>
      <c r="M8" s="50" t="str">
        <f t="array" aca="1" ref="M8" ca="1">IFERROR(INDEX(Unidades[selectorSubSeccion],SMALL(IF(M$1=Unidades[selectorSeccion],MATCH(ROW(Unidades[selectorSeccion]),ROW(Unidades[selectorSeccion]))),ROW(L7))),"")</f>
        <v/>
      </c>
      <c r="N8" s="50" t="str">
        <f t="array" aca="1" ref="N8" ca="1">IFERROR(INDEX(Unidades[selectorSubSeccion],SMALL(IF(N$1=Unidades[selectorSeccion],MATCH(ROW(Unidades[selectorSeccion]),ROW(Unidades[selectorSeccion]))),ROW(M7))),"")</f>
        <v/>
      </c>
      <c r="O8" s="50" t="str">
        <f t="array" aca="1" ref="O8" ca="1">IFERROR(INDEX(Unidades[selectorSubSeccion],SMALL(IF(O$1=Unidades[selectorSeccion],MATCH(ROW(Unidades[selectorSeccion]),ROW(Unidades[selectorSeccion]))),ROW(N7))),"")</f>
        <v/>
      </c>
      <c r="P8" s="50" t="str">
        <f t="array" aca="1" ref="P8" ca="1">IFERROR(INDEX(Unidades[selectorSubSeccion],SMALL(IF(P$1=Unidades[selectorSeccion],MATCH(ROW(Unidades[selectorSeccion]),ROW(Unidades[selectorSeccion]))),ROW(O7))),"")</f>
        <v/>
      </c>
      <c r="Q8" s="50" t="str">
        <f t="array" aca="1" ref="Q8" ca="1">IFERROR(INDEX(Unidades[selectorSubSeccion],SMALL(IF(Q$1=Unidades[selectorSeccion],MATCH(ROW(Unidades[selectorSeccion]),ROW(Unidades[selectorSeccion]))),ROW(P7))),"")</f>
        <v/>
      </c>
      <c r="R8" s="50" t="str">
        <f t="array" aca="1" ref="R8" ca="1">IFERROR(INDEX(Unidades[selectorSubSeccion],SMALL(IF(R$1=Unidades[selectorSeccion],MATCH(ROW(Unidades[selectorSeccion]),ROW(Unidades[selectorSeccion]))),ROW(Q7))),"")</f>
        <v/>
      </c>
      <c r="S8" s="50" t="str">
        <f t="array" aca="1" ref="S8" ca="1">IFERROR(INDEX(Unidades[selectorSubSeccion],SMALL(IF(S$1=Unidades[selectorSeccion],MATCH(ROW(Unidades[selectorSeccion]),ROW(Unidades[selectorSeccion]))),ROW(R7))),"")</f>
        <v/>
      </c>
      <c r="T8" s="50" t="str">
        <f t="array" aca="1" ref="T8" ca="1">IFERROR(INDEX(Unidades[selectorSubSeccion],SMALL(IF(T$1=Unidades[selectorSeccion],MATCH(ROW(Unidades[selectorSeccion]),ROW(Unidades[selectorSeccion]))),ROW(S7))),"")</f>
        <v/>
      </c>
      <c r="U8" s="50" t="str">
        <f t="array" aca="1" ref="U8" ca="1">IFERROR(INDEX(Unidades[selectorSubSeccion],SMALL(IF(U$1=Unidades[selectorSeccion],MATCH(ROW(Unidades[selectorSeccion]),ROW(Unidades[selectorSeccion]))),ROW(T7))),"")</f>
        <v/>
      </c>
      <c r="V8" s="50" t="str">
        <f t="array" aca="1" ref="V8" ca="1">IFERROR(INDEX(Unidades[selectorSubSeccion],SMALL(IF(V$1=Unidades[selectorSeccion],MATCH(ROW(Unidades[selectorSeccion]),ROW(Unidades[selectorSeccion]))),ROW(U7))),"")</f>
        <v/>
      </c>
      <c r="W8" s="50" t="str">
        <f t="array" aca="1" ref="W8" ca="1">IFERROR(INDEX(Unidades[selectorSubSeccion],SMALL(IF(W$1=Unidades[selectorSeccion],MATCH(ROW(Unidades[selectorSeccion]),ROW(Unidades[selectorSeccion]))),ROW(V7))),"")</f>
        <v/>
      </c>
      <c r="X8" s="50" t="str">
        <f t="array" aca="1" ref="X8" ca="1">IFERROR(INDEX(Unidades[selectorSubSeccion],SMALL(IF(X$1=Unidades[selectorSeccion],MATCH(ROW(Unidades[selectorSeccion]),ROW(Unidades[selectorSeccion]))),ROW(W7))),"")</f>
        <v/>
      </c>
      <c r="Y8" s="50" t="str">
        <f t="array" aca="1" ref="Y8" ca="1">IFERROR(INDEX(Unidades[selectorSubSeccion],SMALL(IF(Y$1=Unidades[selectorSeccion],MATCH(ROW(Unidades[selectorSeccion]),ROW(Unidades[selectorSeccion]))),ROW(X7))),"")</f>
        <v/>
      </c>
      <c r="Z8" s="50" t="str">
        <f t="array" aca="1" ref="Z8" ca="1">IFERROR(INDEX(Unidades[selectorSubSeccion],SMALL(IF(Z$1=Unidades[selectorSeccion],MATCH(ROW(Unidades[selectorSeccion]),ROW(Unidades[selectorSeccion]))),ROW(Y7))),"")</f>
        <v/>
      </c>
      <c r="AA8" s="50" t="str">
        <f t="array" aca="1" ref="AA8" ca="1">IFERROR(INDEX(Unidades[selectorSubSeccion],SMALL(IF(AA$1=Unidades[selectorSeccion],MATCH(ROW(Unidades[selectorSeccion]),ROW(Unidades[selectorSeccion]))),ROW(Z7))),"")</f>
        <v/>
      </c>
      <c r="AB8" s="50" t="str">
        <f t="array" aca="1" ref="AB8" ca="1">IFERROR(INDEX(Unidades[selectorSubSeccion],SMALL(IF(AB$1=Unidades[selectorSeccion],MATCH(ROW(Unidades[selectorSeccion]),ROW(Unidades[selectorSeccion]))),ROW(AA7))),"")</f>
        <v/>
      </c>
      <c r="AC8" s="50" t="str">
        <f t="array" aca="1" ref="AC8" ca="1">IFERROR(INDEX(Unidades[selectorSubSeccion],SMALL(IF(AC$1=Unidades[selectorSeccion],MATCH(ROW(Unidades[selectorSeccion]),ROW(Unidades[selectorSeccion]))),ROW(AB7))),"")</f>
        <v/>
      </c>
      <c r="AD8" s="50" t="str">
        <f t="array" aca="1" ref="AD8" ca="1">IFERROR(INDEX(Unidades[selectorSubSeccion],SMALL(IF(AD$1=Unidades[selectorSeccion],MATCH(ROW(Unidades[selectorSeccion]),ROW(Unidades[selectorSeccion]))),ROW(AC7))),"")</f>
        <v/>
      </c>
      <c r="AE8" s="50" t="str">
        <f t="array" aca="1" ref="AE8" ca="1">IFERROR(INDEX(Unidades[selectorSubSeccion],SMALL(IF(AE$1=Unidades[selectorSeccion],MATCH(ROW(Unidades[selectorSeccion]),ROW(Unidades[selectorSeccion]))),ROW(AD7))),"")</f>
        <v/>
      </c>
      <c r="AF8" s="50" t="str">
        <f t="array" aca="1" ref="AF8" ca="1">IFERROR(INDEX(Unidades[selectorSubSeccion],SMALL(IF(AF$1=Unidades[selectorSeccion],MATCH(ROW(Unidades[selectorSeccion]),ROW(Unidades[selectorSeccion]))),ROW(AE7))),"")</f>
        <v/>
      </c>
      <c r="AG8" s="50" t="str">
        <f t="array" aca="1" ref="AG8" ca="1">IFERROR(INDEX(Unidades[selectorSubSeccion],SMALL(IF(AG$1=Unidades[selectorSeccion],MATCH(ROW(Unidades[selectorSeccion]),ROW(Unidades[selectorSeccion]))),ROW(AF7))),"")</f>
        <v/>
      </c>
    </row>
    <row r="9" spans="2:33" x14ac:dyDescent="0.3">
      <c r="B9" s="50" t="str">
        <f t="array" aca="1" ref="B9" ca="1">IFERROR(INDEX(Unidades[selectorSubSeccion],SMALL(IF(B$1=Unidades[selectorSeccion],MATCH(ROW(Unidades[selectorSeccion]),ROW(Unidades[selectorSeccion]))),ROW(A8))),"")</f>
        <v/>
      </c>
      <c r="C9" s="50" t="str">
        <f t="array" aca="1" ref="C9" ca="1">IFERROR(INDEX(Unidades[selectorSubSeccion],SMALL(IF(C$1=Unidades[selectorSeccion],MATCH(ROW(Unidades[selectorSeccion]),ROW(Unidades[selectorSeccion]))),ROW(B8))),"")</f>
        <v/>
      </c>
      <c r="D9" s="50" t="str">
        <f t="array" aca="1" ref="D9" ca="1">IFERROR(INDEX(Unidades[selectorSubSeccion],SMALL(IF(D$1=Unidades[selectorSeccion],MATCH(ROW(Unidades[selectorSeccion]),ROW(Unidades[selectorSeccion]))),ROW(C8))),"")</f>
        <v/>
      </c>
      <c r="E9" s="50" t="str">
        <f t="array" aca="1" ref="E9" ca="1">IFERROR(INDEX(Unidades[selectorSubSeccion],SMALL(IF(E$1=Unidades[selectorSeccion],MATCH(ROW(Unidades[selectorSeccion]),ROW(Unidades[selectorSeccion]))),ROW(D8))),"")</f>
        <v/>
      </c>
      <c r="F9" s="50" t="str">
        <f t="array" aca="1" ref="F9" ca="1">IFERROR(INDEX(Unidades[selectorSubSeccion],SMALL(IF(F$1=Unidades[selectorSeccion],MATCH(ROW(Unidades[selectorSeccion]),ROW(Unidades[selectorSeccion]))),ROW(E8))),"")</f>
        <v/>
      </c>
      <c r="G9" s="50" t="str">
        <f t="array" aca="1" ref="G9" ca="1">IFERROR(INDEX(Unidades[selectorSubSeccion],SMALL(IF(G$1=Unidades[selectorSeccion],MATCH(ROW(Unidades[selectorSeccion]),ROW(Unidades[selectorSeccion]))),ROW(F8))),"")</f>
        <v/>
      </c>
      <c r="H9" s="50" t="str">
        <f t="array" aca="1" ref="H9" ca="1">IFERROR(INDEX(Unidades[selectorSubSeccion],SMALL(IF(H$1=Unidades[selectorSeccion],MATCH(ROW(Unidades[selectorSeccion]),ROW(Unidades[selectorSeccion]))),ROW(G8))),"")</f>
        <v/>
      </c>
      <c r="I9" s="50" t="str">
        <f t="array" aca="1" ref="I9" ca="1">IFERROR(INDEX(Unidades[selectorSubSeccion],SMALL(IF(I$1=Unidades[selectorSeccion],MATCH(ROW(Unidades[selectorSeccion]),ROW(Unidades[selectorSeccion]))),ROW(H8))),"")</f>
        <v/>
      </c>
      <c r="J9" s="50" t="str">
        <f t="array" aca="1" ref="J9" ca="1">IFERROR(INDEX(Unidades[selectorSubSeccion],SMALL(IF(J$1=Unidades[selectorSeccion],MATCH(ROW(Unidades[selectorSeccion]),ROW(Unidades[selectorSeccion]))),ROW(I8))),"")</f>
        <v/>
      </c>
      <c r="K9" s="50" t="str">
        <f t="array" aca="1" ref="K9" ca="1">IFERROR(INDEX(Unidades[selectorSubSeccion],SMALL(IF(K$1=Unidades[selectorSeccion],MATCH(ROW(Unidades[selectorSeccion]),ROW(Unidades[selectorSeccion]))),ROW(J8))),"")</f>
        <v/>
      </c>
      <c r="L9" s="50" t="str">
        <f t="array" aca="1" ref="L9" ca="1">IFERROR(INDEX(Unidades[selectorSubSeccion],SMALL(IF(L$1=Unidades[selectorSeccion],MATCH(ROW(Unidades[selectorSeccion]),ROW(Unidades[selectorSeccion]))),ROW(K8))),"")</f>
        <v/>
      </c>
      <c r="M9" s="50" t="str">
        <f t="array" aca="1" ref="M9" ca="1">IFERROR(INDEX(Unidades[selectorSubSeccion],SMALL(IF(M$1=Unidades[selectorSeccion],MATCH(ROW(Unidades[selectorSeccion]),ROW(Unidades[selectorSeccion]))),ROW(L8))),"")</f>
        <v/>
      </c>
      <c r="N9" s="50" t="str">
        <f t="array" aca="1" ref="N9" ca="1">IFERROR(INDEX(Unidades[selectorSubSeccion],SMALL(IF(N$1=Unidades[selectorSeccion],MATCH(ROW(Unidades[selectorSeccion]),ROW(Unidades[selectorSeccion]))),ROW(M8))),"")</f>
        <v/>
      </c>
      <c r="O9" s="50" t="str">
        <f t="array" aca="1" ref="O9" ca="1">IFERROR(INDEX(Unidades[selectorSubSeccion],SMALL(IF(O$1=Unidades[selectorSeccion],MATCH(ROW(Unidades[selectorSeccion]),ROW(Unidades[selectorSeccion]))),ROW(N8))),"")</f>
        <v/>
      </c>
      <c r="P9" s="50" t="str">
        <f t="array" aca="1" ref="P9" ca="1">IFERROR(INDEX(Unidades[selectorSubSeccion],SMALL(IF(P$1=Unidades[selectorSeccion],MATCH(ROW(Unidades[selectorSeccion]),ROW(Unidades[selectorSeccion]))),ROW(O8))),"")</f>
        <v/>
      </c>
      <c r="Q9" s="50" t="str">
        <f t="array" aca="1" ref="Q9" ca="1">IFERROR(INDEX(Unidades[selectorSubSeccion],SMALL(IF(Q$1=Unidades[selectorSeccion],MATCH(ROW(Unidades[selectorSeccion]),ROW(Unidades[selectorSeccion]))),ROW(P8))),"")</f>
        <v/>
      </c>
      <c r="R9" s="50" t="str">
        <f t="array" aca="1" ref="R9" ca="1">IFERROR(INDEX(Unidades[selectorSubSeccion],SMALL(IF(R$1=Unidades[selectorSeccion],MATCH(ROW(Unidades[selectorSeccion]),ROW(Unidades[selectorSeccion]))),ROW(Q8))),"")</f>
        <v/>
      </c>
      <c r="S9" s="50" t="str">
        <f t="array" aca="1" ref="S9" ca="1">IFERROR(INDEX(Unidades[selectorSubSeccion],SMALL(IF(S$1=Unidades[selectorSeccion],MATCH(ROW(Unidades[selectorSeccion]),ROW(Unidades[selectorSeccion]))),ROW(R8))),"")</f>
        <v/>
      </c>
      <c r="T9" s="50" t="str">
        <f t="array" aca="1" ref="T9" ca="1">IFERROR(INDEX(Unidades[selectorSubSeccion],SMALL(IF(T$1=Unidades[selectorSeccion],MATCH(ROW(Unidades[selectorSeccion]),ROW(Unidades[selectorSeccion]))),ROW(S8))),"")</f>
        <v/>
      </c>
      <c r="U9" s="50" t="str">
        <f t="array" aca="1" ref="U9" ca="1">IFERROR(INDEX(Unidades[selectorSubSeccion],SMALL(IF(U$1=Unidades[selectorSeccion],MATCH(ROW(Unidades[selectorSeccion]),ROW(Unidades[selectorSeccion]))),ROW(T8))),"")</f>
        <v/>
      </c>
      <c r="V9" s="50" t="str">
        <f t="array" aca="1" ref="V9" ca="1">IFERROR(INDEX(Unidades[selectorSubSeccion],SMALL(IF(V$1=Unidades[selectorSeccion],MATCH(ROW(Unidades[selectorSeccion]),ROW(Unidades[selectorSeccion]))),ROW(U8))),"")</f>
        <v/>
      </c>
      <c r="W9" s="50" t="str">
        <f t="array" aca="1" ref="W9" ca="1">IFERROR(INDEX(Unidades[selectorSubSeccion],SMALL(IF(W$1=Unidades[selectorSeccion],MATCH(ROW(Unidades[selectorSeccion]),ROW(Unidades[selectorSeccion]))),ROW(V8))),"")</f>
        <v/>
      </c>
      <c r="X9" s="50" t="str">
        <f t="array" aca="1" ref="X9" ca="1">IFERROR(INDEX(Unidades[selectorSubSeccion],SMALL(IF(X$1=Unidades[selectorSeccion],MATCH(ROW(Unidades[selectorSeccion]),ROW(Unidades[selectorSeccion]))),ROW(W8))),"")</f>
        <v/>
      </c>
      <c r="Y9" s="50" t="str">
        <f t="array" aca="1" ref="Y9" ca="1">IFERROR(INDEX(Unidades[selectorSubSeccion],SMALL(IF(Y$1=Unidades[selectorSeccion],MATCH(ROW(Unidades[selectorSeccion]),ROW(Unidades[selectorSeccion]))),ROW(X8))),"")</f>
        <v/>
      </c>
      <c r="Z9" s="50" t="str">
        <f t="array" aca="1" ref="Z9" ca="1">IFERROR(INDEX(Unidades[selectorSubSeccion],SMALL(IF(Z$1=Unidades[selectorSeccion],MATCH(ROW(Unidades[selectorSeccion]),ROW(Unidades[selectorSeccion]))),ROW(Y8))),"")</f>
        <v/>
      </c>
      <c r="AA9" s="50" t="str">
        <f t="array" aca="1" ref="AA9" ca="1">IFERROR(INDEX(Unidades[selectorSubSeccion],SMALL(IF(AA$1=Unidades[selectorSeccion],MATCH(ROW(Unidades[selectorSeccion]),ROW(Unidades[selectorSeccion]))),ROW(Z8))),"")</f>
        <v/>
      </c>
      <c r="AB9" s="50" t="str">
        <f t="array" aca="1" ref="AB9" ca="1">IFERROR(INDEX(Unidades[selectorSubSeccion],SMALL(IF(AB$1=Unidades[selectorSeccion],MATCH(ROW(Unidades[selectorSeccion]),ROW(Unidades[selectorSeccion]))),ROW(AA8))),"")</f>
        <v/>
      </c>
      <c r="AC9" s="50" t="str">
        <f t="array" aca="1" ref="AC9" ca="1">IFERROR(INDEX(Unidades[selectorSubSeccion],SMALL(IF(AC$1=Unidades[selectorSeccion],MATCH(ROW(Unidades[selectorSeccion]),ROW(Unidades[selectorSeccion]))),ROW(AB8))),"")</f>
        <v/>
      </c>
      <c r="AD9" s="50" t="str">
        <f t="array" aca="1" ref="AD9" ca="1">IFERROR(INDEX(Unidades[selectorSubSeccion],SMALL(IF(AD$1=Unidades[selectorSeccion],MATCH(ROW(Unidades[selectorSeccion]),ROW(Unidades[selectorSeccion]))),ROW(AC8))),"")</f>
        <v/>
      </c>
      <c r="AE9" s="50" t="str">
        <f t="array" aca="1" ref="AE9" ca="1">IFERROR(INDEX(Unidades[selectorSubSeccion],SMALL(IF(AE$1=Unidades[selectorSeccion],MATCH(ROW(Unidades[selectorSeccion]),ROW(Unidades[selectorSeccion]))),ROW(AD8))),"")</f>
        <v/>
      </c>
      <c r="AF9" s="50" t="str">
        <f t="array" aca="1" ref="AF9" ca="1">IFERROR(INDEX(Unidades[selectorSubSeccion],SMALL(IF(AF$1=Unidades[selectorSeccion],MATCH(ROW(Unidades[selectorSeccion]),ROW(Unidades[selectorSeccion]))),ROW(AE8))),"")</f>
        <v/>
      </c>
      <c r="AG9" s="50" t="str">
        <f t="array" aca="1" ref="AG9" ca="1">IFERROR(INDEX(Unidades[selectorSubSeccion],SMALL(IF(AG$1=Unidades[selectorSeccion],MATCH(ROW(Unidades[selectorSeccion]),ROW(Unidades[selectorSeccion]))),ROW(AF8))),"")</f>
        <v/>
      </c>
    </row>
    <row r="10" spans="2:33" x14ac:dyDescent="0.3">
      <c r="B10" s="50" t="str">
        <f t="array" aca="1" ref="B10" ca="1">IFERROR(INDEX(Unidades[selectorSubSeccion],SMALL(IF(B$1=Unidades[selectorSeccion],MATCH(ROW(Unidades[selectorSeccion]),ROW(Unidades[selectorSeccion]))),ROW(A9))),"")</f>
        <v/>
      </c>
      <c r="C10" s="50" t="str">
        <f t="array" aca="1" ref="C10" ca="1">IFERROR(INDEX(Unidades[selectorSubSeccion],SMALL(IF(C$1=Unidades[selectorSeccion],MATCH(ROW(Unidades[selectorSeccion]),ROW(Unidades[selectorSeccion]))),ROW(B9))),"")</f>
        <v/>
      </c>
      <c r="D10" s="50" t="str">
        <f t="array" aca="1" ref="D10" ca="1">IFERROR(INDEX(Unidades[selectorSubSeccion],SMALL(IF(D$1=Unidades[selectorSeccion],MATCH(ROW(Unidades[selectorSeccion]),ROW(Unidades[selectorSeccion]))),ROW(C9))),"")</f>
        <v/>
      </c>
      <c r="E10" s="50" t="str">
        <f t="array" aca="1" ref="E10" ca="1">IFERROR(INDEX(Unidades[selectorSubSeccion],SMALL(IF(E$1=Unidades[selectorSeccion],MATCH(ROW(Unidades[selectorSeccion]),ROW(Unidades[selectorSeccion]))),ROW(D9))),"")</f>
        <v/>
      </c>
      <c r="F10" s="50" t="str">
        <f t="array" aca="1" ref="F10" ca="1">IFERROR(INDEX(Unidades[selectorSubSeccion],SMALL(IF(F$1=Unidades[selectorSeccion],MATCH(ROW(Unidades[selectorSeccion]),ROW(Unidades[selectorSeccion]))),ROW(E9))),"")</f>
        <v/>
      </c>
      <c r="G10" s="50" t="str">
        <f t="array" aca="1" ref="G10" ca="1">IFERROR(INDEX(Unidades[selectorSubSeccion],SMALL(IF(G$1=Unidades[selectorSeccion],MATCH(ROW(Unidades[selectorSeccion]),ROW(Unidades[selectorSeccion]))),ROW(F9))),"")</f>
        <v/>
      </c>
      <c r="H10" s="50" t="str">
        <f t="array" aca="1" ref="H10" ca="1">IFERROR(INDEX(Unidades[selectorSubSeccion],SMALL(IF(H$1=Unidades[selectorSeccion],MATCH(ROW(Unidades[selectorSeccion]),ROW(Unidades[selectorSeccion]))),ROW(G9))),"")</f>
        <v/>
      </c>
      <c r="I10" s="50" t="str">
        <f t="array" aca="1" ref="I10" ca="1">IFERROR(INDEX(Unidades[selectorSubSeccion],SMALL(IF(I$1=Unidades[selectorSeccion],MATCH(ROW(Unidades[selectorSeccion]),ROW(Unidades[selectorSeccion]))),ROW(H9))),"")</f>
        <v/>
      </c>
      <c r="J10" s="50" t="str">
        <f t="array" aca="1" ref="J10" ca="1">IFERROR(INDEX(Unidades[selectorSubSeccion],SMALL(IF(J$1=Unidades[selectorSeccion],MATCH(ROW(Unidades[selectorSeccion]),ROW(Unidades[selectorSeccion]))),ROW(I9))),"")</f>
        <v/>
      </c>
      <c r="K10" s="50" t="str">
        <f t="array" aca="1" ref="K10" ca="1">IFERROR(INDEX(Unidades[selectorSubSeccion],SMALL(IF(K$1=Unidades[selectorSeccion],MATCH(ROW(Unidades[selectorSeccion]),ROW(Unidades[selectorSeccion]))),ROW(J9))),"")</f>
        <v/>
      </c>
      <c r="L10" s="50" t="str">
        <f t="array" aca="1" ref="L10" ca="1">IFERROR(INDEX(Unidades[selectorSubSeccion],SMALL(IF(L$1=Unidades[selectorSeccion],MATCH(ROW(Unidades[selectorSeccion]),ROW(Unidades[selectorSeccion]))),ROW(K9))),"")</f>
        <v/>
      </c>
      <c r="M10" s="50" t="str">
        <f t="array" aca="1" ref="M10" ca="1">IFERROR(INDEX(Unidades[selectorSubSeccion],SMALL(IF(M$1=Unidades[selectorSeccion],MATCH(ROW(Unidades[selectorSeccion]),ROW(Unidades[selectorSeccion]))),ROW(L9))),"")</f>
        <v/>
      </c>
      <c r="N10" s="50" t="str">
        <f t="array" aca="1" ref="N10" ca="1">IFERROR(INDEX(Unidades[selectorSubSeccion],SMALL(IF(N$1=Unidades[selectorSeccion],MATCH(ROW(Unidades[selectorSeccion]),ROW(Unidades[selectorSeccion]))),ROW(M9))),"")</f>
        <v/>
      </c>
      <c r="O10" s="50" t="str">
        <f t="array" aca="1" ref="O10" ca="1">IFERROR(INDEX(Unidades[selectorSubSeccion],SMALL(IF(O$1=Unidades[selectorSeccion],MATCH(ROW(Unidades[selectorSeccion]),ROW(Unidades[selectorSeccion]))),ROW(N9))),"")</f>
        <v/>
      </c>
      <c r="P10" s="50" t="str">
        <f t="array" aca="1" ref="P10" ca="1">IFERROR(INDEX(Unidades[selectorSubSeccion],SMALL(IF(P$1=Unidades[selectorSeccion],MATCH(ROW(Unidades[selectorSeccion]),ROW(Unidades[selectorSeccion]))),ROW(O9))),"")</f>
        <v/>
      </c>
      <c r="Q10" s="50" t="str">
        <f t="array" aca="1" ref="Q10" ca="1">IFERROR(INDEX(Unidades[selectorSubSeccion],SMALL(IF(Q$1=Unidades[selectorSeccion],MATCH(ROW(Unidades[selectorSeccion]),ROW(Unidades[selectorSeccion]))),ROW(P9))),"")</f>
        <v/>
      </c>
      <c r="R10" s="50" t="str">
        <f t="array" aca="1" ref="R10" ca="1">IFERROR(INDEX(Unidades[selectorSubSeccion],SMALL(IF(R$1=Unidades[selectorSeccion],MATCH(ROW(Unidades[selectorSeccion]),ROW(Unidades[selectorSeccion]))),ROW(Q9))),"")</f>
        <v/>
      </c>
      <c r="S10" s="50" t="str">
        <f t="array" aca="1" ref="S10" ca="1">IFERROR(INDEX(Unidades[selectorSubSeccion],SMALL(IF(S$1=Unidades[selectorSeccion],MATCH(ROW(Unidades[selectorSeccion]),ROW(Unidades[selectorSeccion]))),ROW(R9))),"")</f>
        <v/>
      </c>
      <c r="T10" s="50" t="str">
        <f t="array" aca="1" ref="T10" ca="1">IFERROR(INDEX(Unidades[selectorSubSeccion],SMALL(IF(T$1=Unidades[selectorSeccion],MATCH(ROW(Unidades[selectorSeccion]),ROW(Unidades[selectorSeccion]))),ROW(S9))),"")</f>
        <v/>
      </c>
      <c r="U10" s="50" t="str">
        <f t="array" aca="1" ref="U10" ca="1">IFERROR(INDEX(Unidades[selectorSubSeccion],SMALL(IF(U$1=Unidades[selectorSeccion],MATCH(ROW(Unidades[selectorSeccion]),ROW(Unidades[selectorSeccion]))),ROW(T9))),"")</f>
        <v/>
      </c>
      <c r="V10" s="50" t="str">
        <f t="array" aca="1" ref="V10" ca="1">IFERROR(INDEX(Unidades[selectorSubSeccion],SMALL(IF(V$1=Unidades[selectorSeccion],MATCH(ROW(Unidades[selectorSeccion]),ROW(Unidades[selectorSeccion]))),ROW(U9))),"")</f>
        <v/>
      </c>
      <c r="W10" s="50" t="str">
        <f t="array" aca="1" ref="W10" ca="1">IFERROR(INDEX(Unidades[selectorSubSeccion],SMALL(IF(W$1=Unidades[selectorSeccion],MATCH(ROW(Unidades[selectorSeccion]),ROW(Unidades[selectorSeccion]))),ROW(V9))),"")</f>
        <v/>
      </c>
      <c r="X10" s="50" t="str">
        <f t="array" aca="1" ref="X10" ca="1">IFERROR(INDEX(Unidades[selectorSubSeccion],SMALL(IF(X$1=Unidades[selectorSeccion],MATCH(ROW(Unidades[selectorSeccion]),ROW(Unidades[selectorSeccion]))),ROW(W9))),"")</f>
        <v/>
      </c>
      <c r="Y10" s="50" t="str">
        <f t="array" aca="1" ref="Y10" ca="1">IFERROR(INDEX(Unidades[selectorSubSeccion],SMALL(IF(Y$1=Unidades[selectorSeccion],MATCH(ROW(Unidades[selectorSeccion]),ROW(Unidades[selectorSeccion]))),ROW(X9))),"")</f>
        <v/>
      </c>
      <c r="Z10" s="50" t="str">
        <f t="array" aca="1" ref="Z10" ca="1">IFERROR(INDEX(Unidades[selectorSubSeccion],SMALL(IF(Z$1=Unidades[selectorSeccion],MATCH(ROW(Unidades[selectorSeccion]),ROW(Unidades[selectorSeccion]))),ROW(Y9))),"")</f>
        <v/>
      </c>
      <c r="AA10" s="50" t="str">
        <f t="array" aca="1" ref="AA10" ca="1">IFERROR(INDEX(Unidades[selectorSubSeccion],SMALL(IF(AA$1=Unidades[selectorSeccion],MATCH(ROW(Unidades[selectorSeccion]),ROW(Unidades[selectorSeccion]))),ROW(Z9))),"")</f>
        <v/>
      </c>
      <c r="AB10" s="50" t="str">
        <f t="array" aca="1" ref="AB10" ca="1">IFERROR(INDEX(Unidades[selectorSubSeccion],SMALL(IF(AB$1=Unidades[selectorSeccion],MATCH(ROW(Unidades[selectorSeccion]),ROW(Unidades[selectorSeccion]))),ROW(AA9))),"")</f>
        <v/>
      </c>
      <c r="AC10" s="50" t="str">
        <f t="array" aca="1" ref="AC10" ca="1">IFERROR(INDEX(Unidades[selectorSubSeccion],SMALL(IF(AC$1=Unidades[selectorSeccion],MATCH(ROW(Unidades[selectorSeccion]),ROW(Unidades[selectorSeccion]))),ROW(AB9))),"")</f>
        <v/>
      </c>
      <c r="AD10" s="50" t="str">
        <f t="array" aca="1" ref="AD10" ca="1">IFERROR(INDEX(Unidades[selectorSubSeccion],SMALL(IF(AD$1=Unidades[selectorSeccion],MATCH(ROW(Unidades[selectorSeccion]),ROW(Unidades[selectorSeccion]))),ROW(AC9))),"")</f>
        <v/>
      </c>
      <c r="AE10" s="50" t="str">
        <f t="array" aca="1" ref="AE10" ca="1">IFERROR(INDEX(Unidades[selectorSubSeccion],SMALL(IF(AE$1=Unidades[selectorSeccion],MATCH(ROW(Unidades[selectorSeccion]),ROW(Unidades[selectorSeccion]))),ROW(AD9))),"")</f>
        <v/>
      </c>
      <c r="AF10" s="50" t="str">
        <f t="array" aca="1" ref="AF10" ca="1">IFERROR(INDEX(Unidades[selectorSubSeccion],SMALL(IF(AF$1=Unidades[selectorSeccion],MATCH(ROW(Unidades[selectorSeccion]),ROW(Unidades[selectorSeccion]))),ROW(AE9))),"")</f>
        <v/>
      </c>
      <c r="AG10" s="50" t="str">
        <f t="array" aca="1" ref="AG10" ca="1">IFERROR(INDEX(Unidades[selectorSubSeccion],SMALL(IF(AG$1=Unidades[selectorSeccion],MATCH(ROW(Unidades[selectorSeccion]),ROW(Unidades[selectorSeccion]))),ROW(AF9))),"")</f>
        <v/>
      </c>
    </row>
    <row r="11" spans="2:33" x14ac:dyDescent="0.3">
      <c r="B11" s="50" t="str">
        <f t="array" aca="1" ref="B11" ca="1">IFERROR(INDEX(Unidades[selectorSubSeccion],SMALL(IF(B$1=Unidades[selectorSeccion],MATCH(ROW(Unidades[selectorSeccion]),ROW(Unidades[selectorSeccion]))),ROW(A10))),"")</f>
        <v/>
      </c>
      <c r="C11" s="50" t="str">
        <f t="array" aca="1" ref="C11" ca="1">IFERROR(INDEX(Unidades[selectorSubSeccion],SMALL(IF(C$1=Unidades[selectorSeccion],MATCH(ROW(Unidades[selectorSeccion]),ROW(Unidades[selectorSeccion]))),ROW(B10))),"")</f>
        <v/>
      </c>
      <c r="D11" s="50" t="str">
        <f t="array" aca="1" ref="D11" ca="1">IFERROR(INDEX(Unidades[selectorSubSeccion],SMALL(IF(D$1=Unidades[selectorSeccion],MATCH(ROW(Unidades[selectorSeccion]),ROW(Unidades[selectorSeccion]))),ROW(C10))),"")</f>
        <v/>
      </c>
      <c r="E11" s="50" t="str">
        <f t="array" aca="1" ref="E11" ca="1">IFERROR(INDEX(Unidades[selectorSubSeccion],SMALL(IF(E$1=Unidades[selectorSeccion],MATCH(ROW(Unidades[selectorSeccion]),ROW(Unidades[selectorSeccion]))),ROW(D10))),"")</f>
        <v/>
      </c>
      <c r="F11" s="50" t="str">
        <f t="array" aca="1" ref="F11" ca="1">IFERROR(INDEX(Unidades[selectorSubSeccion],SMALL(IF(F$1=Unidades[selectorSeccion],MATCH(ROW(Unidades[selectorSeccion]),ROW(Unidades[selectorSeccion]))),ROW(E10))),"")</f>
        <v/>
      </c>
      <c r="G11" s="50" t="str">
        <f t="array" aca="1" ref="G11" ca="1">IFERROR(INDEX(Unidades[selectorSubSeccion],SMALL(IF(G$1=Unidades[selectorSeccion],MATCH(ROW(Unidades[selectorSeccion]),ROW(Unidades[selectorSeccion]))),ROW(F10))),"")</f>
        <v/>
      </c>
      <c r="H11" s="50" t="str">
        <f t="array" aca="1" ref="H11" ca="1">IFERROR(INDEX(Unidades[selectorSubSeccion],SMALL(IF(H$1=Unidades[selectorSeccion],MATCH(ROW(Unidades[selectorSeccion]),ROW(Unidades[selectorSeccion]))),ROW(G10))),"")</f>
        <v/>
      </c>
      <c r="I11" s="50" t="str">
        <f t="array" aca="1" ref="I11" ca="1">IFERROR(INDEX(Unidades[selectorSubSeccion],SMALL(IF(I$1=Unidades[selectorSeccion],MATCH(ROW(Unidades[selectorSeccion]),ROW(Unidades[selectorSeccion]))),ROW(H10))),"")</f>
        <v/>
      </c>
      <c r="J11" s="50" t="str">
        <f t="array" aca="1" ref="J11" ca="1">IFERROR(INDEX(Unidades[selectorSubSeccion],SMALL(IF(J$1=Unidades[selectorSeccion],MATCH(ROW(Unidades[selectorSeccion]),ROW(Unidades[selectorSeccion]))),ROW(I10))),"")</f>
        <v/>
      </c>
      <c r="K11" s="50" t="str">
        <f t="array" aca="1" ref="K11" ca="1">IFERROR(INDEX(Unidades[selectorSubSeccion],SMALL(IF(K$1=Unidades[selectorSeccion],MATCH(ROW(Unidades[selectorSeccion]),ROW(Unidades[selectorSeccion]))),ROW(J10))),"")</f>
        <v/>
      </c>
      <c r="L11" s="50" t="str">
        <f t="array" aca="1" ref="L11" ca="1">IFERROR(INDEX(Unidades[selectorSubSeccion],SMALL(IF(L$1=Unidades[selectorSeccion],MATCH(ROW(Unidades[selectorSeccion]),ROW(Unidades[selectorSeccion]))),ROW(K10))),"")</f>
        <v/>
      </c>
      <c r="M11" s="50" t="str">
        <f t="array" aca="1" ref="M11" ca="1">IFERROR(INDEX(Unidades[selectorSubSeccion],SMALL(IF(M$1=Unidades[selectorSeccion],MATCH(ROW(Unidades[selectorSeccion]),ROW(Unidades[selectorSeccion]))),ROW(L10))),"")</f>
        <v/>
      </c>
      <c r="N11" s="50" t="str">
        <f t="array" aca="1" ref="N11" ca="1">IFERROR(INDEX(Unidades[selectorSubSeccion],SMALL(IF(N$1=Unidades[selectorSeccion],MATCH(ROW(Unidades[selectorSeccion]),ROW(Unidades[selectorSeccion]))),ROW(M10))),"")</f>
        <v/>
      </c>
      <c r="O11" s="50" t="str">
        <f t="array" aca="1" ref="O11" ca="1">IFERROR(INDEX(Unidades[selectorSubSeccion],SMALL(IF(O$1=Unidades[selectorSeccion],MATCH(ROW(Unidades[selectorSeccion]),ROW(Unidades[selectorSeccion]))),ROW(N10))),"")</f>
        <v/>
      </c>
      <c r="P11" s="50" t="str">
        <f t="array" aca="1" ref="P11" ca="1">IFERROR(INDEX(Unidades[selectorSubSeccion],SMALL(IF(P$1=Unidades[selectorSeccion],MATCH(ROW(Unidades[selectorSeccion]),ROW(Unidades[selectorSeccion]))),ROW(O10))),"")</f>
        <v/>
      </c>
      <c r="Q11" s="50" t="str">
        <f t="array" aca="1" ref="Q11" ca="1">IFERROR(INDEX(Unidades[selectorSubSeccion],SMALL(IF(Q$1=Unidades[selectorSeccion],MATCH(ROW(Unidades[selectorSeccion]),ROW(Unidades[selectorSeccion]))),ROW(P10))),"")</f>
        <v/>
      </c>
      <c r="R11" s="50" t="str">
        <f t="array" aca="1" ref="R11" ca="1">IFERROR(INDEX(Unidades[selectorSubSeccion],SMALL(IF(R$1=Unidades[selectorSeccion],MATCH(ROW(Unidades[selectorSeccion]),ROW(Unidades[selectorSeccion]))),ROW(Q10))),"")</f>
        <v/>
      </c>
      <c r="S11" s="50" t="str">
        <f t="array" aca="1" ref="S11" ca="1">IFERROR(INDEX(Unidades[selectorSubSeccion],SMALL(IF(S$1=Unidades[selectorSeccion],MATCH(ROW(Unidades[selectorSeccion]),ROW(Unidades[selectorSeccion]))),ROW(R10))),"")</f>
        <v/>
      </c>
      <c r="T11" s="50" t="str">
        <f t="array" aca="1" ref="T11" ca="1">IFERROR(INDEX(Unidades[selectorSubSeccion],SMALL(IF(T$1=Unidades[selectorSeccion],MATCH(ROW(Unidades[selectorSeccion]),ROW(Unidades[selectorSeccion]))),ROW(S10))),"")</f>
        <v/>
      </c>
      <c r="U11" s="50" t="str">
        <f t="array" aca="1" ref="U11" ca="1">IFERROR(INDEX(Unidades[selectorSubSeccion],SMALL(IF(U$1=Unidades[selectorSeccion],MATCH(ROW(Unidades[selectorSeccion]),ROW(Unidades[selectorSeccion]))),ROW(T10))),"")</f>
        <v/>
      </c>
      <c r="V11" s="50" t="str">
        <f t="array" aca="1" ref="V11" ca="1">IFERROR(INDEX(Unidades[selectorSubSeccion],SMALL(IF(V$1=Unidades[selectorSeccion],MATCH(ROW(Unidades[selectorSeccion]),ROW(Unidades[selectorSeccion]))),ROW(U10))),"")</f>
        <v/>
      </c>
      <c r="W11" s="50" t="str">
        <f t="array" aca="1" ref="W11" ca="1">IFERROR(INDEX(Unidades[selectorSubSeccion],SMALL(IF(W$1=Unidades[selectorSeccion],MATCH(ROW(Unidades[selectorSeccion]),ROW(Unidades[selectorSeccion]))),ROW(V10))),"")</f>
        <v/>
      </c>
      <c r="X11" s="50" t="str">
        <f t="array" aca="1" ref="X11" ca="1">IFERROR(INDEX(Unidades[selectorSubSeccion],SMALL(IF(X$1=Unidades[selectorSeccion],MATCH(ROW(Unidades[selectorSeccion]),ROW(Unidades[selectorSeccion]))),ROW(W10))),"")</f>
        <v/>
      </c>
      <c r="Y11" s="50" t="str">
        <f t="array" aca="1" ref="Y11" ca="1">IFERROR(INDEX(Unidades[selectorSubSeccion],SMALL(IF(Y$1=Unidades[selectorSeccion],MATCH(ROW(Unidades[selectorSeccion]),ROW(Unidades[selectorSeccion]))),ROW(X10))),"")</f>
        <v/>
      </c>
      <c r="Z11" s="50" t="str">
        <f t="array" aca="1" ref="Z11" ca="1">IFERROR(INDEX(Unidades[selectorSubSeccion],SMALL(IF(Z$1=Unidades[selectorSeccion],MATCH(ROW(Unidades[selectorSeccion]),ROW(Unidades[selectorSeccion]))),ROW(Y10))),"")</f>
        <v/>
      </c>
      <c r="AA11" s="50" t="str">
        <f t="array" aca="1" ref="AA11" ca="1">IFERROR(INDEX(Unidades[selectorSubSeccion],SMALL(IF(AA$1=Unidades[selectorSeccion],MATCH(ROW(Unidades[selectorSeccion]),ROW(Unidades[selectorSeccion]))),ROW(Z10))),"")</f>
        <v/>
      </c>
      <c r="AB11" s="50" t="str">
        <f t="array" aca="1" ref="AB11" ca="1">IFERROR(INDEX(Unidades[selectorSubSeccion],SMALL(IF(AB$1=Unidades[selectorSeccion],MATCH(ROW(Unidades[selectorSeccion]),ROW(Unidades[selectorSeccion]))),ROW(AA10))),"")</f>
        <v/>
      </c>
      <c r="AC11" s="50" t="str">
        <f t="array" aca="1" ref="AC11" ca="1">IFERROR(INDEX(Unidades[selectorSubSeccion],SMALL(IF(AC$1=Unidades[selectorSeccion],MATCH(ROW(Unidades[selectorSeccion]),ROW(Unidades[selectorSeccion]))),ROW(AB10))),"")</f>
        <v/>
      </c>
      <c r="AD11" s="50" t="str">
        <f t="array" aca="1" ref="AD11" ca="1">IFERROR(INDEX(Unidades[selectorSubSeccion],SMALL(IF(AD$1=Unidades[selectorSeccion],MATCH(ROW(Unidades[selectorSeccion]),ROW(Unidades[selectorSeccion]))),ROW(AC10))),"")</f>
        <v/>
      </c>
      <c r="AE11" s="50" t="str">
        <f t="array" aca="1" ref="AE11" ca="1">IFERROR(INDEX(Unidades[selectorSubSeccion],SMALL(IF(AE$1=Unidades[selectorSeccion],MATCH(ROW(Unidades[selectorSeccion]),ROW(Unidades[selectorSeccion]))),ROW(AD10))),"")</f>
        <v/>
      </c>
      <c r="AF11" s="50" t="str">
        <f t="array" aca="1" ref="AF11" ca="1">IFERROR(INDEX(Unidades[selectorSubSeccion],SMALL(IF(AF$1=Unidades[selectorSeccion],MATCH(ROW(Unidades[selectorSeccion]),ROW(Unidades[selectorSeccion]))),ROW(AE10))),"")</f>
        <v/>
      </c>
      <c r="AG11" s="50" t="str">
        <f t="array" aca="1" ref="AG11" ca="1">IFERROR(INDEX(Unidades[selectorSubSeccion],SMALL(IF(AG$1=Unidades[selectorSeccion],MATCH(ROW(Unidades[selectorSeccion]),ROW(Unidades[selectorSeccion]))),ROW(AF10))),"")</f>
        <v/>
      </c>
    </row>
    <row r="12" spans="2:33" x14ac:dyDescent="0.3">
      <c r="B12" s="50" t="str">
        <f t="array" aca="1" ref="B12" ca="1">IFERROR(INDEX(Unidades[selectorSubSeccion],SMALL(IF(B$1=Unidades[selectorSeccion],MATCH(ROW(Unidades[selectorSeccion]),ROW(Unidades[selectorSeccion]))),ROW(A11))),"")</f>
        <v/>
      </c>
      <c r="C12" s="50" t="str">
        <f t="array" aca="1" ref="C12" ca="1">IFERROR(INDEX(Unidades[selectorSubSeccion],SMALL(IF(C$1=Unidades[selectorSeccion],MATCH(ROW(Unidades[selectorSeccion]),ROW(Unidades[selectorSeccion]))),ROW(B11))),"")</f>
        <v/>
      </c>
      <c r="D12" s="50" t="str">
        <f t="array" aca="1" ref="D12" ca="1">IFERROR(INDEX(Unidades[selectorSubSeccion],SMALL(IF(D$1=Unidades[selectorSeccion],MATCH(ROW(Unidades[selectorSeccion]),ROW(Unidades[selectorSeccion]))),ROW(C11))),"")</f>
        <v/>
      </c>
      <c r="E12" s="50" t="str">
        <f t="array" aca="1" ref="E12" ca="1">IFERROR(INDEX(Unidades[selectorSubSeccion],SMALL(IF(E$1=Unidades[selectorSeccion],MATCH(ROW(Unidades[selectorSeccion]),ROW(Unidades[selectorSeccion]))),ROW(D11))),"")</f>
        <v/>
      </c>
      <c r="F12" s="50" t="str">
        <f t="array" aca="1" ref="F12" ca="1">IFERROR(INDEX(Unidades[selectorSubSeccion],SMALL(IF(F$1=Unidades[selectorSeccion],MATCH(ROW(Unidades[selectorSeccion]),ROW(Unidades[selectorSeccion]))),ROW(E11))),"")</f>
        <v/>
      </c>
      <c r="G12" s="50" t="str">
        <f t="array" aca="1" ref="G12" ca="1">IFERROR(INDEX(Unidades[selectorSubSeccion],SMALL(IF(G$1=Unidades[selectorSeccion],MATCH(ROW(Unidades[selectorSeccion]),ROW(Unidades[selectorSeccion]))),ROW(F11))),"")</f>
        <v/>
      </c>
      <c r="H12" s="50" t="str">
        <f t="array" aca="1" ref="H12" ca="1">IFERROR(INDEX(Unidades[selectorSubSeccion],SMALL(IF(H$1=Unidades[selectorSeccion],MATCH(ROW(Unidades[selectorSeccion]),ROW(Unidades[selectorSeccion]))),ROW(G11))),"")</f>
        <v/>
      </c>
      <c r="I12" s="50" t="str">
        <f t="array" aca="1" ref="I12" ca="1">IFERROR(INDEX(Unidades[selectorSubSeccion],SMALL(IF(I$1=Unidades[selectorSeccion],MATCH(ROW(Unidades[selectorSeccion]),ROW(Unidades[selectorSeccion]))),ROW(H11))),"")</f>
        <v/>
      </c>
      <c r="J12" s="50" t="str">
        <f t="array" aca="1" ref="J12" ca="1">IFERROR(INDEX(Unidades[selectorSubSeccion],SMALL(IF(J$1=Unidades[selectorSeccion],MATCH(ROW(Unidades[selectorSeccion]),ROW(Unidades[selectorSeccion]))),ROW(I11))),"")</f>
        <v/>
      </c>
      <c r="K12" s="50" t="str">
        <f t="array" aca="1" ref="K12" ca="1">IFERROR(INDEX(Unidades[selectorSubSeccion],SMALL(IF(K$1=Unidades[selectorSeccion],MATCH(ROW(Unidades[selectorSeccion]),ROW(Unidades[selectorSeccion]))),ROW(J11))),"")</f>
        <v/>
      </c>
      <c r="L12" s="50" t="str">
        <f t="array" aca="1" ref="L12" ca="1">IFERROR(INDEX(Unidades[selectorSubSeccion],SMALL(IF(L$1=Unidades[selectorSeccion],MATCH(ROW(Unidades[selectorSeccion]),ROW(Unidades[selectorSeccion]))),ROW(K11))),"")</f>
        <v/>
      </c>
      <c r="M12" s="50" t="str">
        <f t="array" aca="1" ref="M12" ca="1">IFERROR(INDEX(Unidades[selectorSubSeccion],SMALL(IF(M$1=Unidades[selectorSeccion],MATCH(ROW(Unidades[selectorSeccion]),ROW(Unidades[selectorSeccion]))),ROW(L11))),"")</f>
        <v/>
      </c>
      <c r="N12" s="50" t="str">
        <f t="array" aca="1" ref="N12" ca="1">IFERROR(INDEX(Unidades[selectorSubSeccion],SMALL(IF(N$1=Unidades[selectorSeccion],MATCH(ROW(Unidades[selectorSeccion]),ROW(Unidades[selectorSeccion]))),ROW(M11))),"")</f>
        <v/>
      </c>
      <c r="O12" s="50" t="str">
        <f t="array" aca="1" ref="O12" ca="1">IFERROR(INDEX(Unidades[selectorSubSeccion],SMALL(IF(O$1=Unidades[selectorSeccion],MATCH(ROW(Unidades[selectorSeccion]),ROW(Unidades[selectorSeccion]))),ROW(N11))),"")</f>
        <v/>
      </c>
      <c r="P12" s="50" t="str">
        <f t="array" aca="1" ref="P12" ca="1">IFERROR(INDEX(Unidades[selectorSubSeccion],SMALL(IF(P$1=Unidades[selectorSeccion],MATCH(ROW(Unidades[selectorSeccion]),ROW(Unidades[selectorSeccion]))),ROW(O11))),"")</f>
        <v/>
      </c>
      <c r="Q12" s="50" t="str">
        <f t="array" aca="1" ref="Q12" ca="1">IFERROR(INDEX(Unidades[selectorSubSeccion],SMALL(IF(Q$1=Unidades[selectorSeccion],MATCH(ROW(Unidades[selectorSeccion]),ROW(Unidades[selectorSeccion]))),ROW(P11))),"")</f>
        <v/>
      </c>
      <c r="R12" s="50" t="str">
        <f t="array" aca="1" ref="R12" ca="1">IFERROR(INDEX(Unidades[selectorSubSeccion],SMALL(IF(R$1=Unidades[selectorSeccion],MATCH(ROW(Unidades[selectorSeccion]),ROW(Unidades[selectorSeccion]))),ROW(Q11))),"")</f>
        <v/>
      </c>
      <c r="S12" s="50" t="str">
        <f t="array" aca="1" ref="S12" ca="1">IFERROR(INDEX(Unidades[selectorSubSeccion],SMALL(IF(S$1=Unidades[selectorSeccion],MATCH(ROW(Unidades[selectorSeccion]),ROW(Unidades[selectorSeccion]))),ROW(R11))),"")</f>
        <v/>
      </c>
      <c r="T12" s="50" t="str">
        <f t="array" aca="1" ref="T12" ca="1">IFERROR(INDEX(Unidades[selectorSubSeccion],SMALL(IF(T$1=Unidades[selectorSeccion],MATCH(ROW(Unidades[selectorSeccion]),ROW(Unidades[selectorSeccion]))),ROW(S11))),"")</f>
        <v/>
      </c>
      <c r="U12" s="50" t="str">
        <f t="array" aca="1" ref="U12" ca="1">IFERROR(INDEX(Unidades[selectorSubSeccion],SMALL(IF(U$1=Unidades[selectorSeccion],MATCH(ROW(Unidades[selectorSeccion]),ROW(Unidades[selectorSeccion]))),ROW(T11))),"")</f>
        <v/>
      </c>
      <c r="V12" s="50" t="str">
        <f t="array" aca="1" ref="V12" ca="1">IFERROR(INDEX(Unidades[selectorSubSeccion],SMALL(IF(V$1=Unidades[selectorSeccion],MATCH(ROW(Unidades[selectorSeccion]),ROW(Unidades[selectorSeccion]))),ROW(U11))),"")</f>
        <v/>
      </c>
      <c r="W12" s="50" t="str">
        <f t="array" aca="1" ref="W12" ca="1">IFERROR(INDEX(Unidades[selectorSubSeccion],SMALL(IF(W$1=Unidades[selectorSeccion],MATCH(ROW(Unidades[selectorSeccion]),ROW(Unidades[selectorSeccion]))),ROW(V11))),"")</f>
        <v/>
      </c>
      <c r="X12" s="50" t="str">
        <f t="array" aca="1" ref="X12" ca="1">IFERROR(INDEX(Unidades[selectorSubSeccion],SMALL(IF(X$1=Unidades[selectorSeccion],MATCH(ROW(Unidades[selectorSeccion]),ROW(Unidades[selectorSeccion]))),ROW(W11))),"")</f>
        <v/>
      </c>
      <c r="Y12" s="50" t="str">
        <f t="array" aca="1" ref="Y12" ca="1">IFERROR(INDEX(Unidades[selectorSubSeccion],SMALL(IF(Y$1=Unidades[selectorSeccion],MATCH(ROW(Unidades[selectorSeccion]),ROW(Unidades[selectorSeccion]))),ROW(X11))),"")</f>
        <v/>
      </c>
      <c r="Z12" s="50" t="str">
        <f t="array" aca="1" ref="Z12" ca="1">IFERROR(INDEX(Unidades[selectorSubSeccion],SMALL(IF(Z$1=Unidades[selectorSeccion],MATCH(ROW(Unidades[selectorSeccion]),ROW(Unidades[selectorSeccion]))),ROW(Y11))),"")</f>
        <v/>
      </c>
      <c r="AA12" s="50" t="str">
        <f t="array" aca="1" ref="AA12" ca="1">IFERROR(INDEX(Unidades[selectorSubSeccion],SMALL(IF(AA$1=Unidades[selectorSeccion],MATCH(ROW(Unidades[selectorSeccion]),ROW(Unidades[selectorSeccion]))),ROW(Z11))),"")</f>
        <v/>
      </c>
      <c r="AB12" s="50" t="str">
        <f t="array" aca="1" ref="AB12" ca="1">IFERROR(INDEX(Unidades[selectorSubSeccion],SMALL(IF(AB$1=Unidades[selectorSeccion],MATCH(ROW(Unidades[selectorSeccion]),ROW(Unidades[selectorSeccion]))),ROW(AA11))),"")</f>
        <v/>
      </c>
      <c r="AC12" s="50" t="str">
        <f t="array" aca="1" ref="AC12" ca="1">IFERROR(INDEX(Unidades[selectorSubSeccion],SMALL(IF(AC$1=Unidades[selectorSeccion],MATCH(ROW(Unidades[selectorSeccion]),ROW(Unidades[selectorSeccion]))),ROW(AB11))),"")</f>
        <v/>
      </c>
      <c r="AD12" s="50" t="str">
        <f t="array" aca="1" ref="AD12" ca="1">IFERROR(INDEX(Unidades[selectorSubSeccion],SMALL(IF(AD$1=Unidades[selectorSeccion],MATCH(ROW(Unidades[selectorSeccion]),ROW(Unidades[selectorSeccion]))),ROW(AC11))),"")</f>
        <v/>
      </c>
      <c r="AE12" s="50" t="str">
        <f t="array" aca="1" ref="AE12" ca="1">IFERROR(INDEX(Unidades[selectorSubSeccion],SMALL(IF(AE$1=Unidades[selectorSeccion],MATCH(ROW(Unidades[selectorSeccion]),ROW(Unidades[selectorSeccion]))),ROW(AD11))),"")</f>
        <v/>
      </c>
      <c r="AF12" s="50" t="str">
        <f t="array" aca="1" ref="AF12" ca="1">IFERROR(INDEX(Unidades[selectorSubSeccion],SMALL(IF(AF$1=Unidades[selectorSeccion],MATCH(ROW(Unidades[selectorSeccion]),ROW(Unidades[selectorSeccion]))),ROW(AE11))),"")</f>
        <v/>
      </c>
      <c r="AG12" s="50" t="str">
        <f t="array" aca="1" ref="AG12" ca="1">IFERROR(INDEX(Unidades[selectorSubSeccion],SMALL(IF(AG$1=Unidades[selectorSeccion],MATCH(ROW(Unidades[selectorSeccion]),ROW(Unidades[selectorSeccion]))),ROW(AF11))),"")</f>
        <v/>
      </c>
    </row>
    <row r="13" spans="2:33" x14ac:dyDescent="0.3">
      <c r="B13" s="50" t="str">
        <f t="array" aca="1" ref="B13" ca="1">IFERROR(INDEX(Unidades[selectorSubSeccion],SMALL(IF(B$1=Unidades[selectorSeccion],MATCH(ROW(Unidades[selectorSeccion]),ROW(Unidades[selectorSeccion]))),ROW(A12))),"")</f>
        <v/>
      </c>
      <c r="C13" s="50" t="str">
        <f t="array" aca="1" ref="C13" ca="1">IFERROR(INDEX(Unidades[selectorSubSeccion],SMALL(IF(C$1=Unidades[selectorSeccion],MATCH(ROW(Unidades[selectorSeccion]),ROW(Unidades[selectorSeccion]))),ROW(B12))),"")</f>
        <v/>
      </c>
      <c r="D13" s="50" t="str">
        <f t="array" aca="1" ref="D13" ca="1">IFERROR(INDEX(Unidades[selectorSubSeccion],SMALL(IF(D$1=Unidades[selectorSeccion],MATCH(ROW(Unidades[selectorSeccion]),ROW(Unidades[selectorSeccion]))),ROW(C12))),"")</f>
        <v/>
      </c>
      <c r="E13" s="50" t="str">
        <f t="array" aca="1" ref="E13" ca="1">IFERROR(INDEX(Unidades[selectorSubSeccion],SMALL(IF(E$1=Unidades[selectorSeccion],MATCH(ROW(Unidades[selectorSeccion]),ROW(Unidades[selectorSeccion]))),ROW(D12))),"")</f>
        <v/>
      </c>
      <c r="F13" s="50" t="str">
        <f t="array" aca="1" ref="F13" ca="1">IFERROR(INDEX(Unidades[selectorSubSeccion],SMALL(IF(F$1=Unidades[selectorSeccion],MATCH(ROW(Unidades[selectorSeccion]),ROW(Unidades[selectorSeccion]))),ROW(E12))),"")</f>
        <v/>
      </c>
      <c r="G13" s="50" t="str">
        <f t="array" aca="1" ref="G13" ca="1">IFERROR(INDEX(Unidades[selectorSubSeccion],SMALL(IF(G$1=Unidades[selectorSeccion],MATCH(ROW(Unidades[selectorSeccion]),ROW(Unidades[selectorSeccion]))),ROW(F12))),"")</f>
        <v/>
      </c>
      <c r="H13" s="50" t="str">
        <f t="array" aca="1" ref="H13" ca="1">IFERROR(INDEX(Unidades[selectorSubSeccion],SMALL(IF(H$1=Unidades[selectorSeccion],MATCH(ROW(Unidades[selectorSeccion]),ROW(Unidades[selectorSeccion]))),ROW(G12))),"")</f>
        <v/>
      </c>
      <c r="I13" s="50" t="str">
        <f t="array" aca="1" ref="I13" ca="1">IFERROR(INDEX(Unidades[selectorSubSeccion],SMALL(IF(I$1=Unidades[selectorSeccion],MATCH(ROW(Unidades[selectorSeccion]),ROW(Unidades[selectorSeccion]))),ROW(H12))),"")</f>
        <v/>
      </c>
      <c r="J13" s="50" t="str">
        <f t="array" aca="1" ref="J13" ca="1">IFERROR(INDEX(Unidades[selectorSubSeccion],SMALL(IF(J$1=Unidades[selectorSeccion],MATCH(ROW(Unidades[selectorSeccion]),ROW(Unidades[selectorSeccion]))),ROW(I12))),"")</f>
        <v/>
      </c>
      <c r="K13" s="50" t="str">
        <f t="array" aca="1" ref="K13" ca="1">IFERROR(INDEX(Unidades[selectorSubSeccion],SMALL(IF(K$1=Unidades[selectorSeccion],MATCH(ROW(Unidades[selectorSeccion]),ROW(Unidades[selectorSeccion]))),ROW(J12))),"")</f>
        <v/>
      </c>
      <c r="L13" s="50" t="str">
        <f t="array" aca="1" ref="L13" ca="1">IFERROR(INDEX(Unidades[selectorSubSeccion],SMALL(IF(L$1=Unidades[selectorSeccion],MATCH(ROW(Unidades[selectorSeccion]),ROW(Unidades[selectorSeccion]))),ROW(K12))),"")</f>
        <v/>
      </c>
      <c r="M13" s="50" t="str">
        <f t="array" aca="1" ref="M13" ca="1">IFERROR(INDEX(Unidades[selectorSubSeccion],SMALL(IF(M$1=Unidades[selectorSeccion],MATCH(ROW(Unidades[selectorSeccion]),ROW(Unidades[selectorSeccion]))),ROW(L12))),"")</f>
        <v/>
      </c>
      <c r="N13" s="50" t="str">
        <f t="array" aca="1" ref="N13" ca="1">IFERROR(INDEX(Unidades[selectorSubSeccion],SMALL(IF(N$1=Unidades[selectorSeccion],MATCH(ROW(Unidades[selectorSeccion]),ROW(Unidades[selectorSeccion]))),ROW(M12))),"")</f>
        <v/>
      </c>
      <c r="O13" s="50" t="str">
        <f t="array" aca="1" ref="O13" ca="1">IFERROR(INDEX(Unidades[selectorSubSeccion],SMALL(IF(O$1=Unidades[selectorSeccion],MATCH(ROW(Unidades[selectorSeccion]),ROW(Unidades[selectorSeccion]))),ROW(N12))),"")</f>
        <v/>
      </c>
      <c r="P13" s="50" t="str">
        <f t="array" aca="1" ref="P13" ca="1">IFERROR(INDEX(Unidades[selectorSubSeccion],SMALL(IF(P$1=Unidades[selectorSeccion],MATCH(ROW(Unidades[selectorSeccion]),ROW(Unidades[selectorSeccion]))),ROW(O12))),"")</f>
        <v/>
      </c>
      <c r="Q13" s="50" t="str">
        <f t="array" aca="1" ref="Q13" ca="1">IFERROR(INDEX(Unidades[selectorSubSeccion],SMALL(IF(Q$1=Unidades[selectorSeccion],MATCH(ROW(Unidades[selectorSeccion]),ROW(Unidades[selectorSeccion]))),ROW(P12))),"")</f>
        <v/>
      </c>
      <c r="R13" s="50" t="str">
        <f t="array" aca="1" ref="R13" ca="1">IFERROR(INDEX(Unidades[selectorSubSeccion],SMALL(IF(R$1=Unidades[selectorSeccion],MATCH(ROW(Unidades[selectorSeccion]),ROW(Unidades[selectorSeccion]))),ROW(Q12))),"")</f>
        <v/>
      </c>
      <c r="S13" s="50" t="str">
        <f t="array" aca="1" ref="S13" ca="1">IFERROR(INDEX(Unidades[selectorSubSeccion],SMALL(IF(S$1=Unidades[selectorSeccion],MATCH(ROW(Unidades[selectorSeccion]),ROW(Unidades[selectorSeccion]))),ROW(R12))),"")</f>
        <v/>
      </c>
      <c r="T13" s="50" t="str">
        <f t="array" aca="1" ref="T13" ca="1">IFERROR(INDEX(Unidades[selectorSubSeccion],SMALL(IF(T$1=Unidades[selectorSeccion],MATCH(ROW(Unidades[selectorSeccion]),ROW(Unidades[selectorSeccion]))),ROW(S12))),"")</f>
        <v/>
      </c>
      <c r="U13" s="50" t="str">
        <f t="array" aca="1" ref="U13" ca="1">IFERROR(INDEX(Unidades[selectorSubSeccion],SMALL(IF(U$1=Unidades[selectorSeccion],MATCH(ROW(Unidades[selectorSeccion]),ROW(Unidades[selectorSeccion]))),ROW(T12))),"")</f>
        <v/>
      </c>
      <c r="V13" s="50" t="str">
        <f t="array" aca="1" ref="V13" ca="1">IFERROR(INDEX(Unidades[selectorSubSeccion],SMALL(IF(V$1=Unidades[selectorSeccion],MATCH(ROW(Unidades[selectorSeccion]),ROW(Unidades[selectorSeccion]))),ROW(U12))),"")</f>
        <v/>
      </c>
      <c r="W13" s="50" t="str">
        <f t="array" aca="1" ref="W13" ca="1">IFERROR(INDEX(Unidades[selectorSubSeccion],SMALL(IF(W$1=Unidades[selectorSeccion],MATCH(ROW(Unidades[selectorSeccion]),ROW(Unidades[selectorSeccion]))),ROW(V12))),"")</f>
        <v/>
      </c>
      <c r="X13" s="50" t="str">
        <f t="array" aca="1" ref="X13" ca="1">IFERROR(INDEX(Unidades[selectorSubSeccion],SMALL(IF(X$1=Unidades[selectorSeccion],MATCH(ROW(Unidades[selectorSeccion]),ROW(Unidades[selectorSeccion]))),ROW(W12))),"")</f>
        <v/>
      </c>
      <c r="Y13" s="50" t="str">
        <f t="array" aca="1" ref="Y13" ca="1">IFERROR(INDEX(Unidades[selectorSubSeccion],SMALL(IF(Y$1=Unidades[selectorSeccion],MATCH(ROW(Unidades[selectorSeccion]),ROW(Unidades[selectorSeccion]))),ROW(X12))),"")</f>
        <v/>
      </c>
      <c r="Z13" s="50" t="str">
        <f t="array" aca="1" ref="Z13" ca="1">IFERROR(INDEX(Unidades[selectorSubSeccion],SMALL(IF(Z$1=Unidades[selectorSeccion],MATCH(ROW(Unidades[selectorSeccion]),ROW(Unidades[selectorSeccion]))),ROW(Y12))),"")</f>
        <v/>
      </c>
      <c r="AA13" s="50" t="str">
        <f t="array" aca="1" ref="AA13" ca="1">IFERROR(INDEX(Unidades[selectorSubSeccion],SMALL(IF(AA$1=Unidades[selectorSeccion],MATCH(ROW(Unidades[selectorSeccion]),ROW(Unidades[selectorSeccion]))),ROW(Z12))),"")</f>
        <v/>
      </c>
      <c r="AB13" s="50" t="str">
        <f t="array" aca="1" ref="AB13" ca="1">IFERROR(INDEX(Unidades[selectorSubSeccion],SMALL(IF(AB$1=Unidades[selectorSeccion],MATCH(ROW(Unidades[selectorSeccion]),ROW(Unidades[selectorSeccion]))),ROW(AA12))),"")</f>
        <v/>
      </c>
      <c r="AC13" s="50" t="str">
        <f t="array" aca="1" ref="AC13" ca="1">IFERROR(INDEX(Unidades[selectorSubSeccion],SMALL(IF(AC$1=Unidades[selectorSeccion],MATCH(ROW(Unidades[selectorSeccion]),ROW(Unidades[selectorSeccion]))),ROW(AB12))),"")</f>
        <v/>
      </c>
      <c r="AD13" s="50" t="str">
        <f t="array" aca="1" ref="AD13" ca="1">IFERROR(INDEX(Unidades[selectorSubSeccion],SMALL(IF(AD$1=Unidades[selectorSeccion],MATCH(ROW(Unidades[selectorSeccion]),ROW(Unidades[selectorSeccion]))),ROW(AC12))),"")</f>
        <v/>
      </c>
      <c r="AE13" s="50" t="str">
        <f t="array" aca="1" ref="AE13" ca="1">IFERROR(INDEX(Unidades[selectorSubSeccion],SMALL(IF(AE$1=Unidades[selectorSeccion],MATCH(ROW(Unidades[selectorSeccion]),ROW(Unidades[selectorSeccion]))),ROW(AD12))),"")</f>
        <v/>
      </c>
      <c r="AF13" s="50" t="str">
        <f t="array" aca="1" ref="AF13" ca="1">IFERROR(INDEX(Unidades[selectorSubSeccion],SMALL(IF(AF$1=Unidades[selectorSeccion],MATCH(ROW(Unidades[selectorSeccion]),ROW(Unidades[selectorSeccion]))),ROW(AE12))),"")</f>
        <v/>
      </c>
      <c r="AG13" s="50" t="str">
        <f t="array" aca="1" ref="AG13" ca="1">IFERROR(INDEX(Unidades[selectorSubSeccion],SMALL(IF(AG$1=Unidades[selectorSeccion],MATCH(ROW(Unidades[selectorSeccion]),ROW(Unidades[selectorSeccion]))),ROW(AF12))),"")</f>
        <v/>
      </c>
    </row>
    <row r="14" spans="2:33" x14ac:dyDescent="0.3">
      <c r="B14" s="50" t="str">
        <f t="array" aca="1" ref="B14" ca="1">IFERROR(INDEX(Unidades[selectorSubSeccion],SMALL(IF(B$1=Unidades[selectorSeccion],MATCH(ROW(Unidades[selectorSeccion]),ROW(Unidades[selectorSeccion]))),ROW(A13))),"")</f>
        <v/>
      </c>
      <c r="C14" s="50" t="str">
        <f t="array" aca="1" ref="C14" ca="1">IFERROR(INDEX(Unidades[selectorSubSeccion],SMALL(IF(C$1=Unidades[selectorSeccion],MATCH(ROW(Unidades[selectorSeccion]),ROW(Unidades[selectorSeccion]))),ROW(B13))),"")</f>
        <v/>
      </c>
      <c r="D14" s="50" t="str">
        <f t="array" aca="1" ref="D14" ca="1">IFERROR(INDEX(Unidades[selectorSubSeccion],SMALL(IF(D$1=Unidades[selectorSeccion],MATCH(ROW(Unidades[selectorSeccion]),ROW(Unidades[selectorSeccion]))),ROW(C13))),"")</f>
        <v/>
      </c>
      <c r="E14" s="50" t="str">
        <f t="array" aca="1" ref="E14" ca="1">IFERROR(INDEX(Unidades[selectorSubSeccion],SMALL(IF(E$1=Unidades[selectorSeccion],MATCH(ROW(Unidades[selectorSeccion]),ROW(Unidades[selectorSeccion]))),ROW(D13))),"")</f>
        <v/>
      </c>
      <c r="F14" s="50" t="str">
        <f t="array" aca="1" ref="F14" ca="1">IFERROR(INDEX(Unidades[selectorSubSeccion],SMALL(IF(F$1=Unidades[selectorSeccion],MATCH(ROW(Unidades[selectorSeccion]),ROW(Unidades[selectorSeccion]))),ROW(E13))),"")</f>
        <v/>
      </c>
      <c r="G14" s="50" t="str">
        <f t="array" aca="1" ref="G14" ca="1">IFERROR(INDEX(Unidades[selectorSubSeccion],SMALL(IF(G$1=Unidades[selectorSeccion],MATCH(ROW(Unidades[selectorSeccion]),ROW(Unidades[selectorSeccion]))),ROW(F13))),"")</f>
        <v/>
      </c>
      <c r="H14" s="50" t="str">
        <f t="array" aca="1" ref="H14" ca="1">IFERROR(INDEX(Unidades[selectorSubSeccion],SMALL(IF(H$1=Unidades[selectorSeccion],MATCH(ROW(Unidades[selectorSeccion]),ROW(Unidades[selectorSeccion]))),ROW(G13))),"")</f>
        <v/>
      </c>
      <c r="I14" s="50" t="str">
        <f t="array" aca="1" ref="I14" ca="1">IFERROR(INDEX(Unidades[selectorSubSeccion],SMALL(IF(I$1=Unidades[selectorSeccion],MATCH(ROW(Unidades[selectorSeccion]),ROW(Unidades[selectorSeccion]))),ROW(H13))),"")</f>
        <v/>
      </c>
      <c r="J14" s="50" t="str">
        <f t="array" aca="1" ref="J14" ca="1">IFERROR(INDEX(Unidades[selectorSubSeccion],SMALL(IF(J$1=Unidades[selectorSeccion],MATCH(ROW(Unidades[selectorSeccion]),ROW(Unidades[selectorSeccion]))),ROW(I13))),"")</f>
        <v/>
      </c>
      <c r="K14" s="50" t="str">
        <f t="array" aca="1" ref="K14" ca="1">IFERROR(INDEX(Unidades[selectorSubSeccion],SMALL(IF(K$1=Unidades[selectorSeccion],MATCH(ROW(Unidades[selectorSeccion]),ROW(Unidades[selectorSeccion]))),ROW(J13))),"")</f>
        <v/>
      </c>
      <c r="L14" s="50" t="str">
        <f t="array" aca="1" ref="L14" ca="1">IFERROR(INDEX(Unidades[selectorSubSeccion],SMALL(IF(L$1=Unidades[selectorSeccion],MATCH(ROW(Unidades[selectorSeccion]),ROW(Unidades[selectorSeccion]))),ROW(K13))),"")</f>
        <v/>
      </c>
      <c r="M14" s="50" t="str">
        <f t="array" aca="1" ref="M14" ca="1">IFERROR(INDEX(Unidades[selectorSubSeccion],SMALL(IF(M$1=Unidades[selectorSeccion],MATCH(ROW(Unidades[selectorSeccion]),ROW(Unidades[selectorSeccion]))),ROW(L13))),"")</f>
        <v/>
      </c>
      <c r="N14" s="50" t="str">
        <f t="array" aca="1" ref="N14" ca="1">IFERROR(INDEX(Unidades[selectorSubSeccion],SMALL(IF(N$1=Unidades[selectorSeccion],MATCH(ROW(Unidades[selectorSeccion]),ROW(Unidades[selectorSeccion]))),ROW(M13))),"")</f>
        <v/>
      </c>
      <c r="O14" s="50" t="str">
        <f t="array" aca="1" ref="O14" ca="1">IFERROR(INDEX(Unidades[selectorSubSeccion],SMALL(IF(O$1=Unidades[selectorSeccion],MATCH(ROW(Unidades[selectorSeccion]),ROW(Unidades[selectorSeccion]))),ROW(N13))),"")</f>
        <v/>
      </c>
      <c r="P14" s="50" t="str">
        <f t="array" aca="1" ref="P14" ca="1">IFERROR(INDEX(Unidades[selectorSubSeccion],SMALL(IF(P$1=Unidades[selectorSeccion],MATCH(ROW(Unidades[selectorSeccion]),ROW(Unidades[selectorSeccion]))),ROW(O13))),"")</f>
        <v/>
      </c>
      <c r="Q14" s="50" t="str">
        <f t="array" aca="1" ref="Q14" ca="1">IFERROR(INDEX(Unidades[selectorSubSeccion],SMALL(IF(Q$1=Unidades[selectorSeccion],MATCH(ROW(Unidades[selectorSeccion]),ROW(Unidades[selectorSeccion]))),ROW(P13))),"")</f>
        <v/>
      </c>
      <c r="R14" s="50" t="str">
        <f t="array" aca="1" ref="R14" ca="1">IFERROR(INDEX(Unidades[selectorSubSeccion],SMALL(IF(R$1=Unidades[selectorSeccion],MATCH(ROW(Unidades[selectorSeccion]),ROW(Unidades[selectorSeccion]))),ROW(Q13))),"")</f>
        <v/>
      </c>
      <c r="S14" s="50" t="str">
        <f t="array" aca="1" ref="S14" ca="1">IFERROR(INDEX(Unidades[selectorSubSeccion],SMALL(IF(S$1=Unidades[selectorSeccion],MATCH(ROW(Unidades[selectorSeccion]),ROW(Unidades[selectorSeccion]))),ROW(R13))),"")</f>
        <v/>
      </c>
      <c r="T14" s="50" t="str">
        <f t="array" aca="1" ref="T14" ca="1">IFERROR(INDEX(Unidades[selectorSubSeccion],SMALL(IF(T$1=Unidades[selectorSeccion],MATCH(ROW(Unidades[selectorSeccion]),ROW(Unidades[selectorSeccion]))),ROW(S13))),"")</f>
        <v/>
      </c>
      <c r="U14" s="50" t="str">
        <f t="array" aca="1" ref="U14" ca="1">IFERROR(INDEX(Unidades[selectorSubSeccion],SMALL(IF(U$1=Unidades[selectorSeccion],MATCH(ROW(Unidades[selectorSeccion]),ROW(Unidades[selectorSeccion]))),ROW(T13))),"")</f>
        <v/>
      </c>
      <c r="V14" s="50" t="str">
        <f t="array" aca="1" ref="V14" ca="1">IFERROR(INDEX(Unidades[selectorSubSeccion],SMALL(IF(V$1=Unidades[selectorSeccion],MATCH(ROW(Unidades[selectorSeccion]),ROW(Unidades[selectorSeccion]))),ROW(U13))),"")</f>
        <v/>
      </c>
      <c r="W14" s="50" t="str">
        <f t="array" aca="1" ref="W14" ca="1">IFERROR(INDEX(Unidades[selectorSubSeccion],SMALL(IF(W$1=Unidades[selectorSeccion],MATCH(ROW(Unidades[selectorSeccion]),ROW(Unidades[selectorSeccion]))),ROW(V13))),"")</f>
        <v/>
      </c>
      <c r="X14" s="50" t="str">
        <f t="array" aca="1" ref="X14" ca="1">IFERROR(INDEX(Unidades[selectorSubSeccion],SMALL(IF(X$1=Unidades[selectorSeccion],MATCH(ROW(Unidades[selectorSeccion]),ROW(Unidades[selectorSeccion]))),ROW(W13))),"")</f>
        <v/>
      </c>
      <c r="Y14" s="50" t="str">
        <f t="array" aca="1" ref="Y14" ca="1">IFERROR(INDEX(Unidades[selectorSubSeccion],SMALL(IF(Y$1=Unidades[selectorSeccion],MATCH(ROW(Unidades[selectorSeccion]),ROW(Unidades[selectorSeccion]))),ROW(X13))),"")</f>
        <v/>
      </c>
      <c r="Z14" s="50" t="str">
        <f t="array" aca="1" ref="Z14" ca="1">IFERROR(INDEX(Unidades[selectorSubSeccion],SMALL(IF(Z$1=Unidades[selectorSeccion],MATCH(ROW(Unidades[selectorSeccion]),ROW(Unidades[selectorSeccion]))),ROW(Y13))),"")</f>
        <v/>
      </c>
      <c r="AA14" s="50" t="str">
        <f t="array" aca="1" ref="AA14" ca="1">IFERROR(INDEX(Unidades[selectorSubSeccion],SMALL(IF(AA$1=Unidades[selectorSeccion],MATCH(ROW(Unidades[selectorSeccion]),ROW(Unidades[selectorSeccion]))),ROW(Z13))),"")</f>
        <v/>
      </c>
      <c r="AB14" s="50" t="str">
        <f t="array" aca="1" ref="AB14" ca="1">IFERROR(INDEX(Unidades[selectorSubSeccion],SMALL(IF(AB$1=Unidades[selectorSeccion],MATCH(ROW(Unidades[selectorSeccion]),ROW(Unidades[selectorSeccion]))),ROW(AA13))),"")</f>
        <v/>
      </c>
      <c r="AC14" s="50" t="str">
        <f t="array" aca="1" ref="AC14" ca="1">IFERROR(INDEX(Unidades[selectorSubSeccion],SMALL(IF(AC$1=Unidades[selectorSeccion],MATCH(ROW(Unidades[selectorSeccion]),ROW(Unidades[selectorSeccion]))),ROW(AB13))),"")</f>
        <v/>
      </c>
      <c r="AD14" s="50" t="str">
        <f t="array" aca="1" ref="AD14" ca="1">IFERROR(INDEX(Unidades[selectorSubSeccion],SMALL(IF(AD$1=Unidades[selectorSeccion],MATCH(ROW(Unidades[selectorSeccion]),ROW(Unidades[selectorSeccion]))),ROW(AC13))),"")</f>
        <v/>
      </c>
      <c r="AE14" s="50" t="str">
        <f t="array" aca="1" ref="AE14" ca="1">IFERROR(INDEX(Unidades[selectorSubSeccion],SMALL(IF(AE$1=Unidades[selectorSeccion],MATCH(ROW(Unidades[selectorSeccion]),ROW(Unidades[selectorSeccion]))),ROW(AD13))),"")</f>
        <v/>
      </c>
      <c r="AF14" s="50" t="str">
        <f t="array" aca="1" ref="AF14" ca="1">IFERROR(INDEX(Unidades[selectorSubSeccion],SMALL(IF(AF$1=Unidades[selectorSeccion],MATCH(ROW(Unidades[selectorSeccion]),ROW(Unidades[selectorSeccion]))),ROW(AE13))),"")</f>
        <v/>
      </c>
      <c r="AG14" s="50" t="str">
        <f t="array" aca="1" ref="AG14" ca="1">IFERROR(INDEX(Unidades[selectorSubSeccion],SMALL(IF(AG$1=Unidades[selectorSeccion],MATCH(ROW(Unidades[selectorSeccion]),ROW(Unidades[selectorSeccion]))),ROW(AF13))),"")</f>
        <v/>
      </c>
    </row>
    <row r="15" spans="2:33" x14ac:dyDescent="0.3">
      <c r="B15" s="50" t="str">
        <f t="array" aca="1" ref="B15" ca="1">IFERROR(INDEX(Unidades[selectorSubSeccion],SMALL(IF(B$1=Unidades[selectorSeccion],MATCH(ROW(Unidades[selectorSeccion]),ROW(Unidades[selectorSeccion]))),ROW(A14))),"")</f>
        <v/>
      </c>
      <c r="C15" s="50" t="str">
        <f t="array" aca="1" ref="C15" ca="1">IFERROR(INDEX(Unidades[selectorSubSeccion],SMALL(IF(C$1=Unidades[selectorSeccion],MATCH(ROW(Unidades[selectorSeccion]),ROW(Unidades[selectorSeccion]))),ROW(B14))),"")</f>
        <v/>
      </c>
      <c r="D15" s="50" t="str">
        <f t="array" aca="1" ref="D15" ca="1">IFERROR(INDEX(Unidades[selectorSubSeccion],SMALL(IF(D$1=Unidades[selectorSeccion],MATCH(ROW(Unidades[selectorSeccion]),ROW(Unidades[selectorSeccion]))),ROW(C14))),"")</f>
        <v/>
      </c>
      <c r="E15" s="50" t="str">
        <f t="array" aca="1" ref="E15" ca="1">IFERROR(INDEX(Unidades[selectorSubSeccion],SMALL(IF(E$1=Unidades[selectorSeccion],MATCH(ROW(Unidades[selectorSeccion]),ROW(Unidades[selectorSeccion]))),ROW(D14))),"")</f>
        <v/>
      </c>
      <c r="F15" s="50" t="str">
        <f t="array" aca="1" ref="F15" ca="1">IFERROR(INDEX(Unidades[selectorSubSeccion],SMALL(IF(F$1=Unidades[selectorSeccion],MATCH(ROW(Unidades[selectorSeccion]),ROW(Unidades[selectorSeccion]))),ROW(E14))),"")</f>
        <v/>
      </c>
      <c r="G15" s="50" t="str">
        <f t="array" aca="1" ref="G15" ca="1">IFERROR(INDEX(Unidades[selectorSubSeccion],SMALL(IF(G$1=Unidades[selectorSeccion],MATCH(ROW(Unidades[selectorSeccion]),ROW(Unidades[selectorSeccion]))),ROW(F14))),"")</f>
        <v/>
      </c>
      <c r="H15" s="50" t="str">
        <f t="array" aca="1" ref="H15" ca="1">IFERROR(INDEX(Unidades[selectorSubSeccion],SMALL(IF(H$1=Unidades[selectorSeccion],MATCH(ROW(Unidades[selectorSeccion]),ROW(Unidades[selectorSeccion]))),ROW(G14))),"")</f>
        <v/>
      </c>
      <c r="I15" s="50" t="str">
        <f t="array" aca="1" ref="I15" ca="1">IFERROR(INDEX(Unidades[selectorSubSeccion],SMALL(IF(I$1=Unidades[selectorSeccion],MATCH(ROW(Unidades[selectorSeccion]),ROW(Unidades[selectorSeccion]))),ROW(H14))),"")</f>
        <v/>
      </c>
      <c r="J15" s="50" t="str">
        <f t="array" aca="1" ref="J15" ca="1">IFERROR(INDEX(Unidades[selectorSubSeccion],SMALL(IF(J$1=Unidades[selectorSeccion],MATCH(ROW(Unidades[selectorSeccion]),ROW(Unidades[selectorSeccion]))),ROW(I14))),"")</f>
        <v/>
      </c>
      <c r="K15" s="50" t="str">
        <f t="array" aca="1" ref="K15" ca="1">IFERROR(INDEX(Unidades[selectorSubSeccion],SMALL(IF(K$1=Unidades[selectorSeccion],MATCH(ROW(Unidades[selectorSeccion]),ROW(Unidades[selectorSeccion]))),ROW(J14))),"")</f>
        <v/>
      </c>
      <c r="L15" s="50" t="str">
        <f t="array" aca="1" ref="L15" ca="1">IFERROR(INDEX(Unidades[selectorSubSeccion],SMALL(IF(L$1=Unidades[selectorSeccion],MATCH(ROW(Unidades[selectorSeccion]),ROW(Unidades[selectorSeccion]))),ROW(K14))),"")</f>
        <v/>
      </c>
      <c r="M15" s="50" t="str">
        <f t="array" aca="1" ref="M15" ca="1">IFERROR(INDEX(Unidades[selectorSubSeccion],SMALL(IF(M$1=Unidades[selectorSeccion],MATCH(ROW(Unidades[selectorSeccion]),ROW(Unidades[selectorSeccion]))),ROW(L14))),"")</f>
        <v/>
      </c>
      <c r="N15" s="50" t="str">
        <f t="array" aca="1" ref="N15" ca="1">IFERROR(INDEX(Unidades[selectorSubSeccion],SMALL(IF(N$1=Unidades[selectorSeccion],MATCH(ROW(Unidades[selectorSeccion]),ROW(Unidades[selectorSeccion]))),ROW(M14))),"")</f>
        <v/>
      </c>
      <c r="O15" s="50" t="str">
        <f t="array" aca="1" ref="O15" ca="1">IFERROR(INDEX(Unidades[selectorSubSeccion],SMALL(IF(O$1=Unidades[selectorSeccion],MATCH(ROW(Unidades[selectorSeccion]),ROW(Unidades[selectorSeccion]))),ROW(N14))),"")</f>
        <v/>
      </c>
      <c r="P15" s="50" t="str">
        <f t="array" aca="1" ref="P15" ca="1">IFERROR(INDEX(Unidades[selectorSubSeccion],SMALL(IF(P$1=Unidades[selectorSeccion],MATCH(ROW(Unidades[selectorSeccion]),ROW(Unidades[selectorSeccion]))),ROW(O14))),"")</f>
        <v/>
      </c>
      <c r="Q15" s="50" t="str">
        <f t="array" aca="1" ref="Q15" ca="1">IFERROR(INDEX(Unidades[selectorSubSeccion],SMALL(IF(Q$1=Unidades[selectorSeccion],MATCH(ROW(Unidades[selectorSeccion]),ROW(Unidades[selectorSeccion]))),ROW(P14))),"")</f>
        <v/>
      </c>
      <c r="R15" s="50" t="str">
        <f t="array" aca="1" ref="R15" ca="1">IFERROR(INDEX(Unidades[selectorSubSeccion],SMALL(IF(R$1=Unidades[selectorSeccion],MATCH(ROW(Unidades[selectorSeccion]),ROW(Unidades[selectorSeccion]))),ROW(Q14))),"")</f>
        <v/>
      </c>
      <c r="S15" s="50" t="str">
        <f t="array" aca="1" ref="S15" ca="1">IFERROR(INDEX(Unidades[selectorSubSeccion],SMALL(IF(S$1=Unidades[selectorSeccion],MATCH(ROW(Unidades[selectorSeccion]),ROW(Unidades[selectorSeccion]))),ROW(R14))),"")</f>
        <v/>
      </c>
      <c r="T15" s="50" t="str">
        <f t="array" aca="1" ref="T15" ca="1">IFERROR(INDEX(Unidades[selectorSubSeccion],SMALL(IF(T$1=Unidades[selectorSeccion],MATCH(ROW(Unidades[selectorSeccion]),ROW(Unidades[selectorSeccion]))),ROW(S14))),"")</f>
        <v/>
      </c>
      <c r="U15" s="50" t="str">
        <f t="array" aca="1" ref="U15" ca="1">IFERROR(INDEX(Unidades[selectorSubSeccion],SMALL(IF(U$1=Unidades[selectorSeccion],MATCH(ROW(Unidades[selectorSeccion]),ROW(Unidades[selectorSeccion]))),ROW(T14))),"")</f>
        <v/>
      </c>
      <c r="V15" s="50" t="str">
        <f t="array" aca="1" ref="V15" ca="1">IFERROR(INDEX(Unidades[selectorSubSeccion],SMALL(IF(V$1=Unidades[selectorSeccion],MATCH(ROW(Unidades[selectorSeccion]),ROW(Unidades[selectorSeccion]))),ROW(U14))),"")</f>
        <v/>
      </c>
      <c r="W15" s="50" t="str">
        <f t="array" aca="1" ref="W15" ca="1">IFERROR(INDEX(Unidades[selectorSubSeccion],SMALL(IF(W$1=Unidades[selectorSeccion],MATCH(ROW(Unidades[selectorSeccion]),ROW(Unidades[selectorSeccion]))),ROW(V14))),"")</f>
        <v/>
      </c>
      <c r="X15" s="50" t="str">
        <f t="array" aca="1" ref="X15" ca="1">IFERROR(INDEX(Unidades[selectorSubSeccion],SMALL(IF(X$1=Unidades[selectorSeccion],MATCH(ROW(Unidades[selectorSeccion]),ROW(Unidades[selectorSeccion]))),ROW(W14))),"")</f>
        <v/>
      </c>
      <c r="Y15" s="50" t="str">
        <f t="array" aca="1" ref="Y15" ca="1">IFERROR(INDEX(Unidades[selectorSubSeccion],SMALL(IF(Y$1=Unidades[selectorSeccion],MATCH(ROW(Unidades[selectorSeccion]),ROW(Unidades[selectorSeccion]))),ROW(X14))),"")</f>
        <v/>
      </c>
      <c r="Z15" s="50" t="str">
        <f t="array" aca="1" ref="Z15" ca="1">IFERROR(INDEX(Unidades[selectorSubSeccion],SMALL(IF(Z$1=Unidades[selectorSeccion],MATCH(ROW(Unidades[selectorSeccion]),ROW(Unidades[selectorSeccion]))),ROW(Y14))),"")</f>
        <v/>
      </c>
      <c r="AA15" s="50" t="str">
        <f t="array" aca="1" ref="AA15" ca="1">IFERROR(INDEX(Unidades[selectorSubSeccion],SMALL(IF(AA$1=Unidades[selectorSeccion],MATCH(ROW(Unidades[selectorSeccion]),ROW(Unidades[selectorSeccion]))),ROW(Z14))),"")</f>
        <v/>
      </c>
      <c r="AB15" s="50" t="str">
        <f t="array" aca="1" ref="AB15" ca="1">IFERROR(INDEX(Unidades[selectorSubSeccion],SMALL(IF(AB$1=Unidades[selectorSeccion],MATCH(ROW(Unidades[selectorSeccion]),ROW(Unidades[selectorSeccion]))),ROW(AA14))),"")</f>
        <v/>
      </c>
      <c r="AC15" s="50" t="str">
        <f t="array" aca="1" ref="AC15" ca="1">IFERROR(INDEX(Unidades[selectorSubSeccion],SMALL(IF(AC$1=Unidades[selectorSeccion],MATCH(ROW(Unidades[selectorSeccion]),ROW(Unidades[selectorSeccion]))),ROW(AB14))),"")</f>
        <v/>
      </c>
      <c r="AD15" s="50" t="str">
        <f t="array" aca="1" ref="AD15" ca="1">IFERROR(INDEX(Unidades[selectorSubSeccion],SMALL(IF(AD$1=Unidades[selectorSeccion],MATCH(ROW(Unidades[selectorSeccion]),ROW(Unidades[selectorSeccion]))),ROW(AC14))),"")</f>
        <v/>
      </c>
      <c r="AE15" s="50" t="str">
        <f t="array" aca="1" ref="AE15" ca="1">IFERROR(INDEX(Unidades[selectorSubSeccion],SMALL(IF(AE$1=Unidades[selectorSeccion],MATCH(ROW(Unidades[selectorSeccion]),ROW(Unidades[selectorSeccion]))),ROW(AD14))),"")</f>
        <v/>
      </c>
      <c r="AF15" s="50" t="str">
        <f t="array" aca="1" ref="AF15" ca="1">IFERROR(INDEX(Unidades[selectorSubSeccion],SMALL(IF(AF$1=Unidades[selectorSeccion],MATCH(ROW(Unidades[selectorSeccion]),ROW(Unidades[selectorSeccion]))),ROW(AE14))),"")</f>
        <v/>
      </c>
      <c r="AG15" s="50" t="str">
        <f t="array" aca="1" ref="AG15" ca="1">IFERROR(INDEX(Unidades[selectorSubSeccion],SMALL(IF(AG$1=Unidades[selectorSeccion],MATCH(ROW(Unidades[selectorSeccion]),ROW(Unidades[selectorSeccion]))),ROW(AF14))),"")</f>
        <v/>
      </c>
    </row>
    <row r="16" spans="2:33" x14ac:dyDescent="0.3">
      <c r="B16" s="50" t="str">
        <f t="array" aca="1" ref="B16" ca="1">IFERROR(INDEX(Unidades[selectorSubSeccion],SMALL(IF(B$1=Unidades[selectorSeccion],MATCH(ROW(Unidades[selectorSeccion]),ROW(Unidades[selectorSeccion]))),ROW(A15))),"")</f>
        <v/>
      </c>
      <c r="C16" s="50" t="str">
        <f t="array" aca="1" ref="C16" ca="1">IFERROR(INDEX(Unidades[selectorSubSeccion],SMALL(IF(C$1=Unidades[selectorSeccion],MATCH(ROW(Unidades[selectorSeccion]),ROW(Unidades[selectorSeccion]))),ROW(B15))),"")</f>
        <v/>
      </c>
      <c r="D16" s="50" t="str">
        <f t="array" aca="1" ref="D16" ca="1">IFERROR(INDEX(Unidades[selectorSubSeccion],SMALL(IF(D$1=Unidades[selectorSeccion],MATCH(ROW(Unidades[selectorSeccion]),ROW(Unidades[selectorSeccion]))),ROW(C15))),"")</f>
        <v/>
      </c>
      <c r="E16" s="50" t="str">
        <f t="array" aca="1" ref="E16" ca="1">IFERROR(INDEX(Unidades[selectorSubSeccion],SMALL(IF(E$1=Unidades[selectorSeccion],MATCH(ROW(Unidades[selectorSeccion]),ROW(Unidades[selectorSeccion]))),ROW(D15))),"")</f>
        <v/>
      </c>
      <c r="F16" s="50" t="str">
        <f t="array" aca="1" ref="F16" ca="1">IFERROR(INDEX(Unidades[selectorSubSeccion],SMALL(IF(F$1=Unidades[selectorSeccion],MATCH(ROW(Unidades[selectorSeccion]),ROW(Unidades[selectorSeccion]))),ROW(E15))),"")</f>
        <v/>
      </c>
      <c r="G16" s="50" t="str">
        <f t="array" aca="1" ref="G16" ca="1">IFERROR(INDEX(Unidades[selectorSubSeccion],SMALL(IF(G$1=Unidades[selectorSeccion],MATCH(ROW(Unidades[selectorSeccion]),ROW(Unidades[selectorSeccion]))),ROW(F15))),"")</f>
        <v/>
      </c>
      <c r="H16" s="50" t="str">
        <f t="array" aca="1" ref="H16" ca="1">IFERROR(INDEX(Unidades[selectorSubSeccion],SMALL(IF(H$1=Unidades[selectorSeccion],MATCH(ROW(Unidades[selectorSeccion]),ROW(Unidades[selectorSeccion]))),ROW(G15))),"")</f>
        <v/>
      </c>
      <c r="I16" s="50" t="str">
        <f t="array" aca="1" ref="I16" ca="1">IFERROR(INDEX(Unidades[selectorSubSeccion],SMALL(IF(I$1=Unidades[selectorSeccion],MATCH(ROW(Unidades[selectorSeccion]),ROW(Unidades[selectorSeccion]))),ROW(H15))),"")</f>
        <v/>
      </c>
      <c r="J16" s="50" t="str">
        <f t="array" aca="1" ref="J16" ca="1">IFERROR(INDEX(Unidades[selectorSubSeccion],SMALL(IF(J$1=Unidades[selectorSeccion],MATCH(ROW(Unidades[selectorSeccion]),ROW(Unidades[selectorSeccion]))),ROW(I15))),"")</f>
        <v/>
      </c>
      <c r="K16" s="50" t="str">
        <f t="array" aca="1" ref="K16" ca="1">IFERROR(INDEX(Unidades[selectorSubSeccion],SMALL(IF(K$1=Unidades[selectorSeccion],MATCH(ROW(Unidades[selectorSeccion]),ROW(Unidades[selectorSeccion]))),ROW(J15))),"")</f>
        <v/>
      </c>
      <c r="L16" s="50" t="str">
        <f t="array" aca="1" ref="L16" ca="1">IFERROR(INDEX(Unidades[selectorSubSeccion],SMALL(IF(L$1=Unidades[selectorSeccion],MATCH(ROW(Unidades[selectorSeccion]),ROW(Unidades[selectorSeccion]))),ROW(K15))),"")</f>
        <v/>
      </c>
      <c r="M16" s="50" t="str">
        <f t="array" aca="1" ref="M16" ca="1">IFERROR(INDEX(Unidades[selectorSubSeccion],SMALL(IF(M$1=Unidades[selectorSeccion],MATCH(ROW(Unidades[selectorSeccion]),ROW(Unidades[selectorSeccion]))),ROW(L15))),"")</f>
        <v/>
      </c>
      <c r="N16" s="50" t="str">
        <f t="array" aca="1" ref="N16" ca="1">IFERROR(INDEX(Unidades[selectorSubSeccion],SMALL(IF(N$1=Unidades[selectorSeccion],MATCH(ROW(Unidades[selectorSeccion]),ROW(Unidades[selectorSeccion]))),ROW(M15))),"")</f>
        <v/>
      </c>
      <c r="O16" s="50" t="str">
        <f t="array" aca="1" ref="O16" ca="1">IFERROR(INDEX(Unidades[selectorSubSeccion],SMALL(IF(O$1=Unidades[selectorSeccion],MATCH(ROW(Unidades[selectorSeccion]),ROW(Unidades[selectorSeccion]))),ROW(N15))),"")</f>
        <v/>
      </c>
      <c r="P16" s="50" t="str">
        <f t="array" aca="1" ref="P16" ca="1">IFERROR(INDEX(Unidades[selectorSubSeccion],SMALL(IF(P$1=Unidades[selectorSeccion],MATCH(ROW(Unidades[selectorSeccion]),ROW(Unidades[selectorSeccion]))),ROW(O15))),"")</f>
        <v/>
      </c>
      <c r="Q16" s="50" t="str">
        <f t="array" aca="1" ref="Q16" ca="1">IFERROR(INDEX(Unidades[selectorSubSeccion],SMALL(IF(Q$1=Unidades[selectorSeccion],MATCH(ROW(Unidades[selectorSeccion]),ROW(Unidades[selectorSeccion]))),ROW(P15))),"")</f>
        <v/>
      </c>
      <c r="R16" s="50" t="str">
        <f t="array" aca="1" ref="R16" ca="1">IFERROR(INDEX(Unidades[selectorSubSeccion],SMALL(IF(R$1=Unidades[selectorSeccion],MATCH(ROW(Unidades[selectorSeccion]),ROW(Unidades[selectorSeccion]))),ROW(Q15))),"")</f>
        <v/>
      </c>
      <c r="S16" s="50" t="str">
        <f t="array" aca="1" ref="S16" ca="1">IFERROR(INDEX(Unidades[selectorSubSeccion],SMALL(IF(S$1=Unidades[selectorSeccion],MATCH(ROW(Unidades[selectorSeccion]),ROW(Unidades[selectorSeccion]))),ROW(R15))),"")</f>
        <v/>
      </c>
      <c r="T16" s="50" t="str">
        <f t="array" aca="1" ref="T16" ca="1">IFERROR(INDEX(Unidades[selectorSubSeccion],SMALL(IF(T$1=Unidades[selectorSeccion],MATCH(ROW(Unidades[selectorSeccion]),ROW(Unidades[selectorSeccion]))),ROW(S15))),"")</f>
        <v/>
      </c>
      <c r="U16" s="50" t="str">
        <f t="array" aca="1" ref="U16" ca="1">IFERROR(INDEX(Unidades[selectorSubSeccion],SMALL(IF(U$1=Unidades[selectorSeccion],MATCH(ROW(Unidades[selectorSeccion]),ROW(Unidades[selectorSeccion]))),ROW(T15))),"")</f>
        <v/>
      </c>
      <c r="V16" s="50" t="str">
        <f t="array" aca="1" ref="V16" ca="1">IFERROR(INDEX(Unidades[selectorSubSeccion],SMALL(IF(V$1=Unidades[selectorSeccion],MATCH(ROW(Unidades[selectorSeccion]),ROW(Unidades[selectorSeccion]))),ROW(U15))),"")</f>
        <v/>
      </c>
      <c r="W16" s="50" t="str">
        <f t="array" aca="1" ref="W16" ca="1">IFERROR(INDEX(Unidades[selectorSubSeccion],SMALL(IF(W$1=Unidades[selectorSeccion],MATCH(ROW(Unidades[selectorSeccion]),ROW(Unidades[selectorSeccion]))),ROW(V15))),"")</f>
        <v/>
      </c>
      <c r="X16" s="50" t="str">
        <f t="array" aca="1" ref="X16" ca="1">IFERROR(INDEX(Unidades[selectorSubSeccion],SMALL(IF(X$1=Unidades[selectorSeccion],MATCH(ROW(Unidades[selectorSeccion]),ROW(Unidades[selectorSeccion]))),ROW(W15))),"")</f>
        <v/>
      </c>
      <c r="Y16" s="50" t="str">
        <f t="array" aca="1" ref="Y16" ca="1">IFERROR(INDEX(Unidades[selectorSubSeccion],SMALL(IF(Y$1=Unidades[selectorSeccion],MATCH(ROW(Unidades[selectorSeccion]),ROW(Unidades[selectorSeccion]))),ROW(X15))),"")</f>
        <v/>
      </c>
      <c r="Z16" s="50" t="str">
        <f t="array" aca="1" ref="Z16" ca="1">IFERROR(INDEX(Unidades[selectorSubSeccion],SMALL(IF(Z$1=Unidades[selectorSeccion],MATCH(ROW(Unidades[selectorSeccion]),ROW(Unidades[selectorSeccion]))),ROW(Y15))),"")</f>
        <v/>
      </c>
      <c r="AA16" s="50" t="str">
        <f t="array" aca="1" ref="AA16" ca="1">IFERROR(INDEX(Unidades[selectorSubSeccion],SMALL(IF(AA$1=Unidades[selectorSeccion],MATCH(ROW(Unidades[selectorSeccion]),ROW(Unidades[selectorSeccion]))),ROW(Z15))),"")</f>
        <v/>
      </c>
      <c r="AB16" s="50" t="str">
        <f t="array" aca="1" ref="AB16" ca="1">IFERROR(INDEX(Unidades[selectorSubSeccion],SMALL(IF(AB$1=Unidades[selectorSeccion],MATCH(ROW(Unidades[selectorSeccion]),ROW(Unidades[selectorSeccion]))),ROW(AA15))),"")</f>
        <v/>
      </c>
      <c r="AC16" s="50" t="str">
        <f t="array" aca="1" ref="AC16" ca="1">IFERROR(INDEX(Unidades[selectorSubSeccion],SMALL(IF(AC$1=Unidades[selectorSeccion],MATCH(ROW(Unidades[selectorSeccion]),ROW(Unidades[selectorSeccion]))),ROW(AB15))),"")</f>
        <v/>
      </c>
      <c r="AD16" s="50" t="str">
        <f t="array" aca="1" ref="AD16" ca="1">IFERROR(INDEX(Unidades[selectorSubSeccion],SMALL(IF(AD$1=Unidades[selectorSeccion],MATCH(ROW(Unidades[selectorSeccion]),ROW(Unidades[selectorSeccion]))),ROW(AC15))),"")</f>
        <v/>
      </c>
      <c r="AE16" s="50" t="str">
        <f t="array" aca="1" ref="AE16" ca="1">IFERROR(INDEX(Unidades[selectorSubSeccion],SMALL(IF(AE$1=Unidades[selectorSeccion],MATCH(ROW(Unidades[selectorSeccion]),ROW(Unidades[selectorSeccion]))),ROW(AD15))),"")</f>
        <v/>
      </c>
      <c r="AF16" s="50" t="str">
        <f t="array" aca="1" ref="AF16" ca="1">IFERROR(INDEX(Unidades[selectorSubSeccion],SMALL(IF(AF$1=Unidades[selectorSeccion],MATCH(ROW(Unidades[selectorSeccion]),ROW(Unidades[selectorSeccion]))),ROW(AE15))),"")</f>
        <v/>
      </c>
      <c r="AG16" s="50" t="str">
        <f t="array" aca="1" ref="AG16" ca="1">IFERROR(INDEX(Unidades[selectorSubSeccion],SMALL(IF(AG$1=Unidades[selectorSeccion],MATCH(ROW(Unidades[selectorSeccion]),ROW(Unidades[selectorSeccion]))),ROW(AF15))),"")</f>
        <v/>
      </c>
    </row>
    <row r="17" spans="2:33" x14ac:dyDescent="0.3">
      <c r="B17" s="50" t="str">
        <f t="array" aca="1" ref="B17" ca="1">IFERROR(INDEX(Unidades[selectorSubSeccion],SMALL(IF(B$1=Unidades[selectorSeccion],MATCH(ROW(Unidades[selectorSeccion]),ROW(Unidades[selectorSeccion]))),ROW(A16))),"")</f>
        <v/>
      </c>
      <c r="C17" s="50" t="str">
        <f t="array" aca="1" ref="C17" ca="1">IFERROR(INDEX(Unidades[selectorSubSeccion],SMALL(IF(C$1=Unidades[selectorSeccion],MATCH(ROW(Unidades[selectorSeccion]),ROW(Unidades[selectorSeccion]))),ROW(B16))),"")</f>
        <v/>
      </c>
      <c r="D17" s="50" t="str">
        <f t="array" aca="1" ref="D17" ca="1">IFERROR(INDEX(Unidades[selectorSubSeccion],SMALL(IF(D$1=Unidades[selectorSeccion],MATCH(ROW(Unidades[selectorSeccion]),ROW(Unidades[selectorSeccion]))),ROW(C16))),"")</f>
        <v/>
      </c>
      <c r="E17" s="50" t="str">
        <f t="array" aca="1" ref="E17" ca="1">IFERROR(INDEX(Unidades[selectorSubSeccion],SMALL(IF(E$1=Unidades[selectorSeccion],MATCH(ROW(Unidades[selectorSeccion]),ROW(Unidades[selectorSeccion]))),ROW(D16))),"")</f>
        <v/>
      </c>
      <c r="F17" s="50" t="str">
        <f t="array" aca="1" ref="F17" ca="1">IFERROR(INDEX(Unidades[selectorSubSeccion],SMALL(IF(F$1=Unidades[selectorSeccion],MATCH(ROW(Unidades[selectorSeccion]),ROW(Unidades[selectorSeccion]))),ROW(E16))),"")</f>
        <v/>
      </c>
      <c r="G17" s="50" t="str">
        <f t="array" aca="1" ref="G17" ca="1">IFERROR(INDEX(Unidades[selectorSubSeccion],SMALL(IF(G$1=Unidades[selectorSeccion],MATCH(ROW(Unidades[selectorSeccion]),ROW(Unidades[selectorSeccion]))),ROW(F16))),"")</f>
        <v/>
      </c>
      <c r="H17" s="50" t="str">
        <f t="array" aca="1" ref="H17" ca="1">IFERROR(INDEX(Unidades[selectorSubSeccion],SMALL(IF(H$1=Unidades[selectorSeccion],MATCH(ROW(Unidades[selectorSeccion]),ROW(Unidades[selectorSeccion]))),ROW(G16))),"")</f>
        <v/>
      </c>
      <c r="I17" s="50" t="str">
        <f t="array" aca="1" ref="I17" ca="1">IFERROR(INDEX(Unidades[selectorSubSeccion],SMALL(IF(I$1=Unidades[selectorSeccion],MATCH(ROW(Unidades[selectorSeccion]),ROW(Unidades[selectorSeccion]))),ROW(H16))),"")</f>
        <v/>
      </c>
      <c r="J17" s="50" t="str">
        <f t="array" aca="1" ref="J17" ca="1">IFERROR(INDEX(Unidades[selectorSubSeccion],SMALL(IF(J$1=Unidades[selectorSeccion],MATCH(ROW(Unidades[selectorSeccion]),ROW(Unidades[selectorSeccion]))),ROW(I16))),"")</f>
        <v/>
      </c>
      <c r="K17" s="50" t="str">
        <f t="array" aca="1" ref="K17" ca="1">IFERROR(INDEX(Unidades[selectorSubSeccion],SMALL(IF(K$1=Unidades[selectorSeccion],MATCH(ROW(Unidades[selectorSeccion]),ROW(Unidades[selectorSeccion]))),ROW(J16))),"")</f>
        <v/>
      </c>
      <c r="L17" s="50" t="str">
        <f t="array" aca="1" ref="L17" ca="1">IFERROR(INDEX(Unidades[selectorSubSeccion],SMALL(IF(L$1=Unidades[selectorSeccion],MATCH(ROW(Unidades[selectorSeccion]),ROW(Unidades[selectorSeccion]))),ROW(K16))),"")</f>
        <v/>
      </c>
      <c r="M17" s="50" t="str">
        <f t="array" aca="1" ref="M17" ca="1">IFERROR(INDEX(Unidades[selectorSubSeccion],SMALL(IF(M$1=Unidades[selectorSeccion],MATCH(ROW(Unidades[selectorSeccion]),ROW(Unidades[selectorSeccion]))),ROW(L16))),"")</f>
        <v/>
      </c>
      <c r="N17" s="50" t="str">
        <f t="array" aca="1" ref="N17" ca="1">IFERROR(INDEX(Unidades[selectorSubSeccion],SMALL(IF(N$1=Unidades[selectorSeccion],MATCH(ROW(Unidades[selectorSeccion]),ROW(Unidades[selectorSeccion]))),ROW(M16))),"")</f>
        <v/>
      </c>
      <c r="O17" s="50" t="str">
        <f t="array" aca="1" ref="O17" ca="1">IFERROR(INDEX(Unidades[selectorSubSeccion],SMALL(IF(O$1=Unidades[selectorSeccion],MATCH(ROW(Unidades[selectorSeccion]),ROW(Unidades[selectorSeccion]))),ROW(N16))),"")</f>
        <v/>
      </c>
      <c r="P17" s="50" t="str">
        <f t="array" aca="1" ref="P17" ca="1">IFERROR(INDEX(Unidades[selectorSubSeccion],SMALL(IF(P$1=Unidades[selectorSeccion],MATCH(ROW(Unidades[selectorSeccion]),ROW(Unidades[selectorSeccion]))),ROW(O16))),"")</f>
        <v/>
      </c>
      <c r="Q17" s="50" t="str">
        <f t="array" aca="1" ref="Q17" ca="1">IFERROR(INDEX(Unidades[selectorSubSeccion],SMALL(IF(Q$1=Unidades[selectorSeccion],MATCH(ROW(Unidades[selectorSeccion]),ROW(Unidades[selectorSeccion]))),ROW(P16))),"")</f>
        <v/>
      </c>
      <c r="R17" s="50" t="str">
        <f t="array" aca="1" ref="R17" ca="1">IFERROR(INDEX(Unidades[selectorSubSeccion],SMALL(IF(R$1=Unidades[selectorSeccion],MATCH(ROW(Unidades[selectorSeccion]),ROW(Unidades[selectorSeccion]))),ROW(Q16))),"")</f>
        <v/>
      </c>
      <c r="S17" s="50" t="str">
        <f t="array" aca="1" ref="S17" ca="1">IFERROR(INDEX(Unidades[selectorSubSeccion],SMALL(IF(S$1=Unidades[selectorSeccion],MATCH(ROW(Unidades[selectorSeccion]),ROW(Unidades[selectorSeccion]))),ROW(R16))),"")</f>
        <v/>
      </c>
      <c r="T17" s="50" t="str">
        <f t="array" aca="1" ref="T17" ca="1">IFERROR(INDEX(Unidades[selectorSubSeccion],SMALL(IF(T$1=Unidades[selectorSeccion],MATCH(ROW(Unidades[selectorSeccion]),ROW(Unidades[selectorSeccion]))),ROW(S16))),"")</f>
        <v/>
      </c>
      <c r="U17" s="50" t="str">
        <f t="array" aca="1" ref="U17" ca="1">IFERROR(INDEX(Unidades[selectorSubSeccion],SMALL(IF(U$1=Unidades[selectorSeccion],MATCH(ROW(Unidades[selectorSeccion]),ROW(Unidades[selectorSeccion]))),ROW(T16))),"")</f>
        <v/>
      </c>
      <c r="V17" s="50" t="str">
        <f t="array" aca="1" ref="V17" ca="1">IFERROR(INDEX(Unidades[selectorSubSeccion],SMALL(IF(V$1=Unidades[selectorSeccion],MATCH(ROW(Unidades[selectorSeccion]),ROW(Unidades[selectorSeccion]))),ROW(U16))),"")</f>
        <v/>
      </c>
      <c r="W17" s="50" t="str">
        <f t="array" aca="1" ref="W17" ca="1">IFERROR(INDEX(Unidades[selectorSubSeccion],SMALL(IF(W$1=Unidades[selectorSeccion],MATCH(ROW(Unidades[selectorSeccion]),ROW(Unidades[selectorSeccion]))),ROW(V16))),"")</f>
        <v/>
      </c>
      <c r="X17" s="50" t="str">
        <f t="array" aca="1" ref="X17" ca="1">IFERROR(INDEX(Unidades[selectorSubSeccion],SMALL(IF(X$1=Unidades[selectorSeccion],MATCH(ROW(Unidades[selectorSeccion]),ROW(Unidades[selectorSeccion]))),ROW(W16))),"")</f>
        <v/>
      </c>
      <c r="Y17" s="50" t="str">
        <f t="array" aca="1" ref="Y17" ca="1">IFERROR(INDEX(Unidades[selectorSubSeccion],SMALL(IF(Y$1=Unidades[selectorSeccion],MATCH(ROW(Unidades[selectorSeccion]),ROW(Unidades[selectorSeccion]))),ROW(X16))),"")</f>
        <v/>
      </c>
      <c r="Z17" s="50" t="str">
        <f t="array" aca="1" ref="Z17" ca="1">IFERROR(INDEX(Unidades[selectorSubSeccion],SMALL(IF(Z$1=Unidades[selectorSeccion],MATCH(ROW(Unidades[selectorSeccion]),ROW(Unidades[selectorSeccion]))),ROW(Y16))),"")</f>
        <v/>
      </c>
      <c r="AA17" s="50" t="str">
        <f t="array" aca="1" ref="AA17" ca="1">IFERROR(INDEX(Unidades[selectorSubSeccion],SMALL(IF(AA$1=Unidades[selectorSeccion],MATCH(ROW(Unidades[selectorSeccion]),ROW(Unidades[selectorSeccion]))),ROW(Z16))),"")</f>
        <v/>
      </c>
      <c r="AB17" s="50" t="str">
        <f t="array" aca="1" ref="AB17" ca="1">IFERROR(INDEX(Unidades[selectorSubSeccion],SMALL(IF(AB$1=Unidades[selectorSeccion],MATCH(ROW(Unidades[selectorSeccion]),ROW(Unidades[selectorSeccion]))),ROW(AA16))),"")</f>
        <v/>
      </c>
      <c r="AC17" s="50" t="str">
        <f t="array" aca="1" ref="AC17" ca="1">IFERROR(INDEX(Unidades[selectorSubSeccion],SMALL(IF(AC$1=Unidades[selectorSeccion],MATCH(ROW(Unidades[selectorSeccion]),ROW(Unidades[selectorSeccion]))),ROW(AB16))),"")</f>
        <v/>
      </c>
      <c r="AD17" s="50" t="str">
        <f t="array" aca="1" ref="AD17" ca="1">IFERROR(INDEX(Unidades[selectorSubSeccion],SMALL(IF(AD$1=Unidades[selectorSeccion],MATCH(ROW(Unidades[selectorSeccion]),ROW(Unidades[selectorSeccion]))),ROW(AC16))),"")</f>
        <v/>
      </c>
      <c r="AE17" s="50" t="str">
        <f t="array" aca="1" ref="AE17" ca="1">IFERROR(INDEX(Unidades[selectorSubSeccion],SMALL(IF(AE$1=Unidades[selectorSeccion],MATCH(ROW(Unidades[selectorSeccion]),ROW(Unidades[selectorSeccion]))),ROW(AD16))),"")</f>
        <v/>
      </c>
      <c r="AF17" s="50" t="str">
        <f t="array" aca="1" ref="AF17" ca="1">IFERROR(INDEX(Unidades[selectorSubSeccion],SMALL(IF(AF$1=Unidades[selectorSeccion],MATCH(ROW(Unidades[selectorSeccion]),ROW(Unidades[selectorSeccion]))),ROW(AE16))),"")</f>
        <v/>
      </c>
      <c r="AG17" s="50" t="str">
        <f t="array" aca="1" ref="AG17" ca="1">IFERROR(INDEX(Unidades[selectorSubSeccion],SMALL(IF(AG$1=Unidades[selectorSeccion],MATCH(ROW(Unidades[selectorSeccion]),ROW(Unidades[selectorSeccion]))),ROW(AF16))),"")</f>
        <v/>
      </c>
    </row>
    <row r="18" spans="2:33" x14ac:dyDescent="0.3">
      <c r="B18" s="50" t="str">
        <f t="array" aca="1" ref="B18" ca="1">IFERROR(INDEX(Unidades[selectorSubSeccion],SMALL(IF(B$1=Unidades[selectorSeccion],MATCH(ROW(Unidades[selectorSeccion]),ROW(Unidades[selectorSeccion]))),ROW(A17))),"")</f>
        <v/>
      </c>
      <c r="C18" s="50" t="str">
        <f t="array" aca="1" ref="C18" ca="1">IFERROR(INDEX(Unidades[selectorSubSeccion],SMALL(IF(C$1=Unidades[selectorSeccion],MATCH(ROW(Unidades[selectorSeccion]),ROW(Unidades[selectorSeccion]))),ROW(B17))),"")</f>
        <v/>
      </c>
      <c r="D18" s="50" t="str">
        <f t="array" aca="1" ref="D18" ca="1">IFERROR(INDEX(Unidades[selectorSubSeccion],SMALL(IF(D$1=Unidades[selectorSeccion],MATCH(ROW(Unidades[selectorSeccion]),ROW(Unidades[selectorSeccion]))),ROW(C17))),"")</f>
        <v/>
      </c>
      <c r="E18" s="50" t="str">
        <f t="array" aca="1" ref="E18" ca="1">IFERROR(INDEX(Unidades[selectorSubSeccion],SMALL(IF(E$1=Unidades[selectorSeccion],MATCH(ROW(Unidades[selectorSeccion]),ROW(Unidades[selectorSeccion]))),ROW(D17))),"")</f>
        <v/>
      </c>
      <c r="F18" s="50" t="str">
        <f t="array" aca="1" ref="F18" ca="1">IFERROR(INDEX(Unidades[selectorSubSeccion],SMALL(IF(F$1=Unidades[selectorSeccion],MATCH(ROW(Unidades[selectorSeccion]),ROW(Unidades[selectorSeccion]))),ROW(E17))),"")</f>
        <v/>
      </c>
      <c r="G18" s="50" t="str">
        <f t="array" aca="1" ref="G18" ca="1">IFERROR(INDEX(Unidades[selectorSubSeccion],SMALL(IF(G$1=Unidades[selectorSeccion],MATCH(ROW(Unidades[selectorSeccion]),ROW(Unidades[selectorSeccion]))),ROW(F17))),"")</f>
        <v/>
      </c>
      <c r="H18" s="50" t="str">
        <f t="array" aca="1" ref="H18" ca="1">IFERROR(INDEX(Unidades[selectorSubSeccion],SMALL(IF(H$1=Unidades[selectorSeccion],MATCH(ROW(Unidades[selectorSeccion]),ROW(Unidades[selectorSeccion]))),ROW(G17))),"")</f>
        <v/>
      </c>
      <c r="I18" s="50" t="str">
        <f t="array" aca="1" ref="I18" ca="1">IFERROR(INDEX(Unidades[selectorSubSeccion],SMALL(IF(I$1=Unidades[selectorSeccion],MATCH(ROW(Unidades[selectorSeccion]),ROW(Unidades[selectorSeccion]))),ROW(H17))),"")</f>
        <v/>
      </c>
      <c r="J18" s="50" t="str">
        <f t="array" aca="1" ref="J18" ca="1">IFERROR(INDEX(Unidades[selectorSubSeccion],SMALL(IF(J$1=Unidades[selectorSeccion],MATCH(ROW(Unidades[selectorSeccion]),ROW(Unidades[selectorSeccion]))),ROW(I17))),"")</f>
        <v/>
      </c>
      <c r="K18" s="50" t="str">
        <f t="array" aca="1" ref="K18" ca="1">IFERROR(INDEX(Unidades[selectorSubSeccion],SMALL(IF(K$1=Unidades[selectorSeccion],MATCH(ROW(Unidades[selectorSeccion]),ROW(Unidades[selectorSeccion]))),ROW(J17))),"")</f>
        <v/>
      </c>
      <c r="L18" s="50" t="str">
        <f t="array" aca="1" ref="L18" ca="1">IFERROR(INDEX(Unidades[selectorSubSeccion],SMALL(IF(L$1=Unidades[selectorSeccion],MATCH(ROW(Unidades[selectorSeccion]),ROW(Unidades[selectorSeccion]))),ROW(K17))),"")</f>
        <v/>
      </c>
      <c r="M18" s="50" t="str">
        <f t="array" aca="1" ref="M18" ca="1">IFERROR(INDEX(Unidades[selectorSubSeccion],SMALL(IF(M$1=Unidades[selectorSeccion],MATCH(ROW(Unidades[selectorSeccion]),ROW(Unidades[selectorSeccion]))),ROW(L17))),"")</f>
        <v/>
      </c>
      <c r="N18" s="50" t="str">
        <f t="array" aca="1" ref="N18" ca="1">IFERROR(INDEX(Unidades[selectorSubSeccion],SMALL(IF(N$1=Unidades[selectorSeccion],MATCH(ROW(Unidades[selectorSeccion]),ROW(Unidades[selectorSeccion]))),ROW(M17))),"")</f>
        <v/>
      </c>
      <c r="O18" s="50" t="str">
        <f t="array" aca="1" ref="O18" ca="1">IFERROR(INDEX(Unidades[selectorSubSeccion],SMALL(IF(O$1=Unidades[selectorSeccion],MATCH(ROW(Unidades[selectorSeccion]),ROW(Unidades[selectorSeccion]))),ROW(N17))),"")</f>
        <v/>
      </c>
      <c r="P18" s="50" t="str">
        <f t="array" aca="1" ref="P18" ca="1">IFERROR(INDEX(Unidades[selectorSubSeccion],SMALL(IF(P$1=Unidades[selectorSeccion],MATCH(ROW(Unidades[selectorSeccion]),ROW(Unidades[selectorSeccion]))),ROW(O17))),"")</f>
        <v/>
      </c>
      <c r="Q18" s="50" t="str">
        <f t="array" aca="1" ref="Q18" ca="1">IFERROR(INDEX(Unidades[selectorSubSeccion],SMALL(IF(Q$1=Unidades[selectorSeccion],MATCH(ROW(Unidades[selectorSeccion]),ROW(Unidades[selectorSeccion]))),ROW(P17))),"")</f>
        <v/>
      </c>
      <c r="R18" s="50" t="str">
        <f t="array" aca="1" ref="R18" ca="1">IFERROR(INDEX(Unidades[selectorSubSeccion],SMALL(IF(R$1=Unidades[selectorSeccion],MATCH(ROW(Unidades[selectorSeccion]),ROW(Unidades[selectorSeccion]))),ROW(Q17))),"")</f>
        <v/>
      </c>
      <c r="S18" s="50" t="str">
        <f t="array" aca="1" ref="S18" ca="1">IFERROR(INDEX(Unidades[selectorSubSeccion],SMALL(IF(S$1=Unidades[selectorSeccion],MATCH(ROW(Unidades[selectorSeccion]),ROW(Unidades[selectorSeccion]))),ROW(R17))),"")</f>
        <v/>
      </c>
      <c r="T18" s="50" t="str">
        <f t="array" aca="1" ref="T18" ca="1">IFERROR(INDEX(Unidades[selectorSubSeccion],SMALL(IF(T$1=Unidades[selectorSeccion],MATCH(ROW(Unidades[selectorSeccion]),ROW(Unidades[selectorSeccion]))),ROW(S17))),"")</f>
        <v/>
      </c>
      <c r="U18" s="50" t="str">
        <f t="array" aca="1" ref="U18" ca="1">IFERROR(INDEX(Unidades[selectorSubSeccion],SMALL(IF(U$1=Unidades[selectorSeccion],MATCH(ROW(Unidades[selectorSeccion]),ROW(Unidades[selectorSeccion]))),ROW(T17))),"")</f>
        <v/>
      </c>
      <c r="V18" s="50" t="str">
        <f t="array" aca="1" ref="V18" ca="1">IFERROR(INDEX(Unidades[selectorSubSeccion],SMALL(IF(V$1=Unidades[selectorSeccion],MATCH(ROW(Unidades[selectorSeccion]),ROW(Unidades[selectorSeccion]))),ROW(U17))),"")</f>
        <v/>
      </c>
      <c r="W18" s="50" t="str">
        <f t="array" aca="1" ref="W18" ca="1">IFERROR(INDEX(Unidades[selectorSubSeccion],SMALL(IF(W$1=Unidades[selectorSeccion],MATCH(ROW(Unidades[selectorSeccion]),ROW(Unidades[selectorSeccion]))),ROW(V17))),"")</f>
        <v/>
      </c>
      <c r="X18" s="50" t="str">
        <f t="array" aca="1" ref="X18" ca="1">IFERROR(INDEX(Unidades[selectorSubSeccion],SMALL(IF(X$1=Unidades[selectorSeccion],MATCH(ROW(Unidades[selectorSeccion]),ROW(Unidades[selectorSeccion]))),ROW(W17))),"")</f>
        <v/>
      </c>
      <c r="Y18" s="50" t="str">
        <f t="array" aca="1" ref="Y18" ca="1">IFERROR(INDEX(Unidades[selectorSubSeccion],SMALL(IF(Y$1=Unidades[selectorSeccion],MATCH(ROW(Unidades[selectorSeccion]),ROW(Unidades[selectorSeccion]))),ROW(X17))),"")</f>
        <v/>
      </c>
      <c r="Z18" s="50" t="str">
        <f t="array" aca="1" ref="Z18" ca="1">IFERROR(INDEX(Unidades[selectorSubSeccion],SMALL(IF(Z$1=Unidades[selectorSeccion],MATCH(ROW(Unidades[selectorSeccion]),ROW(Unidades[selectorSeccion]))),ROW(Y17))),"")</f>
        <v/>
      </c>
      <c r="AA18" s="50" t="str">
        <f t="array" aca="1" ref="AA18" ca="1">IFERROR(INDEX(Unidades[selectorSubSeccion],SMALL(IF(AA$1=Unidades[selectorSeccion],MATCH(ROW(Unidades[selectorSeccion]),ROW(Unidades[selectorSeccion]))),ROW(Z17))),"")</f>
        <v/>
      </c>
      <c r="AB18" s="50" t="str">
        <f t="array" aca="1" ref="AB18" ca="1">IFERROR(INDEX(Unidades[selectorSubSeccion],SMALL(IF(AB$1=Unidades[selectorSeccion],MATCH(ROW(Unidades[selectorSeccion]),ROW(Unidades[selectorSeccion]))),ROW(AA17))),"")</f>
        <v/>
      </c>
      <c r="AC18" s="50" t="str">
        <f t="array" aca="1" ref="AC18" ca="1">IFERROR(INDEX(Unidades[selectorSubSeccion],SMALL(IF(AC$1=Unidades[selectorSeccion],MATCH(ROW(Unidades[selectorSeccion]),ROW(Unidades[selectorSeccion]))),ROW(AB17))),"")</f>
        <v/>
      </c>
      <c r="AD18" s="50" t="str">
        <f t="array" aca="1" ref="AD18" ca="1">IFERROR(INDEX(Unidades[selectorSubSeccion],SMALL(IF(AD$1=Unidades[selectorSeccion],MATCH(ROW(Unidades[selectorSeccion]),ROW(Unidades[selectorSeccion]))),ROW(AC17))),"")</f>
        <v/>
      </c>
      <c r="AE18" s="50" t="str">
        <f t="array" aca="1" ref="AE18" ca="1">IFERROR(INDEX(Unidades[selectorSubSeccion],SMALL(IF(AE$1=Unidades[selectorSeccion],MATCH(ROW(Unidades[selectorSeccion]),ROW(Unidades[selectorSeccion]))),ROW(AD17))),"")</f>
        <v/>
      </c>
      <c r="AF18" s="50" t="str">
        <f t="array" aca="1" ref="AF18" ca="1">IFERROR(INDEX(Unidades[selectorSubSeccion],SMALL(IF(AF$1=Unidades[selectorSeccion],MATCH(ROW(Unidades[selectorSeccion]),ROW(Unidades[selectorSeccion]))),ROW(AE17))),"")</f>
        <v/>
      </c>
      <c r="AG18" s="50" t="str">
        <f t="array" aca="1" ref="AG18" ca="1">IFERROR(INDEX(Unidades[selectorSubSeccion],SMALL(IF(AG$1=Unidades[selectorSeccion],MATCH(ROW(Unidades[selectorSeccion]),ROW(Unidades[selectorSeccion]))),ROW(AF17))),"")</f>
        <v/>
      </c>
    </row>
    <row r="19" spans="2:33" x14ac:dyDescent="0.3">
      <c r="B19" s="50" t="str">
        <f t="array" aca="1" ref="B19" ca="1">IFERROR(INDEX(Unidades[selectorSubSeccion],SMALL(IF(B$1=Unidades[selectorSeccion],MATCH(ROW(Unidades[selectorSeccion]),ROW(Unidades[selectorSeccion]))),ROW(A18))),"")</f>
        <v/>
      </c>
      <c r="C19" s="50" t="str">
        <f t="array" aca="1" ref="C19" ca="1">IFERROR(INDEX(Unidades[selectorSubSeccion],SMALL(IF(C$1=Unidades[selectorSeccion],MATCH(ROW(Unidades[selectorSeccion]),ROW(Unidades[selectorSeccion]))),ROW(B18))),"")</f>
        <v/>
      </c>
      <c r="D19" s="50" t="str">
        <f t="array" aca="1" ref="D19" ca="1">IFERROR(INDEX(Unidades[selectorSubSeccion],SMALL(IF(D$1=Unidades[selectorSeccion],MATCH(ROW(Unidades[selectorSeccion]),ROW(Unidades[selectorSeccion]))),ROW(C18))),"")</f>
        <v/>
      </c>
      <c r="E19" s="50" t="str">
        <f t="array" aca="1" ref="E19" ca="1">IFERROR(INDEX(Unidades[selectorSubSeccion],SMALL(IF(E$1=Unidades[selectorSeccion],MATCH(ROW(Unidades[selectorSeccion]),ROW(Unidades[selectorSeccion]))),ROW(D18))),"")</f>
        <v/>
      </c>
      <c r="F19" s="50" t="str">
        <f t="array" aca="1" ref="F19" ca="1">IFERROR(INDEX(Unidades[selectorSubSeccion],SMALL(IF(F$1=Unidades[selectorSeccion],MATCH(ROW(Unidades[selectorSeccion]),ROW(Unidades[selectorSeccion]))),ROW(E18))),"")</f>
        <v/>
      </c>
      <c r="G19" s="50" t="str">
        <f t="array" aca="1" ref="G19" ca="1">IFERROR(INDEX(Unidades[selectorSubSeccion],SMALL(IF(G$1=Unidades[selectorSeccion],MATCH(ROW(Unidades[selectorSeccion]),ROW(Unidades[selectorSeccion]))),ROW(F18))),"")</f>
        <v/>
      </c>
      <c r="H19" s="50" t="str">
        <f t="array" aca="1" ref="H19" ca="1">IFERROR(INDEX(Unidades[selectorSubSeccion],SMALL(IF(H$1=Unidades[selectorSeccion],MATCH(ROW(Unidades[selectorSeccion]),ROW(Unidades[selectorSeccion]))),ROW(G18))),"")</f>
        <v/>
      </c>
      <c r="I19" s="50" t="str">
        <f t="array" aca="1" ref="I19" ca="1">IFERROR(INDEX(Unidades[selectorSubSeccion],SMALL(IF(I$1=Unidades[selectorSeccion],MATCH(ROW(Unidades[selectorSeccion]),ROW(Unidades[selectorSeccion]))),ROW(H18))),"")</f>
        <v/>
      </c>
      <c r="J19" s="50" t="str">
        <f t="array" aca="1" ref="J19" ca="1">IFERROR(INDEX(Unidades[selectorSubSeccion],SMALL(IF(J$1=Unidades[selectorSeccion],MATCH(ROW(Unidades[selectorSeccion]),ROW(Unidades[selectorSeccion]))),ROW(I18))),"")</f>
        <v/>
      </c>
      <c r="K19" s="50" t="str">
        <f t="array" aca="1" ref="K19" ca="1">IFERROR(INDEX(Unidades[selectorSubSeccion],SMALL(IF(K$1=Unidades[selectorSeccion],MATCH(ROW(Unidades[selectorSeccion]),ROW(Unidades[selectorSeccion]))),ROW(J18))),"")</f>
        <v/>
      </c>
      <c r="L19" s="50" t="str">
        <f t="array" aca="1" ref="L19" ca="1">IFERROR(INDEX(Unidades[selectorSubSeccion],SMALL(IF(L$1=Unidades[selectorSeccion],MATCH(ROW(Unidades[selectorSeccion]),ROW(Unidades[selectorSeccion]))),ROW(K18))),"")</f>
        <v/>
      </c>
      <c r="M19" s="50" t="str">
        <f t="array" aca="1" ref="M19" ca="1">IFERROR(INDEX(Unidades[selectorSubSeccion],SMALL(IF(M$1=Unidades[selectorSeccion],MATCH(ROW(Unidades[selectorSeccion]),ROW(Unidades[selectorSeccion]))),ROW(L18))),"")</f>
        <v/>
      </c>
      <c r="N19" s="50" t="str">
        <f t="array" aca="1" ref="N19" ca="1">IFERROR(INDEX(Unidades[selectorSubSeccion],SMALL(IF(N$1=Unidades[selectorSeccion],MATCH(ROW(Unidades[selectorSeccion]),ROW(Unidades[selectorSeccion]))),ROW(M18))),"")</f>
        <v/>
      </c>
      <c r="O19" s="50" t="str">
        <f t="array" aca="1" ref="O19" ca="1">IFERROR(INDEX(Unidades[selectorSubSeccion],SMALL(IF(O$1=Unidades[selectorSeccion],MATCH(ROW(Unidades[selectorSeccion]),ROW(Unidades[selectorSeccion]))),ROW(N18))),"")</f>
        <v/>
      </c>
      <c r="P19" s="50" t="str">
        <f t="array" aca="1" ref="P19" ca="1">IFERROR(INDEX(Unidades[selectorSubSeccion],SMALL(IF(P$1=Unidades[selectorSeccion],MATCH(ROW(Unidades[selectorSeccion]),ROW(Unidades[selectorSeccion]))),ROW(O18))),"")</f>
        <v/>
      </c>
      <c r="Q19" s="50" t="str">
        <f t="array" aca="1" ref="Q19" ca="1">IFERROR(INDEX(Unidades[selectorSubSeccion],SMALL(IF(Q$1=Unidades[selectorSeccion],MATCH(ROW(Unidades[selectorSeccion]),ROW(Unidades[selectorSeccion]))),ROW(P18))),"")</f>
        <v/>
      </c>
      <c r="R19" s="50" t="str">
        <f t="array" aca="1" ref="R19" ca="1">IFERROR(INDEX(Unidades[selectorSubSeccion],SMALL(IF(R$1=Unidades[selectorSeccion],MATCH(ROW(Unidades[selectorSeccion]),ROW(Unidades[selectorSeccion]))),ROW(Q18))),"")</f>
        <v/>
      </c>
      <c r="S19" s="50" t="str">
        <f t="array" aca="1" ref="S19" ca="1">IFERROR(INDEX(Unidades[selectorSubSeccion],SMALL(IF(S$1=Unidades[selectorSeccion],MATCH(ROW(Unidades[selectorSeccion]),ROW(Unidades[selectorSeccion]))),ROW(R18))),"")</f>
        <v/>
      </c>
      <c r="T19" s="50" t="str">
        <f t="array" aca="1" ref="T19" ca="1">IFERROR(INDEX(Unidades[selectorSubSeccion],SMALL(IF(T$1=Unidades[selectorSeccion],MATCH(ROW(Unidades[selectorSeccion]),ROW(Unidades[selectorSeccion]))),ROW(S18))),"")</f>
        <v/>
      </c>
      <c r="U19" s="50" t="str">
        <f t="array" aca="1" ref="U19" ca="1">IFERROR(INDEX(Unidades[selectorSubSeccion],SMALL(IF(U$1=Unidades[selectorSeccion],MATCH(ROW(Unidades[selectorSeccion]),ROW(Unidades[selectorSeccion]))),ROW(T18))),"")</f>
        <v/>
      </c>
      <c r="V19" s="50" t="str">
        <f t="array" aca="1" ref="V19" ca="1">IFERROR(INDEX(Unidades[selectorSubSeccion],SMALL(IF(V$1=Unidades[selectorSeccion],MATCH(ROW(Unidades[selectorSeccion]),ROW(Unidades[selectorSeccion]))),ROW(U18))),"")</f>
        <v/>
      </c>
      <c r="W19" s="50" t="str">
        <f t="array" aca="1" ref="W19" ca="1">IFERROR(INDEX(Unidades[selectorSubSeccion],SMALL(IF(W$1=Unidades[selectorSeccion],MATCH(ROW(Unidades[selectorSeccion]),ROW(Unidades[selectorSeccion]))),ROW(V18))),"")</f>
        <v/>
      </c>
      <c r="X19" s="50" t="str">
        <f t="array" aca="1" ref="X19" ca="1">IFERROR(INDEX(Unidades[selectorSubSeccion],SMALL(IF(X$1=Unidades[selectorSeccion],MATCH(ROW(Unidades[selectorSeccion]),ROW(Unidades[selectorSeccion]))),ROW(W18))),"")</f>
        <v/>
      </c>
      <c r="Y19" s="50" t="str">
        <f t="array" aca="1" ref="Y19" ca="1">IFERROR(INDEX(Unidades[selectorSubSeccion],SMALL(IF(Y$1=Unidades[selectorSeccion],MATCH(ROW(Unidades[selectorSeccion]),ROW(Unidades[selectorSeccion]))),ROW(X18))),"")</f>
        <v/>
      </c>
      <c r="Z19" s="50" t="str">
        <f t="array" aca="1" ref="Z19" ca="1">IFERROR(INDEX(Unidades[selectorSubSeccion],SMALL(IF(Z$1=Unidades[selectorSeccion],MATCH(ROW(Unidades[selectorSeccion]),ROW(Unidades[selectorSeccion]))),ROW(Y18))),"")</f>
        <v/>
      </c>
      <c r="AA19" s="50" t="str">
        <f t="array" aca="1" ref="AA19" ca="1">IFERROR(INDEX(Unidades[selectorSubSeccion],SMALL(IF(AA$1=Unidades[selectorSeccion],MATCH(ROW(Unidades[selectorSeccion]),ROW(Unidades[selectorSeccion]))),ROW(Z18))),"")</f>
        <v/>
      </c>
      <c r="AB19" s="50" t="str">
        <f t="array" aca="1" ref="AB19" ca="1">IFERROR(INDEX(Unidades[selectorSubSeccion],SMALL(IF(AB$1=Unidades[selectorSeccion],MATCH(ROW(Unidades[selectorSeccion]),ROW(Unidades[selectorSeccion]))),ROW(AA18))),"")</f>
        <v/>
      </c>
      <c r="AC19" s="50" t="str">
        <f t="array" aca="1" ref="AC19" ca="1">IFERROR(INDEX(Unidades[selectorSubSeccion],SMALL(IF(AC$1=Unidades[selectorSeccion],MATCH(ROW(Unidades[selectorSeccion]),ROW(Unidades[selectorSeccion]))),ROW(AB18))),"")</f>
        <v/>
      </c>
      <c r="AD19" s="50" t="str">
        <f t="array" aca="1" ref="AD19" ca="1">IFERROR(INDEX(Unidades[selectorSubSeccion],SMALL(IF(AD$1=Unidades[selectorSeccion],MATCH(ROW(Unidades[selectorSeccion]),ROW(Unidades[selectorSeccion]))),ROW(AC18))),"")</f>
        <v/>
      </c>
      <c r="AE19" s="50" t="str">
        <f t="array" aca="1" ref="AE19" ca="1">IFERROR(INDEX(Unidades[selectorSubSeccion],SMALL(IF(AE$1=Unidades[selectorSeccion],MATCH(ROW(Unidades[selectorSeccion]),ROW(Unidades[selectorSeccion]))),ROW(AD18))),"")</f>
        <v/>
      </c>
      <c r="AF19" s="50" t="str">
        <f t="array" aca="1" ref="AF19" ca="1">IFERROR(INDEX(Unidades[selectorSubSeccion],SMALL(IF(AF$1=Unidades[selectorSeccion],MATCH(ROW(Unidades[selectorSeccion]),ROW(Unidades[selectorSeccion]))),ROW(AE18))),"")</f>
        <v/>
      </c>
      <c r="AG19" s="50" t="str">
        <f t="array" aca="1" ref="AG19" ca="1">IFERROR(INDEX(Unidades[selectorSubSeccion],SMALL(IF(AG$1=Unidades[selectorSeccion],MATCH(ROW(Unidades[selectorSeccion]),ROW(Unidades[selectorSeccion]))),ROW(AF18))),"")</f>
        <v/>
      </c>
    </row>
    <row r="20" spans="2:33" x14ac:dyDescent="0.3">
      <c r="B20" s="50" t="str">
        <f t="array" aca="1" ref="B20" ca="1">IFERROR(INDEX(Unidades[selectorSubSeccion],SMALL(IF(B$1=Unidades[selectorSeccion],MATCH(ROW(Unidades[selectorSeccion]),ROW(Unidades[selectorSeccion]))),ROW(A19))),"")</f>
        <v/>
      </c>
      <c r="C20" s="50" t="str">
        <f t="array" aca="1" ref="C20" ca="1">IFERROR(INDEX(Unidades[selectorSubSeccion],SMALL(IF(C$1=Unidades[selectorSeccion],MATCH(ROW(Unidades[selectorSeccion]),ROW(Unidades[selectorSeccion]))),ROW(B19))),"")</f>
        <v/>
      </c>
      <c r="D20" s="50" t="str">
        <f t="array" aca="1" ref="D20" ca="1">IFERROR(INDEX(Unidades[selectorSubSeccion],SMALL(IF(D$1=Unidades[selectorSeccion],MATCH(ROW(Unidades[selectorSeccion]),ROW(Unidades[selectorSeccion]))),ROW(C19))),"")</f>
        <v/>
      </c>
      <c r="E20" s="50" t="str">
        <f t="array" aca="1" ref="E20" ca="1">IFERROR(INDEX(Unidades[selectorSubSeccion],SMALL(IF(E$1=Unidades[selectorSeccion],MATCH(ROW(Unidades[selectorSeccion]),ROW(Unidades[selectorSeccion]))),ROW(D19))),"")</f>
        <v/>
      </c>
      <c r="F20" s="50" t="str">
        <f t="array" aca="1" ref="F20" ca="1">IFERROR(INDEX(Unidades[selectorSubSeccion],SMALL(IF(F$1=Unidades[selectorSeccion],MATCH(ROW(Unidades[selectorSeccion]),ROW(Unidades[selectorSeccion]))),ROW(E19))),"")</f>
        <v/>
      </c>
      <c r="G20" s="50" t="str">
        <f t="array" aca="1" ref="G20" ca="1">IFERROR(INDEX(Unidades[selectorSubSeccion],SMALL(IF(G$1=Unidades[selectorSeccion],MATCH(ROW(Unidades[selectorSeccion]),ROW(Unidades[selectorSeccion]))),ROW(F19))),"")</f>
        <v/>
      </c>
      <c r="H20" s="50" t="str">
        <f t="array" aca="1" ref="H20" ca="1">IFERROR(INDEX(Unidades[selectorSubSeccion],SMALL(IF(H$1=Unidades[selectorSeccion],MATCH(ROW(Unidades[selectorSeccion]),ROW(Unidades[selectorSeccion]))),ROW(G19))),"")</f>
        <v/>
      </c>
      <c r="I20" s="50" t="str">
        <f t="array" aca="1" ref="I20" ca="1">IFERROR(INDEX(Unidades[selectorSubSeccion],SMALL(IF(I$1=Unidades[selectorSeccion],MATCH(ROW(Unidades[selectorSeccion]),ROW(Unidades[selectorSeccion]))),ROW(H19))),"")</f>
        <v/>
      </c>
      <c r="J20" s="50" t="str">
        <f t="array" aca="1" ref="J20" ca="1">IFERROR(INDEX(Unidades[selectorSubSeccion],SMALL(IF(J$1=Unidades[selectorSeccion],MATCH(ROW(Unidades[selectorSeccion]),ROW(Unidades[selectorSeccion]))),ROW(I19))),"")</f>
        <v/>
      </c>
      <c r="K20" s="50" t="str">
        <f t="array" aca="1" ref="K20" ca="1">IFERROR(INDEX(Unidades[selectorSubSeccion],SMALL(IF(K$1=Unidades[selectorSeccion],MATCH(ROW(Unidades[selectorSeccion]),ROW(Unidades[selectorSeccion]))),ROW(J19))),"")</f>
        <v/>
      </c>
      <c r="L20" s="50" t="str">
        <f t="array" aca="1" ref="L20" ca="1">IFERROR(INDEX(Unidades[selectorSubSeccion],SMALL(IF(L$1=Unidades[selectorSeccion],MATCH(ROW(Unidades[selectorSeccion]),ROW(Unidades[selectorSeccion]))),ROW(K19))),"")</f>
        <v/>
      </c>
      <c r="M20" s="50" t="str">
        <f t="array" aca="1" ref="M20" ca="1">IFERROR(INDEX(Unidades[selectorSubSeccion],SMALL(IF(M$1=Unidades[selectorSeccion],MATCH(ROW(Unidades[selectorSeccion]),ROW(Unidades[selectorSeccion]))),ROW(L19))),"")</f>
        <v/>
      </c>
      <c r="N20" s="50" t="str">
        <f t="array" aca="1" ref="N20" ca="1">IFERROR(INDEX(Unidades[selectorSubSeccion],SMALL(IF(N$1=Unidades[selectorSeccion],MATCH(ROW(Unidades[selectorSeccion]),ROW(Unidades[selectorSeccion]))),ROW(M19))),"")</f>
        <v/>
      </c>
      <c r="O20" s="50" t="str">
        <f t="array" aca="1" ref="O20" ca="1">IFERROR(INDEX(Unidades[selectorSubSeccion],SMALL(IF(O$1=Unidades[selectorSeccion],MATCH(ROW(Unidades[selectorSeccion]),ROW(Unidades[selectorSeccion]))),ROW(N19))),"")</f>
        <v/>
      </c>
      <c r="P20" s="50" t="str">
        <f t="array" aca="1" ref="P20" ca="1">IFERROR(INDEX(Unidades[selectorSubSeccion],SMALL(IF(P$1=Unidades[selectorSeccion],MATCH(ROW(Unidades[selectorSeccion]),ROW(Unidades[selectorSeccion]))),ROW(O19))),"")</f>
        <v/>
      </c>
      <c r="Q20" s="50" t="str">
        <f t="array" aca="1" ref="Q20" ca="1">IFERROR(INDEX(Unidades[selectorSubSeccion],SMALL(IF(Q$1=Unidades[selectorSeccion],MATCH(ROW(Unidades[selectorSeccion]),ROW(Unidades[selectorSeccion]))),ROW(P19))),"")</f>
        <v/>
      </c>
      <c r="R20" s="50" t="str">
        <f t="array" aca="1" ref="R20" ca="1">IFERROR(INDEX(Unidades[selectorSubSeccion],SMALL(IF(R$1=Unidades[selectorSeccion],MATCH(ROW(Unidades[selectorSeccion]),ROW(Unidades[selectorSeccion]))),ROW(Q19))),"")</f>
        <v/>
      </c>
      <c r="S20" s="50" t="str">
        <f t="array" aca="1" ref="S20" ca="1">IFERROR(INDEX(Unidades[selectorSubSeccion],SMALL(IF(S$1=Unidades[selectorSeccion],MATCH(ROW(Unidades[selectorSeccion]),ROW(Unidades[selectorSeccion]))),ROW(R19))),"")</f>
        <v/>
      </c>
      <c r="T20" s="50" t="str">
        <f t="array" aca="1" ref="T20" ca="1">IFERROR(INDEX(Unidades[selectorSubSeccion],SMALL(IF(T$1=Unidades[selectorSeccion],MATCH(ROW(Unidades[selectorSeccion]),ROW(Unidades[selectorSeccion]))),ROW(S19))),"")</f>
        <v/>
      </c>
      <c r="U20" s="50" t="str">
        <f t="array" aca="1" ref="U20" ca="1">IFERROR(INDEX(Unidades[selectorSubSeccion],SMALL(IF(U$1=Unidades[selectorSeccion],MATCH(ROW(Unidades[selectorSeccion]),ROW(Unidades[selectorSeccion]))),ROW(T19))),"")</f>
        <v/>
      </c>
      <c r="V20" s="50" t="str">
        <f t="array" aca="1" ref="V20" ca="1">IFERROR(INDEX(Unidades[selectorSubSeccion],SMALL(IF(V$1=Unidades[selectorSeccion],MATCH(ROW(Unidades[selectorSeccion]),ROW(Unidades[selectorSeccion]))),ROW(U19))),"")</f>
        <v/>
      </c>
      <c r="W20" s="50" t="str">
        <f t="array" aca="1" ref="W20" ca="1">IFERROR(INDEX(Unidades[selectorSubSeccion],SMALL(IF(W$1=Unidades[selectorSeccion],MATCH(ROW(Unidades[selectorSeccion]),ROW(Unidades[selectorSeccion]))),ROW(V19))),"")</f>
        <v/>
      </c>
      <c r="X20" s="50" t="str">
        <f t="array" aca="1" ref="X20" ca="1">IFERROR(INDEX(Unidades[selectorSubSeccion],SMALL(IF(X$1=Unidades[selectorSeccion],MATCH(ROW(Unidades[selectorSeccion]),ROW(Unidades[selectorSeccion]))),ROW(W19))),"")</f>
        <v/>
      </c>
      <c r="Y20" s="50" t="str">
        <f t="array" aca="1" ref="Y20" ca="1">IFERROR(INDEX(Unidades[selectorSubSeccion],SMALL(IF(Y$1=Unidades[selectorSeccion],MATCH(ROW(Unidades[selectorSeccion]),ROW(Unidades[selectorSeccion]))),ROW(X19))),"")</f>
        <v/>
      </c>
      <c r="Z20" s="50" t="str">
        <f t="array" aca="1" ref="Z20" ca="1">IFERROR(INDEX(Unidades[selectorSubSeccion],SMALL(IF(Z$1=Unidades[selectorSeccion],MATCH(ROW(Unidades[selectorSeccion]),ROW(Unidades[selectorSeccion]))),ROW(Y19))),"")</f>
        <v/>
      </c>
      <c r="AA20" s="50" t="str">
        <f t="array" aca="1" ref="AA20" ca="1">IFERROR(INDEX(Unidades[selectorSubSeccion],SMALL(IF(AA$1=Unidades[selectorSeccion],MATCH(ROW(Unidades[selectorSeccion]),ROW(Unidades[selectorSeccion]))),ROW(Z19))),"")</f>
        <v/>
      </c>
      <c r="AB20" s="50" t="str">
        <f t="array" aca="1" ref="AB20" ca="1">IFERROR(INDEX(Unidades[selectorSubSeccion],SMALL(IF(AB$1=Unidades[selectorSeccion],MATCH(ROW(Unidades[selectorSeccion]),ROW(Unidades[selectorSeccion]))),ROW(AA19))),"")</f>
        <v/>
      </c>
      <c r="AC20" s="50" t="str">
        <f t="array" aca="1" ref="AC20" ca="1">IFERROR(INDEX(Unidades[selectorSubSeccion],SMALL(IF(AC$1=Unidades[selectorSeccion],MATCH(ROW(Unidades[selectorSeccion]),ROW(Unidades[selectorSeccion]))),ROW(AB19))),"")</f>
        <v/>
      </c>
      <c r="AD20" s="50" t="str">
        <f t="array" aca="1" ref="AD20" ca="1">IFERROR(INDEX(Unidades[selectorSubSeccion],SMALL(IF(AD$1=Unidades[selectorSeccion],MATCH(ROW(Unidades[selectorSeccion]),ROW(Unidades[selectorSeccion]))),ROW(AC19))),"")</f>
        <v/>
      </c>
      <c r="AE20" s="50" t="str">
        <f t="array" aca="1" ref="AE20" ca="1">IFERROR(INDEX(Unidades[selectorSubSeccion],SMALL(IF(AE$1=Unidades[selectorSeccion],MATCH(ROW(Unidades[selectorSeccion]),ROW(Unidades[selectorSeccion]))),ROW(AD19))),"")</f>
        <v/>
      </c>
      <c r="AF20" s="50" t="str">
        <f t="array" aca="1" ref="AF20" ca="1">IFERROR(INDEX(Unidades[selectorSubSeccion],SMALL(IF(AF$1=Unidades[selectorSeccion],MATCH(ROW(Unidades[selectorSeccion]),ROW(Unidades[selectorSeccion]))),ROW(AE19))),"")</f>
        <v/>
      </c>
      <c r="AG20" s="50" t="str">
        <f t="array" aca="1" ref="AG20" ca="1">IFERROR(INDEX(Unidades[selectorSubSeccion],SMALL(IF(AG$1=Unidades[selectorSeccion],MATCH(ROW(Unidades[selectorSeccion]),ROW(Unidades[selectorSeccion]))),ROW(AF19))),"")</f>
        <v/>
      </c>
    </row>
    <row r="21" spans="2:33" x14ac:dyDescent="0.3">
      <c r="B21" s="50" t="str">
        <f t="array" aca="1" ref="B21" ca="1">IFERROR(INDEX(Unidades[selectorSubSeccion],SMALL(IF(B$1=Unidades[selectorSeccion],MATCH(ROW(Unidades[selectorSeccion]),ROW(Unidades[selectorSeccion]))),ROW(A20))),"")</f>
        <v/>
      </c>
      <c r="C21" s="50" t="str">
        <f t="array" aca="1" ref="C21" ca="1">IFERROR(INDEX(Unidades[selectorSubSeccion],SMALL(IF(C$1=Unidades[selectorSeccion],MATCH(ROW(Unidades[selectorSeccion]),ROW(Unidades[selectorSeccion]))),ROW(B20))),"")</f>
        <v/>
      </c>
      <c r="D21" s="50" t="str">
        <f t="array" aca="1" ref="D21" ca="1">IFERROR(INDEX(Unidades[selectorSubSeccion],SMALL(IF(D$1=Unidades[selectorSeccion],MATCH(ROW(Unidades[selectorSeccion]),ROW(Unidades[selectorSeccion]))),ROW(C20))),"")</f>
        <v/>
      </c>
      <c r="E21" s="50" t="str">
        <f t="array" aca="1" ref="E21" ca="1">IFERROR(INDEX(Unidades[selectorSubSeccion],SMALL(IF(E$1=Unidades[selectorSeccion],MATCH(ROW(Unidades[selectorSeccion]),ROW(Unidades[selectorSeccion]))),ROW(D20))),"")</f>
        <v/>
      </c>
      <c r="F21" s="50" t="str">
        <f t="array" aca="1" ref="F21" ca="1">IFERROR(INDEX(Unidades[selectorSubSeccion],SMALL(IF(F$1=Unidades[selectorSeccion],MATCH(ROW(Unidades[selectorSeccion]),ROW(Unidades[selectorSeccion]))),ROW(E20))),"")</f>
        <v/>
      </c>
      <c r="G21" s="50" t="str">
        <f t="array" aca="1" ref="G21" ca="1">IFERROR(INDEX(Unidades[selectorSubSeccion],SMALL(IF(G$1=Unidades[selectorSeccion],MATCH(ROW(Unidades[selectorSeccion]),ROW(Unidades[selectorSeccion]))),ROW(F20))),"")</f>
        <v/>
      </c>
      <c r="H21" s="50" t="str">
        <f t="array" aca="1" ref="H21" ca="1">IFERROR(INDEX(Unidades[selectorSubSeccion],SMALL(IF(H$1=Unidades[selectorSeccion],MATCH(ROW(Unidades[selectorSeccion]),ROW(Unidades[selectorSeccion]))),ROW(G20))),"")</f>
        <v/>
      </c>
      <c r="I21" s="50" t="str">
        <f t="array" aca="1" ref="I21" ca="1">IFERROR(INDEX(Unidades[selectorSubSeccion],SMALL(IF(I$1=Unidades[selectorSeccion],MATCH(ROW(Unidades[selectorSeccion]),ROW(Unidades[selectorSeccion]))),ROW(H20))),"")</f>
        <v/>
      </c>
      <c r="J21" s="50" t="str">
        <f t="array" aca="1" ref="J21" ca="1">IFERROR(INDEX(Unidades[selectorSubSeccion],SMALL(IF(J$1=Unidades[selectorSeccion],MATCH(ROW(Unidades[selectorSeccion]),ROW(Unidades[selectorSeccion]))),ROW(I20))),"")</f>
        <v/>
      </c>
      <c r="K21" s="50" t="str">
        <f t="array" aca="1" ref="K21" ca="1">IFERROR(INDEX(Unidades[selectorSubSeccion],SMALL(IF(K$1=Unidades[selectorSeccion],MATCH(ROW(Unidades[selectorSeccion]),ROW(Unidades[selectorSeccion]))),ROW(J20))),"")</f>
        <v/>
      </c>
      <c r="L21" s="50" t="str">
        <f t="array" aca="1" ref="L21" ca="1">IFERROR(INDEX(Unidades[selectorSubSeccion],SMALL(IF(L$1=Unidades[selectorSeccion],MATCH(ROW(Unidades[selectorSeccion]),ROW(Unidades[selectorSeccion]))),ROW(K20))),"")</f>
        <v/>
      </c>
      <c r="M21" s="50" t="str">
        <f t="array" aca="1" ref="M21" ca="1">IFERROR(INDEX(Unidades[selectorSubSeccion],SMALL(IF(M$1=Unidades[selectorSeccion],MATCH(ROW(Unidades[selectorSeccion]),ROW(Unidades[selectorSeccion]))),ROW(L20))),"")</f>
        <v/>
      </c>
      <c r="N21" s="50" t="str">
        <f t="array" aca="1" ref="N21" ca="1">IFERROR(INDEX(Unidades[selectorSubSeccion],SMALL(IF(N$1=Unidades[selectorSeccion],MATCH(ROW(Unidades[selectorSeccion]),ROW(Unidades[selectorSeccion]))),ROW(M20))),"")</f>
        <v/>
      </c>
      <c r="O21" s="50" t="str">
        <f t="array" aca="1" ref="O21" ca="1">IFERROR(INDEX(Unidades[selectorSubSeccion],SMALL(IF(O$1=Unidades[selectorSeccion],MATCH(ROW(Unidades[selectorSeccion]),ROW(Unidades[selectorSeccion]))),ROW(N20))),"")</f>
        <v/>
      </c>
      <c r="P21" s="50" t="str">
        <f t="array" aca="1" ref="P21" ca="1">IFERROR(INDEX(Unidades[selectorSubSeccion],SMALL(IF(P$1=Unidades[selectorSeccion],MATCH(ROW(Unidades[selectorSeccion]),ROW(Unidades[selectorSeccion]))),ROW(O20))),"")</f>
        <v/>
      </c>
      <c r="Q21" s="50" t="str">
        <f t="array" aca="1" ref="Q21" ca="1">IFERROR(INDEX(Unidades[selectorSubSeccion],SMALL(IF(Q$1=Unidades[selectorSeccion],MATCH(ROW(Unidades[selectorSeccion]),ROW(Unidades[selectorSeccion]))),ROW(P20))),"")</f>
        <v/>
      </c>
      <c r="R21" s="50" t="str">
        <f t="array" aca="1" ref="R21" ca="1">IFERROR(INDEX(Unidades[selectorSubSeccion],SMALL(IF(R$1=Unidades[selectorSeccion],MATCH(ROW(Unidades[selectorSeccion]),ROW(Unidades[selectorSeccion]))),ROW(Q20))),"")</f>
        <v/>
      </c>
      <c r="S21" s="50" t="str">
        <f t="array" aca="1" ref="S21" ca="1">IFERROR(INDEX(Unidades[selectorSubSeccion],SMALL(IF(S$1=Unidades[selectorSeccion],MATCH(ROW(Unidades[selectorSeccion]),ROW(Unidades[selectorSeccion]))),ROW(R20))),"")</f>
        <v/>
      </c>
      <c r="T21" s="50" t="str">
        <f t="array" aca="1" ref="T21" ca="1">IFERROR(INDEX(Unidades[selectorSubSeccion],SMALL(IF(T$1=Unidades[selectorSeccion],MATCH(ROW(Unidades[selectorSeccion]),ROW(Unidades[selectorSeccion]))),ROW(S20))),"")</f>
        <v/>
      </c>
      <c r="U21" s="50" t="str">
        <f t="array" aca="1" ref="U21" ca="1">IFERROR(INDEX(Unidades[selectorSubSeccion],SMALL(IF(U$1=Unidades[selectorSeccion],MATCH(ROW(Unidades[selectorSeccion]),ROW(Unidades[selectorSeccion]))),ROW(T20))),"")</f>
        <v/>
      </c>
      <c r="V21" s="50" t="str">
        <f t="array" aca="1" ref="V21" ca="1">IFERROR(INDEX(Unidades[selectorSubSeccion],SMALL(IF(V$1=Unidades[selectorSeccion],MATCH(ROW(Unidades[selectorSeccion]),ROW(Unidades[selectorSeccion]))),ROW(U20))),"")</f>
        <v/>
      </c>
      <c r="W21" s="50" t="str">
        <f t="array" aca="1" ref="W21" ca="1">IFERROR(INDEX(Unidades[selectorSubSeccion],SMALL(IF(W$1=Unidades[selectorSeccion],MATCH(ROW(Unidades[selectorSeccion]),ROW(Unidades[selectorSeccion]))),ROW(V20))),"")</f>
        <v/>
      </c>
      <c r="X21" s="50" t="str">
        <f t="array" aca="1" ref="X21" ca="1">IFERROR(INDEX(Unidades[selectorSubSeccion],SMALL(IF(X$1=Unidades[selectorSeccion],MATCH(ROW(Unidades[selectorSeccion]),ROW(Unidades[selectorSeccion]))),ROW(W20))),"")</f>
        <v/>
      </c>
      <c r="Y21" s="50" t="str">
        <f t="array" aca="1" ref="Y21" ca="1">IFERROR(INDEX(Unidades[selectorSubSeccion],SMALL(IF(Y$1=Unidades[selectorSeccion],MATCH(ROW(Unidades[selectorSeccion]),ROW(Unidades[selectorSeccion]))),ROW(X20))),"")</f>
        <v/>
      </c>
      <c r="Z21" s="50" t="str">
        <f t="array" aca="1" ref="Z21" ca="1">IFERROR(INDEX(Unidades[selectorSubSeccion],SMALL(IF(Z$1=Unidades[selectorSeccion],MATCH(ROW(Unidades[selectorSeccion]),ROW(Unidades[selectorSeccion]))),ROW(Y20))),"")</f>
        <v/>
      </c>
      <c r="AA21" s="50" t="str">
        <f t="array" aca="1" ref="AA21" ca="1">IFERROR(INDEX(Unidades[selectorSubSeccion],SMALL(IF(AA$1=Unidades[selectorSeccion],MATCH(ROW(Unidades[selectorSeccion]),ROW(Unidades[selectorSeccion]))),ROW(Z20))),"")</f>
        <v/>
      </c>
      <c r="AB21" s="50" t="str">
        <f t="array" aca="1" ref="AB21" ca="1">IFERROR(INDEX(Unidades[selectorSubSeccion],SMALL(IF(AB$1=Unidades[selectorSeccion],MATCH(ROW(Unidades[selectorSeccion]),ROW(Unidades[selectorSeccion]))),ROW(AA20))),"")</f>
        <v/>
      </c>
      <c r="AC21" s="50" t="str">
        <f t="array" aca="1" ref="AC21" ca="1">IFERROR(INDEX(Unidades[selectorSubSeccion],SMALL(IF(AC$1=Unidades[selectorSeccion],MATCH(ROW(Unidades[selectorSeccion]),ROW(Unidades[selectorSeccion]))),ROW(AB20))),"")</f>
        <v/>
      </c>
      <c r="AD21" s="50" t="str">
        <f t="array" aca="1" ref="AD21" ca="1">IFERROR(INDEX(Unidades[selectorSubSeccion],SMALL(IF(AD$1=Unidades[selectorSeccion],MATCH(ROW(Unidades[selectorSeccion]),ROW(Unidades[selectorSeccion]))),ROW(AC20))),"")</f>
        <v/>
      </c>
      <c r="AE21" s="50" t="str">
        <f t="array" aca="1" ref="AE21" ca="1">IFERROR(INDEX(Unidades[selectorSubSeccion],SMALL(IF(AE$1=Unidades[selectorSeccion],MATCH(ROW(Unidades[selectorSeccion]),ROW(Unidades[selectorSeccion]))),ROW(AD20))),"")</f>
        <v/>
      </c>
      <c r="AF21" s="50" t="str">
        <f t="array" aca="1" ref="AF21" ca="1">IFERROR(INDEX(Unidades[selectorSubSeccion],SMALL(IF(AF$1=Unidades[selectorSeccion],MATCH(ROW(Unidades[selectorSeccion]),ROW(Unidades[selectorSeccion]))),ROW(AE20))),"")</f>
        <v/>
      </c>
      <c r="AG21" s="50" t="str">
        <f t="array" aca="1" ref="AG21" ca="1">IFERROR(INDEX(Unidades[selectorSubSeccion],SMALL(IF(AG$1=Unidades[selectorSeccion],MATCH(ROW(Unidades[selectorSeccion]),ROW(Unidades[selectorSeccion]))),ROW(AF20))),"")</f>
        <v/>
      </c>
    </row>
    <row r="22" spans="2:33" x14ac:dyDescent="0.3">
      <c r="B22" s="50" t="str">
        <f t="array" aca="1" ref="B22" ca="1">IFERROR(INDEX(Unidades[selectorSubSeccion],SMALL(IF(B$1=Unidades[selectorSeccion],MATCH(ROW(Unidades[selectorSeccion]),ROW(Unidades[selectorSeccion]))),ROW(A21))),"")</f>
        <v/>
      </c>
      <c r="C22" s="50" t="str">
        <f t="array" aca="1" ref="C22" ca="1">IFERROR(INDEX(Unidades[selectorSubSeccion],SMALL(IF(C$1=Unidades[selectorSeccion],MATCH(ROW(Unidades[selectorSeccion]),ROW(Unidades[selectorSeccion]))),ROW(B21))),"")</f>
        <v/>
      </c>
      <c r="D22" s="50" t="str">
        <f t="array" aca="1" ref="D22" ca="1">IFERROR(INDEX(Unidades[selectorSubSeccion],SMALL(IF(D$1=Unidades[selectorSeccion],MATCH(ROW(Unidades[selectorSeccion]),ROW(Unidades[selectorSeccion]))),ROW(C21))),"")</f>
        <v/>
      </c>
      <c r="E22" s="50" t="str">
        <f t="array" aca="1" ref="E22" ca="1">IFERROR(INDEX(Unidades[selectorSubSeccion],SMALL(IF(E$1=Unidades[selectorSeccion],MATCH(ROW(Unidades[selectorSeccion]),ROW(Unidades[selectorSeccion]))),ROW(D21))),"")</f>
        <v/>
      </c>
      <c r="F22" s="50" t="str">
        <f t="array" aca="1" ref="F22" ca="1">IFERROR(INDEX(Unidades[selectorSubSeccion],SMALL(IF(F$1=Unidades[selectorSeccion],MATCH(ROW(Unidades[selectorSeccion]),ROW(Unidades[selectorSeccion]))),ROW(E21))),"")</f>
        <v/>
      </c>
      <c r="G22" s="50" t="str">
        <f t="array" aca="1" ref="G22" ca="1">IFERROR(INDEX(Unidades[selectorSubSeccion],SMALL(IF(G$1=Unidades[selectorSeccion],MATCH(ROW(Unidades[selectorSeccion]),ROW(Unidades[selectorSeccion]))),ROW(F21))),"")</f>
        <v/>
      </c>
      <c r="H22" s="50" t="str">
        <f t="array" aca="1" ref="H22" ca="1">IFERROR(INDEX(Unidades[selectorSubSeccion],SMALL(IF(H$1=Unidades[selectorSeccion],MATCH(ROW(Unidades[selectorSeccion]),ROW(Unidades[selectorSeccion]))),ROW(G21))),"")</f>
        <v/>
      </c>
      <c r="I22" s="50" t="str">
        <f t="array" aca="1" ref="I22" ca="1">IFERROR(INDEX(Unidades[selectorSubSeccion],SMALL(IF(I$1=Unidades[selectorSeccion],MATCH(ROW(Unidades[selectorSeccion]),ROW(Unidades[selectorSeccion]))),ROW(H21))),"")</f>
        <v/>
      </c>
      <c r="J22" s="50" t="str">
        <f t="array" aca="1" ref="J22" ca="1">IFERROR(INDEX(Unidades[selectorSubSeccion],SMALL(IF(J$1=Unidades[selectorSeccion],MATCH(ROW(Unidades[selectorSeccion]),ROW(Unidades[selectorSeccion]))),ROW(I21))),"")</f>
        <v/>
      </c>
      <c r="K22" s="50" t="str">
        <f t="array" aca="1" ref="K22" ca="1">IFERROR(INDEX(Unidades[selectorSubSeccion],SMALL(IF(K$1=Unidades[selectorSeccion],MATCH(ROW(Unidades[selectorSeccion]),ROW(Unidades[selectorSeccion]))),ROW(J21))),"")</f>
        <v/>
      </c>
      <c r="L22" s="50" t="str">
        <f t="array" aca="1" ref="L22" ca="1">IFERROR(INDEX(Unidades[selectorSubSeccion],SMALL(IF(L$1=Unidades[selectorSeccion],MATCH(ROW(Unidades[selectorSeccion]),ROW(Unidades[selectorSeccion]))),ROW(K21))),"")</f>
        <v/>
      </c>
      <c r="M22" s="50" t="str">
        <f t="array" aca="1" ref="M22" ca="1">IFERROR(INDEX(Unidades[selectorSubSeccion],SMALL(IF(M$1=Unidades[selectorSeccion],MATCH(ROW(Unidades[selectorSeccion]),ROW(Unidades[selectorSeccion]))),ROW(L21))),"")</f>
        <v/>
      </c>
      <c r="N22" s="50" t="str">
        <f t="array" aca="1" ref="N22" ca="1">IFERROR(INDEX(Unidades[selectorSubSeccion],SMALL(IF(N$1=Unidades[selectorSeccion],MATCH(ROW(Unidades[selectorSeccion]),ROW(Unidades[selectorSeccion]))),ROW(M21))),"")</f>
        <v/>
      </c>
      <c r="O22" s="50" t="str">
        <f t="array" aca="1" ref="O22" ca="1">IFERROR(INDEX(Unidades[selectorSubSeccion],SMALL(IF(O$1=Unidades[selectorSeccion],MATCH(ROW(Unidades[selectorSeccion]),ROW(Unidades[selectorSeccion]))),ROW(N21))),"")</f>
        <v/>
      </c>
      <c r="P22" s="50" t="str">
        <f t="array" aca="1" ref="P22" ca="1">IFERROR(INDEX(Unidades[selectorSubSeccion],SMALL(IF(P$1=Unidades[selectorSeccion],MATCH(ROW(Unidades[selectorSeccion]),ROW(Unidades[selectorSeccion]))),ROW(O21))),"")</f>
        <v/>
      </c>
      <c r="Q22" s="50" t="str">
        <f t="array" aca="1" ref="Q22" ca="1">IFERROR(INDEX(Unidades[selectorSubSeccion],SMALL(IF(Q$1=Unidades[selectorSeccion],MATCH(ROW(Unidades[selectorSeccion]),ROW(Unidades[selectorSeccion]))),ROW(P21))),"")</f>
        <v/>
      </c>
      <c r="R22" s="50" t="str">
        <f t="array" aca="1" ref="R22" ca="1">IFERROR(INDEX(Unidades[selectorSubSeccion],SMALL(IF(R$1=Unidades[selectorSeccion],MATCH(ROW(Unidades[selectorSeccion]),ROW(Unidades[selectorSeccion]))),ROW(Q21))),"")</f>
        <v/>
      </c>
      <c r="S22" s="50" t="str">
        <f t="array" aca="1" ref="S22" ca="1">IFERROR(INDEX(Unidades[selectorSubSeccion],SMALL(IF(S$1=Unidades[selectorSeccion],MATCH(ROW(Unidades[selectorSeccion]),ROW(Unidades[selectorSeccion]))),ROW(R21))),"")</f>
        <v/>
      </c>
      <c r="T22" s="50" t="str">
        <f t="array" aca="1" ref="T22" ca="1">IFERROR(INDEX(Unidades[selectorSubSeccion],SMALL(IF(T$1=Unidades[selectorSeccion],MATCH(ROW(Unidades[selectorSeccion]),ROW(Unidades[selectorSeccion]))),ROW(S21))),"")</f>
        <v/>
      </c>
      <c r="U22" s="50" t="str">
        <f t="array" aca="1" ref="U22" ca="1">IFERROR(INDEX(Unidades[selectorSubSeccion],SMALL(IF(U$1=Unidades[selectorSeccion],MATCH(ROW(Unidades[selectorSeccion]),ROW(Unidades[selectorSeccion]))),ROW(T21))),"")</f>
        <v/>
      </c>
      <c r="V22" s="50" t="str">
        <f t="array" aca="1" ref="V22" ca="1">IFERROR(INDEX(Unidades[selectorSubSeccion],SMALL(IF(V$1=Unidades[selectorSeccion],MATCH(ROW(Unidades[selectorSeccion]),ROW(Unidades[selectorSeccion]))),ROW(U21))),"")</f>
        <v/>
      </c>
      <c r="W22" s="50" t="str">
        <f t="array" aca="1" ref="W22" ca="1">IFERROR(INDEX(Unidades[selectorSubSeccion],SMALL(IF(W$1=Unidades[selectorSeccion],MATCH(ROW(Unidades[selectorSeccion]),ROW(Unidades[selectorSeccion]))),ROW(V21))),"")</f>
        <v/>
      </c>
      <c r="X22" s="50" t="str">
        <f t="array" aca="1" ref="X22" ca="1">IFERROR(INDEX(Unidades[selectorSubSeccion],SMALL(IF(X$1=Unidades[selectorSeccion],MATCH(ROW(Unidades[selectorSeccion]),ROW(Unidades[selectorSeccion]))),ROW(W21))),"")</f>
        <v/>
      </c>
      <c r="Y22" s="50" t="str">
        <f t="array" aca="1" ref="Y22" ca="1">IFERROR(INDEX(Unidades[selectorSubSeccion],SMALL(IF(Y$1=Unidades[selectorSeccion],MATCH(ROW(Unidades[selectorSeccion]),ROW(Unidades[selectorSeccion]))),ROW(X21))),"")</f>
        <v/>
      </c>
      <c r="Z22" s="50" t="str">
        <f t="array" aca="1" ref="Z22" ca="1">IFERROR(INDEX(Unidades[selectorSubSeccion],SMALL(IF(Z$1=Unidades[selectorSeccion],MATCH(ROW(Unidades[selectorSeccion]),ROW(Unidades[selectorSeccion]))),ROW(Y21))),"")</f>
        <v/>
      </c>
      <c r="AA22" s="50" t="str">
        <f t="array" aca="1" ref="AA22" ca="1">IFERROR(INDEX(Unidades[selectorSubSeccion],SMALL(IF(AA$1=Unidades[selectorSeccion],MATCH(ROW(Unidades[selectorSeccion]),ROW(Unidades[selectorSeccion]))),ROW(Z21))),"")</f>
        <v/>
      </c>
      <c r="AB22" s="50" t="str">
        <f t="array" aca="1" ref="AB22" ca="1">IFERROR(INDEX(Unidades[selectorSubSeccion],SMALL(IF(AB$1=Unidades[selectorSeccion],MATCH(ROW(Unidades[selectorSeccion]),ROW(Unidades[selectorSeccion]))),ROW(AA21))),"")</f>
        <v/>
      </c>
      <c r="AC22" s="50" t="str">
        <f t="array" aca="1" ref="AC22" ca="1">IFERROR(INDEX(Unidades[selectorSubSeccion],SMALL(IF(AC$1=Unidades[selectorSeccion],MATCH(ROW(Unidades[selectorSeccion]),ROW(Unidades[selectorSeccion]))),ROW(AB21))),"")</f>
        <v/>
      </c>
      <c r="AD22" s="50" t="str">
        <f t="array" aca="1" ref="AD22" ca="1">IFERROR(INDEX(Unidades[selectorSubSeccion],SMALL(IF(AD$1=Unidades[selectorSeccion],MATCH(ROW(Unidades[selectorSeccion]),ROW(Unidades[selectorSeccion]))),ROW(AC21))),"")</f>
        <v/>
      </c>
      <c r="AE22" s="50" t="str">
        <f t="array" aca="1" ref="AE22" ca="1">IFERROR(INDEX(Unidades[selectorSubSeccion],SMALL(IF(AE$1=Unidades[selectorSeccion],MATCH(ROW(Unidades[selectorSeccion]),ROW(Unidades[selectorSeccion]))),ROW(AD21))),"")</f>
        <v/>
      </c>
      <c r="AF22" s="50" t="str">
        <f t="array" aca="1" ref="AF22" ca="1">IFERROR(INDEX(Unidades[selectorSubSeccion],SMALL(IF(AF$1=Unidades[selectorSeccion],MATCH(ROW(Unidades[selectorSeccion]),ROW(Unidades[selectorSeccion]))),ROW(AE21))),"")</f>
        <v/>
      </c>
      <c r="AG22" s="50" t="str">
        <f t="array" aca="1" ref="AG22" ca="1">IFERROR(INDEX(Unidades[selectorSubSeccion],SMALL(IF(AG$1=Unidades[selectorSeccion],MATCH(ROW(Unidades[selectorSeccion]),ROW(Unidades[selectorSeccion]))),ROW(AF21))),"")</f>
        <v/>
      </c>
    </row>
    <row r="23" spans="2:33" x14ac:dyDescent="0.3">
      <c r="B23" s="50" t="str">
        <f t="array" aca="1" ref="B23" ca="1">IFERROR(INDEX(Unidades[selectorSubSeccion],SMALL(IF(B$1=Unidades[selectorSeccion],MATCH(ROW(Unidades[selectorSeccion]),ROW(Unidades[selectorSeccion]))),ROW(A22))),"")</f>
        <v/>
      </c>
      <c r="C23" s="50" t="str">
        <f t="array" aca="1" ref="C23" ca="1">IFERROR(INDEX(Unidades[selectorSubSeccion],SMALL(IF(C$1=Unidades[selectorSeccion],MATCH(ROW(Unidades[selectorSeccion]),ROW(Unidades[selectorSeccion]))),ROW(B22))),"")</f>
        <v/>
      </c>
      <c r="D23" s="50" t="str">
        <f t="array" aca="1" ref="D23" ca="1">IFERROR(INDEX(Unidades[selectorSubSeccion],SMALL(IF(D$1=Unidades[selectorSeccion],MATCH(ROW(Unidades[selectorSeccion]),ROW(Unidades[selectorSeccion]))),ROW(C22))),"")</f>
        <v/>
      </c>
      <c r="E23" s="50" t="str">
        <f t="array" aca="1" ref="E23" ca="1">IFERROR(INDEX(Unidades[selectorSubSeccion],SMALL(IF(E$1=Unidades[selectorSeccion],MATCH(ROW(Unidades[selectorSeccion]),ROW(Unidades[selectorSeccion]))),ROW(D22))),"")</f>
        <v/>
      </c>
      <c r="F23" s="50" t="str">
        <f t="array" aca="1" ref="F23" ca="1">IFERROR(INDEX(Unidades[selectorSubSeccion],SMALL(IF(F$1=Unidades[selectorSeccion],MATCH(ROW(Unidades[selectorSeccion]),ROW(Unidades[selectorSeccion]))),ROW(E22))),"")</f>
        <v/>
      </c>
      <c r="G23" s="50" t="str">
        <f t="array" aca="1" ref="G23" ca="1">IFERROR(INDEX(Unidades[selectorSubSeccion],SMALL(IF(G$1=Unidades[selectorSeccion],MATCH(ROW(Unidades[selectorSeccion]),ROW(Unidades[selectorSeccion]))),ROW(F22))),"")</f>
        <v/>
      </c>
      <c r="H23" s="50" t="str">
        <f t="array" aca="1" ref="H23" ca="1">IFERROR(INDEX(Unidades[selectorSubSeccion],SMALL(IF(H$1=Unidades[selectorSeccion],MATCH(ROW(Unidades[selectorSeccion]),ROW(Unidades[selectorSeccion]))),ROW(G22))),"")</f>
        <v/>
      </c>
      <c r="I23" s="50" t="str">
        <f t="array" aca="1" ref="I23" ca="1">IFERROR(INDEX(Unidades[selectorSubSeccion],SMALL(IF(I$1=Unidades[selectorSeccion],MATCH(ROW(Unidades[selectorSeccion]),ROW(Unidades[selectorSeccion]))),ROW(H22))),"")</f>
        <v/>
      </c>
      <c r="J23" s="50" t="str">
        <f t="array" aca="1" ref="J23" ca="1">IFERROR(INDEX(Unidades[selectorSubSeccion],SMALL(IF(J$1=Unidades[selectorSeccion],MATCH(ROW(Unidades[selectorSeccion]),ROW(Unidades[selectorSeccion]))),ROW(I22))),"")</f>
        <v/>
      </c>
      <c r="K23" s="50" t="str">
        <f t="array" aca="1" ref="K23" ca="1">IFERROR(INDEX(Unidades[selectorSubSeccion],SMALL(IF(K$1=Unidades[selectorSeccion],MATCH(ROW(Unidades[selectorSeccion]),ROW(Unidades[selectorSeccion]))),ROW(J22))),"")</f>
        <v/>
      </c>
      <c r="L23" s="50" t="str">
        <f t="array" aca="1" ref="L23" ca="1">IFERROR(INDEX(Unidades[selectorSubSeccion],SMALL(IF(L$1=Unidades[selectorSeccion],MATCH(ROW(Unidades[selectorSeccion]),ROW(Unidades[selectorSeccion]))),ROW(K22))),"")</f>
        <v/>
      </c>
      <c r="M23" s="50" t="str">
        <f t="array" aca="1" ref="M23" ca="1">IFERROR(INDEX(Unidades[selectorSubSeccion],SMALL(IF(M$1=Unidades[selectorSeccion],MATCH(ROW(Unidades[selectorSeccion]),ROW(Unidades[selectorSeccion]))),ROW(L22))),"")</f>
        <v/>
      </c>
      <c r="N23" s="50" t="str">
        <f t="array" aca="1" ref="N23" ca="1">IFERROR(INDEX(Unidades[selectorSubSeccion],SMALL(IF(N$1=Unidades[selectorSeccion],MATCH(ROW(Unidades[selectorSeccion]),ROW(Unidades[selectorSeccion]))),ROW(M22))),"")</f>
        <v/>
      </c>
      <c r="O23" s="50" t="str">
        <f t="array" aca="1" ref="O23" ca="1">IFERROR(INDEX(Unidades[selectorSubSeccion],SMALL(IF(O$1=Unidades[selectorSeccion],MATCH(ROW(Unidades[selectorSeccion]),ROW(Unidades[selectorSeccion]))),ROW(N22))),"")</f>
        <v/>
      </c>
      <c r="P23" s="50" t="str">
        <f t="array" aca="1" ref="P23" ca="1">IFERROR(INDEX(Unidades[selectorSubSeccion],SMALL(IF(P$1=Unidades[selectorSeccion],MATCH(ROW(Unidades[selectorSeccion]),ROW(Unidades[selectorSeccion]))),ROW(O22))),"")</f>
        <v/>
      </c>
      <c r="Q23" s="50" t="str">
        <f t="array" aca="1" ref="Q23" ca="1">IFERROR(INDEX(Unidades[selectorSubSeccion],SMALL(IF(Q$1=Unidades[selectorSeccion],MATCH(ROW(Unidades[selectorSeccion]),ROW(Unidades[selectorSeccion]))),ROW(P22))),"")</f>
        <v/>
      </c>
      <c r="R23" s="50" t="str">
        <f t="array" aca="1" ref="R23" ca="1">IFERROR(INDEX(Unidades[selectorSubSeccion],SMALL(IF(R$1=Unidades[selectorSeccion],MATCH(ROW(Unidades[selectorSeccion]),ROW(Unidades[selectorSeccion]))),ROW(Q22))),"")</f>
        <v/>
      </c>
      <c r="S23" s="50" t="str">
        <f t="array" aca="1" ref="S23" ca="1">IFERROR(INDEX(Unidades[selectorSubSeccion],SMALL(IF(S$1=Unidades[selectorSeccion],MATCH(ROW(Unidades[selectorSeccion]),ROW(Unidades[selectorSeccion]))),ROW(R22))),"")</f>
        <v/>
      </c>
      <c r="T23" s="50" t="str">
        <f t="array" aca="1" ref="T23" ca="1">IFERROR(INDEX(Unidades[selectorSubSeccion],SMALL(IF(T$1=Unidades[selectorSeccion],MATCH(ROW(Unidades[selectorSeccion]),ROW(Unidades[selectorSeccion]))),ROW(S22))),"")</f>
        <v/>
      </c>
      <c r="U23" s="50" t="str">
        <f t="array" aca="1" ref="U23" ca="1">IFERROR(INDEX(Unidades[selectorSubSeccion],SMALL(IF(U$1=Unidades[selectorSeccion],MATCH(ROW(Unidades[selectorSeccion]),ROW(Unidades[selectorSeccion]))),ROW(T22))),"")</f>
        <v/>
      </c>
      <c r="V23" s="50" t="str">
        <f t="array" aca="1" ref="V23" ca="1">IFERROR(INDEX(Unidades[selectorSubSeccion],SMALL(IF(V$1=Unidades[selectorSeccion],MATCH(ROW(Unidades[selectorSeccion]),ROW(Unidades[selectorSeccion]))),ROW(U22))),"")</f>
        <v/>
      </c>
      <c r="W23" s="50" t="str">
        <f t="array" aca="1" ref="W23" ca="1">IFERROR(INDEX(Unidades[selectorSubSeccion],SMALL(IF(W$1=Unidades[selectorSeccion],MATCH(ROW(Unidades[selectorSeccion]),ROW(Unidades[selectorSeccion]))),ROW(V22))),"")</f>
        <v/>
      </c>
      <c r="X23" s="50" t="str">
        <f t="array" aca="1" ref="X23" ca="1">IFERROR(INDEX(Unidades[selectorSubSeccion],SMALL(IF(X$1=Unidades[selectorSeccion],MATCH(ROW(Unidades[selectorSeccion]),ROW(Unidades[selectorSeccion]))),ROW(W22))),"")</f>
        <v/>
      </c>
      <c r="Y23" s="50" t="str">
        <f t="array" aca="1" ref="Y23" ca="1">IFERROR(INDEX(Unidades[selectorSubSeccion],SMALL(IF(Y$1=Unidades[selectorSeccion],MATCH(ROW(Unidades[selectorSeccion]),ROW(Unidades[selectorSeccion]))),ROW(X22))),"")</f>
        <v/>
      </c>
      <c r="Z23" s="50" t="str">
        <f t="array" aca="1" ref="Z23" ca="1">IFERROR(INDEX(Unidades[selectorSubSeccion],SMALL(IF(Z$1=Unidades[selectorSeccion],MATCH(ROW(Unidades[selectorSeccion]),ROW(Unidades[selectorSeccion]))),ROW(Y22))),"")</f>
        <v/>
      </c>
      <c r="AA23" s="50" t="str">
        <f t="array" aca="1" ref="AA23" ca="1">IFERROR(INDEX(Unidades[selectorSubSeccion],SMALL(IF(AA$1=Unidades[selectorSeccion],MATCH(ROW(Unidades[selectorSeccion]),ROW(Unidades[selectorSeccion]))),ROW(Z22))),"")</f>
        <v/>
      </c>
      <c r="AB23" s="50" t="str">
        <f t="array" aca="1" ref="AB23" ca="1">IFERROR(INDEX(Unidades[selectorSubSeccion],SMALL(IF(AB$1=Unidades[selectorSeccion],MATCH(ROW(Unidades[selectorSeccion]),ROW(Unidades[selectorSeccion]))),ROW(AA22))),"")</f>
        <v/>
      </c>
      <c r="AC23" s="50" t="str">
        <f t="array" aca="1" ref="AC23" ca="1">IFERROR(INDEX(Unidades[selectorSubSeccion],SMALL(IF(AC$1=Unidades[selectorSeccion],MATCH(ROW(Unidades[selectorSeccion]),ROW(Unidades[selectorSeccion]))),ROW(AB22))),"")</f>
        <v/>
      </c>
      <c r="AD23" s="50" t="str">
        <f t="array" aca="1" ref="AD23" ca="1">IFERROR(INDEX(Unidades[selectorSubSeccion],SMALL(IF(AD$1=Unidades[selectorSeccion],MATCH(ROW(Unidades[selectorSeccion]),ROW(Unidades[selectorSeccion]))),ROW(AC22))),"")</f>
        <v/>
      </c>
      <c r="AE23" s="50" t="str">
        <f t="array" aca="1" ref="AE23" ca="1">IFERROR(INDEX(Unidades[selectorSubSeccion],SMALL(IF(AE$1=Unidades[selectorSeccion],MATCH(ROW(Unidades[selectorSeccion]),ROW(Unidades[selectorSeccion]))),ROW(AD22))),"")</f>
        <v/>
      </c>
      <c r="AF23" s="50" t="str">
        <f t="array" aca="1" ref="AF23" ca="1">IFERROR(INDEX(Unidades[selectorSubSeccion],SMALL(IF(AF$1=Unidades[selectorSeccion],MATCH(ROW(Unidades[selectorSeccion]),ROW(Unidades[selectorSeccion]))),ROW(AE22))),"")</f>
        <v/>
      </c>
      <c r="AG23" s="50" t="str">
        <f t="array" aca="1" ref="AG23" ca="1">IFERROR(INDEX(Unidades[selectorSubSeccion],SMALL(IF(AG$1=Unidades[selectorSeccion],MATCH(ROW(Unidades[selectorSeccion]),ROW(Unidades[selectorSeccion]))),ROW(AF22))),"")</f>
        <v/>
      </c>
    </row>
    <row r="24" spans="2:33" x14ac:dyDescent="0.3">
      <c r="B24" s="50" t="str">
        <f t="array" aca="1" ref="B24" ca="1">IFERROR(INDEX(Unidades[selectorSubSeccion],SMALL(IF(B$1=Unidades[selectorSeccion],MATCH(ROW(Unidades[selectorSeccion]),ROW(Unidades[selectorSeccion]))),ROW(A23))),"")</f>
        <v/>
      </c>
      <c r="C24" s="50" t="str">
        <f t="array" aca="1" ref="C24" ca="1">IFERROR(INDEX(Unidades[selectorSubSeccion],SMALL(IF(C$1=Unidades[selectorSeccion],MATCH(ROW(Unidades[selectorSeccion]),ROW(Unidades[selectorSeccion]))),ROW(B23))),"")</f>
        <v/>
      </c>
      <c r="D24" s="50" t="str">
        <f t="array" aca="1" ref="D24" ca="1">IFERROR(INDEX(Unidades[selectorSubSeccion],SMALL(IF(D$1=Unidades[selectorSeccion],MATCH(ROW(Unidades[selectorSeccion]),ROW(Unidades[selectorSeccion]))),ROW(C23))),"")</f>
        <v/>
      </c>
      <c r="E24" s="50" t="str">
        <f t="array" aca="1" ref="E24" ca="1">IFERROR(INDEX(Unidades[selectorSubSeccion],SMALL(IF(E$1=Unidades[selectorSeccion],MATCH(ROW(Unidades[selectorSeccion]),ROW(Unidades[selectorSeccion]))),ROW(D23))),"")</f>
        <v/>
      </c>
      <c r="F24" s="50" t="str">
        <f t="array" aca="1" ref="F24" ca="1">IFERROR(INDEX(Unidades[selectorSubSeccion],SMALL(IF(F$1=Unidades[selectorSeccion],MATCH(ROW(Unidades[selectorSeccion]),ROW(Unidades[selectorSeccion]))),ROW(E23))),"")</f>
        <v/>
      </c>
      <c r="G24" s="50" t="str">
        <f t="array" aca="1" ref="G24" ca="1">IFERROR(INDEX(Unidades[selectorSubSeccion],SMALL(IF(G$1=Unidades[selectorSeccion],MATCH(ROW(Unidades[selectorSeccion]),ROW(Unidades[selectorSeccion]))),ROW(F23))),"")</f>
        <v/>
      </c>
      <c r="H24" s="50" t="str">
        <f t="array" aca="1" ref="H24" ca="1">IFERROR(INDEX(Unidades[selectorSubSeccion],SMALL(IF(H$1=Unidades[selectorSeccion],MATCH(ROW(Unidades[selectorSeccion]),ROW(Unidades[selectorSeccion]))),ROW(G23))),"")</f>
        <v/>
      </c>
      <c r="I24" s="50" t="str">
        <f t="array" aca="1" ref="I24" ca="1">IFERROR(INDEX(Unidades[selectorSubSeccion],SMALL(IF(I$1=Unidades[selectorSeccion],MATCH(ROW(Unidades[selectorSeccion]),ROW(Unidades[selectorSeccion]))),ROW(H23))),"")</f>
        <v/>
      </c>
      <c r="J24" s="50" t="str">
        <f t="array" aca="1" ref="J24" ca="1">IFERROR(INDEX(Unidades[selectorSubSeccion],SMALL(IF(J$1=Unidades[selectorSeccion],MATCH(ROW(Unidades[selectorSeccion]),ROW(Unidades[selectorSeccion]))),ROW(I23))),"")</f>
        <v/>
      </c>
      <c r="K24" s="50" t="str">
        <f t="array" aca="1" ref="K24" ca="1">IFERROR(INDEX(Unidades[selectorSubSeccion],SMALL(IF(K$1=Unidades[selectorSeccion],MATCH(ROW(Unidades[selectorSeccion]),ROW(Unidades[selectorSeccion]))),ROW(J23))),"")</f>
        <v/>
      </c>
      <c r="L24" s="50" t="str">
        <f t="array" aca="1" ref="L24" ca="1">IFERROR(INDEX(Unidades[selectorSubSeccion],SMALL(IF(L$1=Unidades[selectorSeccion],MATCH(ROW(Unidades[selectorSeccion]),ROW(Unidades[selectorSeccion]))),ROW(K23))),"")</f>
        <v/>
      </c>
      <c r="M24" s="50" t="str">
        <f t="array" aca="1" ref="M24" ca="1">IFERROR(INDEX(Unidades[selectorSubSeccion],SMALL(IF(M$1=Unidades[selectorSeccion],MATCH(ROW(Unidades[selectorSeccion]),ROW(Unidades[selectorSeccion]))),ROW(L23))),"")</f>
        <v/>
      </c>
      <c r="N24" s="50" t="str">
        <f t="array" aca="1" ref="N24" ca="1">IFERROR(INDEX(Unidades[selectorSubSeccion],SMALL(IF(N$1=Unidades[selectorSeccion],MATCH(ROW(Unidades[selectorSeccion]),ROW(Unidades[selectorSeccion]))),ROW(M23))),"")</f>
        <v/>
      </c>
      <c r="O24" s="50" t="str">
        <f t="array" aca="1" ref="O24" ca="1">IFERROR(INDEX(Unidades[selectorSubSeccion],SMALL(IF(O$1=Unidades[selectorSeccion],MATCH(ROW(Unidades[selectorSeccion]),ROW(Unidades[selectorSeccion]))),ROW(N23))),"")</f>
        <v/>
      </c>
      <c r="P24" s="50" t="str">
        <f t="array" aca="1" ref="P24" ca="1">IFERROR(INDEX(Unidades[selectorSubSeccion],SMALL(IF(P$1=Unidades[selectorSeccion],MATCH(ROW(Unidades[selectorSeccion]),ROW(Unidades[selectorSeccion]))),ROW(O23))),"")</f>
        <v/>
      </c>
      <c r="Q24" s="50" t="str">
        <f t="array" aca="1" ref="Q24" ca="1">IFERROR(INDEX(Unidades[selectorSubSeccion],SMALL(IF(Q$1=Unidades[selectorSeccion],MATCH(ROW(Unidades[selectorSeccion]),ROW(Unidades[selectorSeccion]))),ROW(P23))),"")</f>
        <v/>
      </c>
      <c r="R24" s="50" t="str">
        <f t="array" aca="1" ref="R24" ca="1">IFERROR(INDEX(Unidades[selectorSubSeccion],SMALL(IF(R$1=Unidades[selectorSeccion],MATCH(ROW(Unidades[selectorSeccion]),ROW(Unidades[selectorSeccion]))),ROW(Q23))),"")</f>
        <v/>
      </c>
      <c r="S24" s="50" t="str">
        <f t="array" aca="1" ref="S24" ca="1">IFERROR(INDEX(Unidades[selectorSubSeccion],SMALL(IF(S$1=Unidades[selectorSeccion],MATCH(ROW(Unidades[selectorSeccion]),ROW(Unidades[selectorSeccion]))),ROW(R23))),"")</f>
        <v/>
      </c>
      <c r="T24" s="50" t="str">
        <f t="array" aca="1" ref="T24" ca="1">IFERROR(INDEX(Unidades[selectorSubSeccion],SMALL(IF(T$1=Unidades[selectorSeccion],MATCH(ROW(Unidades[selectorSeccion]),ROW(Unidades[selectorSeccion]))),ROW(S23))),"")</f>
        <v/>
      </c>
      <c r="U24" s="50" t="str">
        <f t="array" aca="1" ref="U24" ca="1">IFERROR(INDEX(Unidades[selectorSubSeccion],SMALL(IF(U$1=Unidades[selectorSeccion],MATCH(ROW(Unidades[selectorSeccion]),ROW(Unidades[selectorSeccion]))),ROW(T23))),"")</f>
        <v/>
      </c>
      <c r="V24" s="50" t="str">
        <f t="array" aca="1" ref="V24" ca="1">IFERROR(INDEX(Unidades[selectorSubSeccion],SMALL(IF(V$1=Unidades[selectorSeccion],MATCH(ROW(Unidades[selectorSeccion]),ROW(Unidades[selectorSeccion]))),ROW(U23))),"")</f>
        <v/>
      </c>
      <c r="W24" s="50" t="str">
        <f t="array" aca="1" ref="W24" ca="1">IFERROR(INDEX(Unidades[selectorSubSeccion],SMALL(IF(W$1=Unidades[selectorSeccion],MATCH(ROW(Unidades[selectorSeccion]),ROW(Unidades[selectorSeccion]))),ROW(V23))),"")</f>
        <v/>
      </c>
      <c r="X24" s="50" t="str">
        <f t="array" aca="1" ref="X24" ca="1">IFERROR(INDEX(Unidades[selectorSubSeccion],SMALL(IF(X$1=Unidades[selectorSeccion],MATCH(ROW(Unidades[selectorSeccion]),ROW(Unidades[selectorSeccion]))),ROW(W23))),"")</f>
        <v/>
      </c>
      <c r="Y24" s="50" t="str">
        <f t="array" aca="1" ref="Y24" ca="1">IFERROR(INDEX(Unidades[selectorSubSeccion],SMALL(IF(Y$1=Unidades[selectorSeccion],MATCH(ROW(Unidades[selectorSeccion]),ROW(Unidades[selectorSeccion]))),ROW(X23))),"")</f>
        <v/>
      </c>
      <c r="Z24" s="50" t="str">
        <f t="array" aca="1" ref="Z24" ca="1">IFERROR(INDEX(Unidades[selectorSubSeccion],SMALL(IF(Z$1=Unidades[selectorSeccion],MATCH(ROW(Unidades[selectorSeccion]),ROW(Unidades[selectorSeccion]))),ROW(Y23))),"")</f>
        <v/>
      </c>
      <c r="AA24" s="50" t="str">
        <f t="array" aca="1" ref="AA24" ca="1">IFERROR(INDEX(Unidades[selectorSubSeccion],SMALL(IF(AA$1=Unidades[selectorSeccion],MATCH(ROW(Unidades[selectorSeccion]),ROW(Unidades[selectorSeccion]))),ROW(Z23))),"")</f>
        <v/>
      </c>
      <c r="AB24" s="50" t="str">
        <f t="array" aca="1" ref="AB24" ca="1">IFERROR(INDEX(Unidades[selectorSubSeccion],SMALL(IF(AB$1=Unidades[selectorSeccion],MATCH(ROW(Unidades[selectorSeccion]),ROW(Unidades[selectorSeccion]))),ROW(AA23))),"")</f>
        <v/>
      </c>
      <c r="AC24" s="50" t="str">
        <f t="array" aca="1" ref="AC24" ca="1">IFERROR(INDEX(Unidades[selectorSubSeccion],SMALL(IF(AC$1=Unidades[selectorSeccion],MATCH(ROW(Unidades[selectorSeccion]),ROW(Unidades[selectorSeccion]))),ROW(AB23))),"")</f>
        <v/>
      </c>
      <c r="AD24" s="50" t="str">
        <f t="array" aca="1" ref="AD24" ca="1">IFERROR(INDEX(Unidades[selectorSubSeccion],SMALL(IF(AD$1=Unidades[selectorSeccion],MATCH(ROW(Unidades[selectorSeccion]),ROW(Unidades[selectorSeccion]))),ROW(AC23))),"")</f>
        <v/>
      </c>
      <c r="AE24" s="50" t="str">
        <f t="array" aca="1" ref="AE24" ca="1">IFERROR(INDEX(Unidades[selectorSubSeccion],SMALL(IF(AE$1=Unidades[selectorSeccion],MATCH(ROW(Unidades[selectorSeccion]),ROW(Unidades[selectorSeccion]))),ROW(AD23))),"")</f>
        <v/>
      </c>
      <c r="AF24" s="50" t="str">
        <f t="array" aca="1" ref="AF24" ca="1">IFERROR(INDEX(Unidades[selectorSubSeccion],SMALL(IF(AF$1=Unidades[selectorSeccion],MATCH(ROW(Unidades[selectorSeccion]),ROW(Unidades[selectorSeccion]))),ROW(AE23))),"")</f>
        <v/>
      </c>
      <c r="AG24" s="50" t="str">
        <f t="array" aca="1" ref="AG24" ca="1">IFERROR(INDEX(Unidades[selectorSubSeccion],SMALL(IF(AG$1=Unidades[selectorSeccion],MATCH(ROW(Unidades[selectorSeccion]),ROW(Unidades[selectorSeccion]))),ROW(AF23))),"")</f>
        <v/>
      </c>
    </row>
    <row r="25" spans="2:33" x14ac:dyDescent="0.3">
      <c r="B25" s="50" t="str">
        <f t="array" aca="1" ref="B25" ca="1">IFERROR(INDEX(Unidades[selectorSubSeccion],SMALL(IF(B$1=Unidades[selectorSeccion],MATCH(ROW(Unidades[selectorSeccion]),ROW(Unidades[selectorSeccion]))),ROW(A24))),"")</f>
        <v/>
      </c>
      <c r="C25" s="50" t="str">
        <f t="array" aca="1" ref="C25" ca="1">IFERROR(INDEX(Unidades[selectorSubSeccion],SMALL(IF(C$1=Unidades[selectorSeccion],MATCH(ROW(Unidades[selectorSeccion]),ROW(Unidades[selectorSeccion]))),ROW(B24))),"")</f>
        <v/>
      </c>
      <c r="D25" s="50" t="str">
        <f t="array" aca="1" ref="D25" ca="1">IFERROR(INDEX(Unidades[selectorSubSeccion],SMALL(IF(D$1=Unidades[selectorSeccion],MATCH(ROW(Unidades[selectorSeccion]),ROW(Unidades[selectorSeccion]))),ROW(C24))),"")</f>
        <v/>
      </c>
      <c r="E25" s="50" t="str">
        <f t="array" aca="1" ref="E25" ca="1">IFERROR(INDEX(Unidades[selectorSubSeccion],SMALL(IF(E$1=Unidades[selectorSeccion],MATCH(ROW(Unidades[selectorSeccion]),ROW(Unidades[selectorSeccion]))),ROW(D24))),"")</f>
        <v/>
      </c>
      <c r="F25" s="50" t="str">
        <f t="array" aca="1" ref="F25" ca="1">IFERROR(INDEX(Unidades[selectorSubSeccion],SMALL(IF(F$1=Unidades[selectorSeccion],MATCH(ROW(Unidades[selectorSeccion]),ROW(Unidades[selectorSeccion]))),ROW(E24))),"")</f>
        <v/>
      </c>
      <c r="G25" s="50" t="str">
        <f t="array" aca="1" ref="G25" ca="1">IFERROR(INDEX(Unidades[selectorSubSeccion],SMALL(IF(G$1=Unidades[selectorSeccion],MATCH(ROW(Unidades[selectorSeccion]),ROW(Unidades[selectorSeccion]))),ROW(F24))),"")</f>
        <v/>
      </c>
      <c r="H25" s="50" t="str">
        <f t="array" aca="1" ref="H25" ca="1">IFERROR(INDEX(Unidades[selectorSubSeccion],SMALL(IF(H$1=Unidades[selectorSeccion],MATCH(ROW(Unidades[selectorSeccion]),ROW(Unidades[selectorSeccion]))),ROW(G24))),"")</f>
        <v/>
      </c>
      <c r="I25" s="50" t="str">
        <f t="array" aca="1" ref="I25" ca="1">IFERROR(INDEX(Unidades[selectorSubSeccion],SMALL(IF(I$1=Unidades[selectorSeccion],MATCH(ROW(Unidades[selectorSeccion]),ROW(Unidades[selectorSeccion]))),ROW(H24))),"")</f>
        <v/>
      </c>
      <c r="J25" s="50" t="str">
        <f t="array" aca="1" ref="J25" ca="1">IFERROR(INDEX(Unidades[selectorSubSeccion],SMALL(IF(J$1=Unidades[selectorSeccion],MATCH(ROW(Unidades[selectorSeccion]),ROW(Unidades[selectorSeccion]))),ROW(I24))),"")</f>
        <v/>
      </c>
      <c r="K25" s="50" t="str">
        <f t="array" aca="1" ref="K25" ca="1">IFERROR(INDEX(Unidades[selectorSubSeccion],SMALL(IF(K$1=Unidades[selectorSeccion],MATCH(ROW(Unidades[selectorSeccion]),ROW(Unidades[selectorSeccion]))),ROW(J24))),"")</f>
        <v/>
      </c>
      <c r="L25" s="50" t="str">
        <f t="array" aca="1" ref="L25" ca="1">IFERROR(INDEX(Unidades[selectorSubSeccion],SMALL(IF(L$1=Unidades[selectorSeccion],MATCH(ROW(Unidades[selectorSeccion]),ROW(Unidades[selectorSeccion]))),ROW(K24))),"")</f>
        <v/>
      </c>
      <c r="M25" s="50" t="str">
        <f t="array" aca="1" ref="M25" ca="1">IFERROR(INDEX(Unidades[selectorSubSeccion],SMALL(IF(M$1=Unidades[selectorSeccion],MATCH(ROW(Unidades[selectorSeccion]),ROW(Unidades[selectorSeccion]))),ROW(L24))),"")</f>
        <v/>
      </c>
      <c r="N25" s="50" t="str">
        <f t="array" aca="1" ref="N25" ca="1">IFERROR(INDEX(Unidades[selectorSubSeccion],SMALL(IF(N$1=Unidades[selectorSeccion],MATCH(ROW(Unidades[selectorSeccion]),ROW(Unidades[selectorSeccion]))),ROW(M24))),"")</f>
        <v/>
      </c>
      <c r="O25" s="50" t="str">
        <f t="array" aca="1" ref="O25" ca="1">IFERROR(INDEX(Unidades[selectorSubSeccion],SMALL(IF(O$1=Unidades[selectorSeccion],MATCH(ROW(Unidades[selectorSeccion]),ROW(Unidades[selectorSeccion]))),ROW(N24))),"")</f>
        <v/>
      </c>
      <c r="P25" s="50" t="str">
        <f t="array" aca="1" ref="P25" ca="1">IFERROR(INDEX(Unidades[selectorSubSeccion],SMALL(IF(P$1=Unidades[selectorSeccion],MATCH(ROW(Unidades[selectorSeccion]),ROW(Unidades[selectorSeccion]))),ROW(O24))),"")</f>
        <v/>
      </c>
      <c r="Q25" s="50" t="str">
        <f t="array" aca="1" ref="Q25" ca="1">IFERROR(INDEX(Unidades[selectorSubSeccion],SMALL(IF(Q$1=Unidades[selectorSeccion],MATCH(ROW(Unidades[selectorSeccion]),ROW(Unidades[selectorSeccion]))),ROW(P24))),"")</f>
        <v/>
      </c>
      <c r="R25" s="50" t="str">
        <f t="array" aca="1" ref="R25" ca="1">IFERROR(INDEX(Unidades[selectorSubSeccion],SMALL(IF(R$1=Unidades[selectorSeccion],MATCH(ROW(Unidades[selectorSeccion]),ROW(Unidades[selectorSeccion]))),ROW(Q24))),"")</f>
        <v/>
      </c>
      <c r="S25" s="50" t="str">
        <f t="array" aca="1" ref="S25" ca="1">IFERROR(INDEX(Unidades[selectorSubSeccion],SMALL(IF(S$1=Unidades[selectorSeccion],MATCH(ROW(Unidades[selectorSeccion]),ROW(Unidades[selectorSeccion]))),ROW(R24))),"")</f>
        <v/>
      </c>
      <c r="T25" s="50" t="str">
        <f t="array" aca="1" ref="T25" ca="1">IFERROR(INDEX(Unidades[selectorSubSeccion],SMALL(IF(T$1=Unidades[selectorSeccion],MATCH(ROW(Unidades[selectorSeccion]),ROW(Unidades[selectorSeccion]))),ROW(S24))),"")</f>
        <v/>
      </c>
      <c r="U25" s="50" t="str">
        <f t="array" aca="1" ref="U25" ca="1">IFERROR(INDEX(Unidades[selectorSubSeccion],SMALL(IF(U$1=Unidades[selectorSeccion],MATCH(ROW(Unidades[selectorSeccion]),ROW(Unidades[selectorSeccion]))),ROW(T24))),"")</f>
        <v/>
      </c>
      <c r="V25" s="50" t="str">
        <f t="array" aca="1" ref="V25" ca="1">IFERROR(INDEX(Unidades[selectorSubSeccion],SMALL(IF(V$1=Unidades[selectorSeccion],MATCH(ROW(Unidades[selectorSeccion]),ROW(Unidades[selectorSeccion]))),ROW(U24))),"")</f>
        <v/>
      </c>
      <c r="W25" s="50" t="str">
        <f t="array" aca="1" ref="W25" ca="1">IFERROR(INDEX(Unidades[selectorSubSeccion],SMALL(IF(W$1=Unidades[selectorSeccion],MATCH(ROW(Unidades[selectorSeccion]),ROW(Unidades[selectorSeccion]))),ROW(V24))),"")</f>
        <v/>
      </c>
      <c r="X25" s="50" t="str">
        <f t="array" aca="1" ref="X25" ca="1">IFERROR(INDEX(Unidades[selectorSubSeccion],SMALL(IF(X$1=Unidades[selectorSeccion],MATCH(ROW(Unidades[selectorSeccion]),ROW(Unidades[selectorSeccion]))),ROW(W24))),"")</f>
        <v/>
      </c>
      <c r="Y25" s="50" t="str">
        <f t="array" aca="1" ref="Y25" ca="1">IFERROR(INDEX(Unidades[selectorSubSeccion],SMALL(IF(Y$1=Unidades[selectorSeccion],MATCH(ROW(Unidades[selectorSeccion]),ROW(Unidades[selectorSeccion]))),ROW(X24))),"")</f>
        <v/>
      </c>
      <c r="Z25" s="50" t="str">
        <f t="array" aca="1" ref="Z25" ca="1">IFERROR(INDEX(Unidades[selectorSubSeccion],SMALL(IF(Z$1=Unidades[selectorSeccion],MATCH(ROW(Unidades[selectorSeccion]),ROW(Unidades[selectorSeccion]))),ROW(Y24))),"")</f>
        <v/>
      </c>
      <c r="AA25" s="50" t="str">
        <f t="array" aca="1" ref="AA25" ca="1">IFERROR(INDEX(Unidades[selectorSubSeccion],SMALL(IF(AA$1=Unidades[selectorSeccion],MATCH(ROW(Unidades[selectorSeccion]),ROW(Unidades[selectorSeccion]))),ROW(Z24))),"")</f>
        <v/>
      </c>
      <c r="AB25" s="50" t="str">
        <f t="array" aca="1" ref="AB25" ca="1">IFERROR(INDEX(Unidades[selectorSubSeccion],SMALL(IF(AB$1=Unidades[selectorSeccion],MATCH(ROW(Unidades[selectorSeccion]),ROW(Unidades[selectorSeccion]))),ROW(AA24))),"")</f>
        <v/>
      </c>
      <c r="AC25" s="50" t="str">
        <f t="array" aca="1" ref="AC25" ca="1">IFERROR(INDEX(Unidades[selectorSubSeccion],SMALL(IF(AC$1=Unidades[selectorSeccion],MATCH(ROW(Unidades[selectorSeccion]),ROW(Unidades[selectorSeccion]))),ROW(AB24))),"")</f>
        <v/>
      </c>
      <c r="AD25" s="50" t="str">
        <f t="array" aca="1" ref="AD25" ca="1">IFERROR(INDEX(Unidades[selectorSubSeccion],SMALL(IF(AD$1=Unidades[selectorSeccion],MATCH(ROW(Unidades[selectorSeccion]),ROW(Unidades[selectorSeccion]))),ROW(AC24))),"")</f>
        <v/>
      </c>
      <c r="AE25" s="50" t="str">
        <f t="array" aca="1" ref="AE25" ca="1">IFERROR(INDEX(Unidades[selectorSubSeccion],SMALL(IF(AE$1=Unidades[selectorSeccion],MATCH(ROW(Unidades[selectorSeccion]),ROW(Unidades[selectorSeccion]))),ROW(AD24))),"")</f>
        <v/>
      </c>
      <c r="AF25" s="50" t="str">
        <f t="array" aca="1" ref="AF25" ca="1">IFERROR(INDEX(Unidades[selectorSubSeccion],SMALL(IF(AF$1=Unidades[selectorSeccion],MATCH(ROW(Unidades[selectorSeccion]),ROW(Unidades[selectorSeccion]))),ROW(AE24))),"")</f>
        <v/>
      </c>
      <c r="AG25" s="50" t="str">
        <f t="array" aca="1" ref="AG25" ca="1">IFERROR(INDEX(Unidades[selectorSubSeccion],SMALL(IF(AG$1=Unidades[selectorSeccion],MATCH(ROW(Unidades[selectorSeccion]),ROW(Unidades[selectorSeccion]))),ROW(AF24))),"")</f>
        <v/>
      </c>
    </row>
    <row r="26" spans="2:33" x14ac:dyDescent="0.3">
      <c r="B26" s="50" t="str">
        <f t="array" aca="1" ref="B26" ca="1">IFERROR(INDEX(Unidades[selectorSubSeccion],SMALL(IF(B$1=Unidades[selectorSeccion],MATCH(ROW(Unidades[selectorSeccion]),ROW(Unidades[selectorSeccion]))),ROW(A25))),"")</f>
        <v/>
      </c>
      <c r="C26" s="50" t="str">
        <f t="array" aca="1" ref="C26" ca="1">IFERROR(INDEX(Unidades[selectorSubSeccion],SMALL(IF(C$1=Unidades[selectorSeccion],MATCH(ROW(Unidades[selectorSeccion]),ROW(Unidades[selectorSeccion]))),ROW(B25))),"")</f>
        <v/>
      </c>
      <c r="D26" s="50" t="str">
        <f t="array" aca="1" ref="D26" ca="1">IFERROR(INDEX(Unidades[selectorSubSeccion],SMALL(IF(D$1=Unidades[selectorSeccion],MATCH(ROW(Unidades[selectorSeccion]),ROW(Unidades[selectorSeccion]))),ROW(C25))),"")</f>
        <v/>
      </c>
      <c r="E26" s="50" t="str">
        <f t="array" aca="1" ref="E26" ca="1">IFERROR(INDEX(Unidades[selectorSubSeccion],SMALL(IF(E$1=Unidades[selectorSeccion],MATCH(ROW(Unidades[selectorSeccion]),ROW(Unidades[selectorSeccion]))),ROW(D25))),"")</f>
        <v/>
      </c>
      <c r="F26" s="50" t="str">
        <f t="array" aca="1" ref="F26" ca="1">IFERROR(INDEX(Unidades[selectorSubSeccion],SMALL(IF(F$1=Unidades[selectorSeccion],MATCH(ROW(Unidades[selectorSeccion]),ROW(Unidades[selectorSeccion]))),ROW(E25))),"")</f>
        <v/>
      </c>
      <c r="G26" s="50" t="str">
        <f t="array" aca="1" ref="G26" ca="1">IFERROR(INDEX(Unidades[selectorSubSeccion],SMALL(IF(G$1=Unidades[selectorSeccion],MATCH(ROW(Unidades[selectorSeccion]),ROW(Unidades[selectorSeccion]))),ROW(F25))),"")</f>
        <v/>
      </c>
      <c r="H26" s="50" t="str">
        <f t="array" aca="1" ref="H26" ca="1">IFERROR(INDEX(Unidades[selectorSubSeccion],SMALL(IF(H$1=Unidades[selectorSeccion],MATCH(ROW(Unidades[selectorSeccion]),ROW(Unidades[selectorSeccion]))),ROW(G25))),"")</f>
        <v/>
      </c>
      <c r="I26" s="50" t="str">
        <f t="array" aca="1" ref="I26" ca="1">IFERROR(INDEX(Unidades[selectorSubSeccion],SMALL(IF(I$1=Unidades[selectorSeccion],MATCH(ROW(Unidades[selectorSeccion]),ROW(Unidades[selectorSeccion]))),ROW(H25))),"")</f>
        <v/>
      </c>
      <c r="J26" s="50" t="str">
        <f t="array" aca="1" ref="J26" ca="1">IFERROR(INDEX(Unidades[selectorSubSeccion],SMALL(IF(J$1=Unidades[selectorSeccion],MATCH(ROW(Unidades[selectorSeccion]),ROW(Unidades[selectorSeccion]))),ROW(I25))),"")</f>
        <v/>
      </c>
      <c r="K26" s="50" t="str">
        <f t="array" aca="1" ref="K26" ca="1">IFERROR(INDEX(Unidades[selectorSubSeccion],SMALL(IF(K$1=Unidades[selectorSeccion],MATCH(ROW(Unidades[selectorSeccion]),ROW(Unidades[selectorSeccion]))),ROW(J25))),"")</f>
        <v/>
      </c>
      <c r="L26" s="50" t="str">
        <f t="array" aca="1" ref="L26" ca="1">IFERROR(INDEX(Unidades[selectorSubSeccion],SMALL(IF(L$1=Unidades[selectorSeccion],MATCH(ROW(Unidades[selectorSeccion]),ROW(Unidades[selectorSeccion]))),ROW(K25))),"")</f>
        <v/>
      </c>
      <c r="M26" s="50" t="str">
        <f t="array" aca="1" ref="M26" ca="1">IFERROR(INDEX(Unidades[selectorSubSeccion],SMALL(IF(M$1=Unidades[selectorSeccion],MATCH(ROW(Unidades[selectorSeccion]),ROW(Unidades[selectorSeccion]))),ROW(L25))),"")</f>
        <v/>
      </c>
      <c r="N26" s="50" t="str">
        <f t="array" aca="1" ref="N26" ca="1">IFERROR(INDEX(Unidades[selectorSubSeccion],SMALL(IF(N$1=Unidades[selectorSeccion],MATCH(ROW(Unidades[selectorSeccion]),ROW(Unidades[selectorSeccion]))),ROW(M25))),"")</f>
        <v/>
      </c>
      <c r="O26" s="50" t="str">
        <f t="array" aca="1" ref="O26" ca="1">IFERROR(INDEX(Unidades[selectorSubSeccion],SMALL(IF(O$1=Unidades[selectorSeccion],MATCH(ROW(Unidades[selectorSeccion]),ROW(Unidades[selectorSeccion]))),ROW(N25))),"")</f>
        <v/>
      </c>
      <c r="P26" s="50" t="str">
        <f t="array" aca="1" ref="P26" ca="1">IFERROR(INDEX(Unidades[selectorSubSeccion],SMALL(IF(P$1=Unidades[selectorSeccion],MATCH(ROW(Unidades[selectorSeccion]),ROW(Unidades[selectorSeccion]))),ROW(O25))),"")</f>
        <v/>
      </c>
      <c r="Q26" s="50" t="str">
        <f t="array" aca="1" ref="Q26" ca="1">IFERROR(INDEX(Unidades[selectorSubSeccion],SMALL(IF(Q$1=Unidades[selectorSeccion],MATCH(ROW(Unidades[selectorSeccion]),ROW(Unidades[selectorSeccion]))),ROW(P25))),"")</f>
        <v/>
      </c>
      <c r="R26" s="50" t="str">
        <f t="array" aca="1" ref="R26" ca="1">IFERROR(INDEX(Unidades[selectorSubSeccion],SMALL(IF(R$1=Unidades[selectorSeccion],MATCH(ROW(Unidades[selectorSeccion]),ROW(Unidades[selectorSeccion]))),ROW(Q25))),"")</f>
        <v/>
      </c>
      <c r="S26" s="50" t="str">
        <f t="array" aca="1" ref="S26" ca="1">IFERROR(INDEX(Unidades[selectorSubSeccion],SMALL(IF(S$1=Unidades[selectorSeccion],MATCH(ROW(Unidades[selectorSeccion]),ROW(Unidades[selectorSeccion]))),ROW(R25))),"")</f>
        <v/>
      </c>
      <c r="T26" s="50" t="str">
        <f t="array" aca="1" ref="T26" ca="1">IFERROR(INDEX(Unidades[selectorSubSeccion],SMALL(IF(T$1=Unidades[selectorSeccion],MATCH(ROW(Unidades[selectorSeccion]),ROW(Unidades[selectorSeccion]))),ROW(S25))),"")</f>
        <v/>
      </c>
      <c r="U26" s="50" t="str">
        <f t="array" aca="1" ref="U26" ca="1">IFERROR(INDEX(Unidades[selectorSubSeccion],SMALL(IF(U$1=Unidades[selectorSeccion],MATCH(ROW(Unidades[selectorSeccion]),ROW(Unidades[selectorSeccion]))),ROW(T25))),"")</f>
        <v/>
      </c>
      <c r="V26" s="50" t="str">
        <f t="array" aca="1" ref="V26" ca="1">IFERROR(INDEX(Unidades[selectorSubSeccion],SMALL(IF(V$1=Unidades[selectorSeccion],MATCH(ROW(Unidades[selectorSeccion]),ROW(Unidades[selectorSeccion]))),ROW(U25))),"")</f>
        <v/>
      </c>
      <c r="W26" s="50" t="str">
        <f t="array" aca="1" ref="W26" ca="1">IFERROR(INDEX(Unidades[selectorSubSeccion],SMALL(IF(W$1=Unidades[selectorSeccion],MATCH(ROW(Unidades[selectorSeccion]),ROW(Unidades[selectorSeccion]))),ROW(V25))),"")</f>
        <v/>
      </c>
      <c r="X26" s="50" t="str">
        <f t="array" aca="1" ref="X26" ca="1">IFERROR(INDEX(Unidades[selectorSubSeccion],SMALL(IF(X$1=Unidades[selectorSeccion],MATCH(ROW(Unidades[selectorSeccion]),ROW(Unidades[selectorSeccion]))),ROW(W25))),"")</f>
        <v/>
      </c>
      <c r="Y26" s="50" t="str">
        <f t="array" aca="1" ref="Y26" ca="1">IFERROR(INDEX(Unidades[selectorSubSeccion],SMALL(IF(Y$1=Unidades[selectorSeccion],MATCH(ROW(Unidades[selectorSeccion]),ROW(Unidades[selectorSeccion]))),ROW(X25))),"")</f>
        <v/>
      </c>
      <c r="Z26" s="50" t="str">
        <f t="array" aca="1" ref="Z26" ca="1">IFERROR(INDEX(Unidades[selectorSubSeccion],SMALL(IF(Z$1=Unidades[selectorSeccion],MATCH(ROW(Unidades[selectorSeccion]),ROW(Unidades[selectorSeccion]))),ROW(Y25))),"")</f>
        <v/>
      </c>
      <c r="AA26" s="50" t="str">
        <f t="array" aca="1" ref="AA26" ca="1">IFERROR(INDEX(Unidades[selectorSubSeccion],SMALL(IF(AA$1=Unidades[selectorSeccion],MATCH(ROW(Unidades[selectorSeccion]),ROW(Unidades[selectorSeccion]))),ROW(Z25))),"")</f>
        <v/>
      </c>
      <c r="AB26" s="50" t="str">
        <f t="array" aca="1" ref="AB26" ca="1">IFERROR(INDEX(Unidades[selectorSubSeccion],SMALL(IF(AB$1=Unidades[selectorSeccion],MATCH(ROW(Unidades[selectorSeccion]),ROW(Unidades[selectorSeccion]))),ROW(AA25))),"")</f>
        <v/>
      </c>
      <c r="AC26" s="50" t="str">
        <f t="array" aca="1" ref="AC26" ca="1">IFERROR(INDEX(Unidades[selectorSubSeccion],SMALL(IF(AC$1=Unidades[selectorSeccion],MATCH(ROW(Unidades[selectorSeccion]),ROW(Unidades[selectorSeccion]))),ROW(AB25))),"")</f>
        <v/>
      </c>
      <c r="AD26" s="50" t="str">
        <f t="array" aca="1" ref="AD26" ca="1">IFERROR(INDEX(Unidades[selectorSubSeccion],SMALL(IF(AD$1=Unidades[selectorSeccion],MATCH(ROW(Unidades[selectorSeccion]),ROW(Unidades[selectorSeccion]))),ROW(AC25))),"")</f>
        <v/>
      </c>
      <c r="AE26" s="50" t="str">
        <f t="array" aca="1" ref="AE26" ca="1">IFERROR(INDEX(Unidades[selectorSubSeccion],SMALL(IF(AE$1=Unidades[selectorSeccion],MATCH(ROW(Unidades[selectorSeccion]),ROW(Unidades[selectorSeccion]))),ROW(AD25))),"")</f>
        <v/>
      </c>
      <c r="AF26" s="50" t="str">
        <f t="array" aca="1" ref="AF26" ca="1">IFERROR(INDEX(Unidades[selectorSubSeccion],SMALL(IF(AF$1=Unidades[selectorSeccion],MATCH(ROW(Unidades[selectorSeccion]),ROW(Unidades[selectorSeccion]))),ROW(AE25))),"")</f>
        <v/>
      </c>
      <c r="AG26" s="50" t="str">
        <f t="array" aca="1" ref="AG26" ca="1">IFERROR(INDEX(Unidades[selectorSubSeccion],SMALL(IF(AG$1=Unidades[selectorSeccion],MATCH(ROW(Unidades[selectorSeccion]),ROW(Unidades[selectorSeccion]))),ROW(AF25))),"")</f>
        <v/>
      </c>
    </row>
    <row r="27" spans="2:33" x14ac:dyDescent="0.3">
      <c r="B27" s="50" t="str">
        <f t="array" aca="1" ref="B27" ca="1">IFERROR(INDEX(Unidades[selectorSubSeccion],SMALL(IF(B$1=Unidades[selectorSeccion],MATCH(ROW(Unidades[selectorSeccion]),ROW(Unidades[selectorSeccion]))),ROW(A26))),"")</f>
        <v/>
      </c>
      <c r="C27" s="50" t="str">
        <f t="array" aca="1" ref="C27" ca="1">IFERROR(INDEX(Unidades[selectorSubSeccion],SMALL(IF(C$1=Unidades[selectorSeccion],MATCH(ROW(Unidades[selectorSeccion]),ROW(Unidades[selectorSeccion]))),ROW(B26))),"")</f>
        <v/>
      </c>
      <c r="D27" s="50" t="str">
        <f t="array" aca="1" ref="D27" ca="1">IFERROR(INDEX(Unidades[selectorSubSeccion],SMALL(IF(D$1=Unidades[selectorSeccion],MATCH(ROW(Unidades[selectorSeccion]),ROW(Unidades[selectorSeccion]))),ROW(C26))),"")</f>
        <v/>
      </c>
      <c r="E27" s="50" t="str">
        <f t="array" aca="1" ref="E27" ca="1">IFERROR(INDEX(Unidades[selectorSubSeccion],SMALL(IF(E$1=Unidades[selectorSeccion],MATCH(ROW(Unidades[selectorSeccion]),ROW(Unidades[selectorSeccion]))),ROW(D26))),"")</f>
        <v/>
      </c>
      <c r="F27" s="50" t="str">
        <f t="array" aca="1" ref="F27" ca="1">IFERROR(INDEX(Unidades[selectorSubSeccion],SMALL(IF(F$1=Unidades[selectorSeccion],MATCH(ROW(Unidades[selectorSeccion]),ROW(Unidades[selectorSeccion]))),ROW(E26))),"")</f>
        <v/>
      </c>
      <c r="G27" s="50" t="str">
        <f t="array" aca="1" ref="G27" ca="1">IFERROR(INDEX(Unidades[selectorSubSeccion],SMALL(IF(G$1=Unidades[selectorSeccion],MATCH(ROW(Unidades[selectorSeccion]),ROW(Unidades[selectorSeccion]))),ROW(F26))),"")</f>
        <v/>
      </c>
      <c r="H27" s="50" t="str">
        <f t="array" aca="1" ref="H27" ca="1">IFERROR(INDEX(Unidades[selectorSubSeccion],SMALL(IF(H$1=Unidades[selectorSeccion],MATCH(ROW(Unidades[selectorSeccion]),ROW(Unidades[selectorSeccion]))),ROW(G26))),"")</f>
        <v/>
      </c>
      <c r="I27" s="50" t="str">
        <f t="array" aca="1" ref="I27" ca="1">IFERROR(INDEX(Unidades[selectorSubSeccion],SMALL(IF(I$1=Unidades[selectorSeccion],MATCH(ROW(Unidades[selectorSeccion]),ROW(Unidades[selectorSeccion]))),ROW(H26))),"")</f>
        <v/>
      </c>
      <c r="J27" s="50" t="str">
        <f t="array" aca="1" ref="J27" ca="1">IFERROR(INDEX(Unidades[selectorSubSeccion],SMALL(IF(J$1=Unidades[selectorSeccion],MATCH(ROW(Unidades[selectorSeccion]),ROW(Unidades[selectorSeccion]))),ROW(I26))),"")</f>
        <v/>
      </c>
      <c r="K27" s="50" t="str">
        <f t="array" aca="1" ref="K27" ca="1">IFERROR(INDEX(Unidades[selectorSubSeccion],SMALL(IF(K$1=Unidades[selectorSeccion],MATCH(ROW(Unidades[selectorSeccion]),ROW(Unidades[selectorSeccion]))),ROW(J26))),"")</f>
        <v/>
      </c>
      <c r="L27" s="50" t="str">
        <f t="array" aca="1" ref="L27" ca="1">IFERROR(INDEX(Unidades[selectorSubSeccion],SMALL(IF(L$1=Unidades[selectorSeccion],MATCH(ROW(Unidades[selectorSeccion]),ROW(Unidades[selectorSeccion]))),ROW(K26))),"")</f>
        <v/>
      </c>
      <c r="M27" s="50" t="str">
        <f t="array" aca="1" ref="M27" ca="1">IFERROR(INDEX(Unidades[selectorSubSeccion],SMALL(IF(M$1=Unidades[selectorSeccion],MATCH(ROW(Unidades[selectorSeccion]),ROW(Unidades[selectorSeccion]))),ROW(L26))),"")</f>
        <v/>
      </c>
      <c r="N27" s="50" t="str">
        <f t="array" aca="1" ref="N27" ca="1">IFERROR(INDEX(Unidades[selectorSubSeccion],SMALL(IF(N$1=Unidades[selectorSeccion],MATCH(ROW(Unidades[selectorSeccion]),ROW(Unidades[selectorSeccion]))),ROW(M26))),"")</f>
        <v/>
      </c>
      <c r="O27" s="50" t="str">
        <f t="array" aca="1" ref="O27" ca="1">IFERROR(INDEX(Unidades[selectorSubSeccion],SMALL(IF(O$1=Unidades[selectorSeccion],MATCH(ROW(Unidades[selectorSeccion]),ROW(Unidades[selectorSeccion]))),ROW(N26))),"")</f>
        <v/>
      </c>
      <c r="P27" s="50" t="str">
        <f t="array" aca="1" ref="P27" ca="1">IFERROR(INDEX(Unidades[selectorSubSeccion],SMALL(IF(P$1=Unidades[selectorSeccion],MATCH(ROW(Unidades[selectorSeccion]),ROW(Unidades[selectorSeccion]))),ROW(O26))),"")</f>
        <v/>
      </c>
      <c r="Q27" s="50" t="str">
        <f t="array" aca="1" ref="Q27" ca="1">IFERROR(INDEX(Unidades[selectorSubSeccion],SMALL(IF(Q$1=Unidades[selectorSeccion],MATCH(ROW(Unidades[selectorSeccion]),ROW(Unidades[selectorSeccion]))),ROW(P26))),"")</f>
        <v/>
      </c>
      <c r="R27" s="50" t="str">
        <f t="array" aca="1" ref="R27" ca="1">IFERROR(INDEX(Unidades[selectorSubSeccion],SMALL(IF(R$1=Unidades[selectorSeccion],MATCH(ROW(Unidades[selectorSeccion]),ROW(Unidades[selectorSeccion]))),ROW(Q26))),"")</f>
        <v/>
      </c>
      <c r="S27" s="50" t="str">
        <f t="array" aca="1" ref="S27" ca="1">IFERROR(INDEX(Unidades[selectorSubSeccion],SMALL(IF(S$1=Unidades[selectorSeccion],MATCH(ROW(Unidades[selectorSeccion]),ROW(Unidades[selectorSeccion]))),ROW(R26))),"")</f>
        <v/>
      </c>
      <c r="T27" s="50" t="str">
        <f t="array" aca="1" ref="T27" ca="1">IFERROR(INDEX(Unidades[selectorSubSeccion],SMALL(IF(T$1=Unidades[selectorSeccion],MATCH(ROW(Unidades[selectorSeccion]),ROW(Unidades[selectorSeccion]))),ROW(S26))),"")</f>
        <v/>
      </c>
      <c r="U27" s="50" t="str">
        <f t="array" aca="1" ref="U27" ca="1">IFERROR(INDEX(Unidades[selectorSubSeccion],SMALL(IF(U$1=Unidades[selectorSeccion],MATCH(ROW(Unidades[selectorSeccion]),ROW(Unidades[selectorSeccion]))),ROW(T26))),"")</f>
        <v/>
      </c>
      <c r="V27" s="50" t="str">
        <f t="array" aca="1" ref="V27" ca="1">IFERROR(INDEX(Unidades[selectorSubSeccion],SMALL(IF(V$1=Unidades[selectorSeccion],MATCH(ROW(Unidades[selectorSeccion]),ROW(Unidades[selectorSeccion]))),ROW(U26))),"")</f>
        <v/>
      </c>
      <c r="W27" s="50" t="str">
        <f t="array" aca="1" ref="W27" ca="1">IFERROR(INDEX(Unidades[selectorSubSeccion],SMALL(IF(W$1=Unidades[selectorSeccion],MATCH(ROW(Unidades[selectorSeccion]),ROW(Unidades[selectorSeccion]))),ROW(V26))),"")</f>
        <v/>
      </c>
      <c r="X27" s="50" t="str">
        <f t="array" aca="1" ref="X27" ca="1">IFERROR(INDEX(Unidades[selectorSubSeccion],SMALL(IF(X$1=Unidades[selectorSeccion],MATCH(ROW(Unidades[selectorSeccion]),ROW(Unidades[selectorSeccion]))),ROW(W26))),"")</f>
        <v/>
      </c>
      <c r="Y27" s="50" t="str">
        <f t="array" aca="1" ref="Y27" ca="1">IFERROR(INDEX(Unidades[selectorSubSeccion],SMALL(IF(Y$1=Unidades[selectorSeccion],MATCH(ROW(Unidades[selectorSeccion]),ROW(Unidades[selectorSeccion]))),ROW(X26))),"")</f>
        <v/>
      </c>
      <c r="Z27" s="50" t="str">
        <f t="array" aca="1" ref="Z27" ca="1">IFERROR(INDEX(Unidades[selectorSubSeccion],SMALL(IF(Z$1=Unidades[selectorSeccion],MATCH(ROW(Unidades[selectorSeccion]),ROW(Unidades[selectorSeccion]))),ROW(Y26))),"")</f>
        <v/>
      </c>
      <c r="AA27" s="50" t="str">
        <f t="array" aca="1" ref="AA27" ca="1">IFERROR(INDEX(Unidades[selectorSubSeccion],SMALL(IF(AA$1=Unidades[selectorSeccion],MATCH(ROW(Unidades[selectorSeccion]),ROW(Unidades[selectorSeccion]))),ROW(Z26))),"")</f>
        <v/>
      </c>
      <c r="AB27" s="50" t="str">
        <f t="array" aca="1" ref="AB27" ca="1">IFERROR(INDEX(Unidades[selectorSubSeccion],SMALL(IF(AB$1=Unidades[selectorSeccion],MATCH(ROW(Unidades[selectorSeccion]),ROW(Unidades[selectorSeccion]))),ROW(AA26))),"")</f>
        <v/>
      </c>
      <c r="AC27" s="50" t="str">
        <f t="array" aca="1" ref="AC27" ca="1">IFERROR(INDEX(Unidades[selectorSubSeccion],SMALL(IF(AC$1=Unidades[selectorSeccion],MATCH(ROW(Unidades[selectorSeccion]),ROW(Unidades[selectorSeccion]))),ROW(AB26))),"")</f>
        <v/>
      </c>
      <c r="AD27" s="50" t="str">
        <f t="array" aca="1" ref="AD27" ca="1">IFERROR(INDEX(Unidades[selectorSubSeccion],SMALL(IF(AD$1=Unidades[selectorSeccion],MATCH(ROW(Unidades[selectorSeccion]),ROW(Unidades[selectorSeccion]))),ROW(AC26))),"")</f>
        <v/>
      </c>
      <c r="AE27" s="50" t="str">
        <f t="array" aca="1" ref="AE27" ca="1">IFERROR(INDEX(Unidades[selectorSubSeccion],SMALL(IF(AE$1=Unidades[selectorSeccion],MATCH(ROW(Unidades[selectorSeccion]),ROW(Unidades[selectorSeccion]))),ROW(AD26))),"")</f>
        <v/>
      </c>
      <c r="AF27" s="50" t="str">
        <f t="array" aca="1" ref="AF27" ca="1">IFERROR(INDEX(Unidades[selectorSubSeccion],SMALL(IF(AF$1=Unidades[selectorSeccion],MATCH(ROW(Unidades[selectorSeccion]),ROW(Unidades[selectorSeccion]))),ROW(AE26))),"")</f>
        <v/>
      </c>
      <c r="AG27" s="50" t="str">
        <f t="array" aca="1" ref="AG27" ca="1">IFERROR(INDEX(Unidades[selectorSubSeccion],SMALL(IF(AG$1=Unidades[selectorSeccion],MATCH(ROW(Unidades[selectorSeccion]),ROW(Unidades[selectorSeccion]))),ROW(AF26))),"")</f>
        <v/>
      </c>
    </row>
    <row r="28" spans="2:33" x14ac:dyDescent="0.3">
      <c r="B28" s="50" t="str">
        <f t="array" aca="1" ref="B28" ca="1">IFERROR(INDEX(Unidades[selectorSubSeccion],SMALL(IF(B$1=Unidades[selectorSeccion],MATCH(ROW(Unidades[selectorSeccion]),ROW(Unidades[selectorSeccion]))),ROW(A27))),"")</f>
        <v/>
      </c>
      <c r="C28" s="50" t="str">
        <f t="array" aca="1" ref="C28" ca="1">IFERROR(INDEX(Unidades[selectorSubSeccion],SMALL(IF(C$1=Unidades[selectorSeccion],MATCH(ROW(Unidades[selectorSeccion]),ROW(Unidades[selectorSeccion]))),ROW(B27))),"")</f>
        <v/>
      </c>
      <c r="D28" s="50" t="str">
        <f t="array" aca="1" ref="D28" ca="1">IFERROR(INDEX(Unidades[selectorSubSeccion],SMALL(IF(D$1=Unidades[selectorSeccion],MATCH(ROW(Unidades[selectorSeccion]),ROW(Unidades[selectorSeccion]))),ROW(C27))),"")</f>
        <v/>
      </c>
      <c r="E28" s="50" t="str">
        <f t="array" aca="1" ref="E28" ca="1">IFERROR(INDEX(Unidades[selectorSubSeccion],SMALL(IF(E$1=Unidades[selectorSeccion],MATCH(ROW(Unidades[selectorSeccion]),ROW(Unidades[selectorSeccion]))),ROW(D27))),"")</f>
        <v/>
      </c>
      <c r="F28" s="50" t="str">
        <f t="array" aca="1" ref="F28" ca="1">IFERROR(INDEX(Unidades[selectorSubSeccion],SMALL(IF(F$1=Unidades[selectorSeccion],MATCH(ROW(Unidades[selectorSeccion]),ROW(Unidades[selectorSeccion]))),ROW(E27))),"")</f>
        <v/>
      </c>
      <c r="G28" s="50" t="str">
        <f t="array" aca="1" ref="G28" ca="1">IFERROR(INDEX(Unidades[selectorSubSeccion],SMALL(IF(G$1=Unidades[selectorSeccion],MATCH(ROW(Unidades[selectorSeccion]),ROW(Unidades[selectorSeccion]))),ROW(F27))),"")</f>
        <v/>
      </c>
      <c r="H28" s="50" t="str">
        <f t="array" aca="1" ref="H28" ca="1">IFERROR(INDEX(Unidades[selectorSubSeccion],SMALL(IF(H$1=Unidades[selectorSeccion],MATCH(ROW(Unidades[selectorSeccion]),ROW(Unidades[selectorSeccion]))),ROW(G27))),"")</f>
        <v/>
      </c>
      <c r="I28" s="50" t="str">
        <f t="array" aca="1" ref="I28" ca="1">IFERROR(INDEX(Unidades[selectorSubSeccion],SMALL(IF(I$1=Unidades[selectorSeccion],MATCH(ROW(Unidades[selectorSeccion]),ROW(Unidades[selectorSeccion]))),ROW(H27))),"")</f>
        <v/>
      </c>
      <c r="J28" s="50" t="str">
        <f t="array" aca="1" ref="J28" ca="1">IFERROR(INDEX(Unidades[selectorSubSeccion],SMALL(IF(J$1=Unidades[selectorSeccion],MATCH(ROW(Unidades[selectorSeccion]),ROW(Unidades[selectorSeccion]))),ROW(I27))),"")</f>
        <v/>
      </c>
      <c r="K28" s="50" t="str">
        <f t="array" aca="1" ref="K28" ca="1">IFERROR(INDEX(Unidades[selectorSubSeccion],SMALL(IF(K$1=Unidades[selectorSeccion],MATCH(ROW(Unidades[selectorSeccion]),ROW(Unidades[selectorSeccion]))),ROW(J27))),"")</f>
        <v/>
      </c>
      <c r="L28" s="50" t="str">
        <f t="array" aca="1" ref="L28" ca="1">IFERROR(INDEX(Unidades[selectorSubSeccion],SMALL(IF(L$1=Unidades[selectorSeccion],MATCH(ROW(Unidades[selectorSeccion]),ROW(Unidades[selectorSeccion]))),ROW(K27))),"")</f>
        <v/>
      </c>
      <c r="M28" s="50" t="str">
        <f t="array" aca="1" ref="M28" ca="1">IFERROR(INDEX(Unidades[selectorSubSeccion],SMALL(IF(M$1=Unidades[selectorSeccion],MATCH(ROW(Unidades[selectorSeccion]),ROW(Unidades[selectorSeccion]))),ROW(L27))),"")</f>
        <v/>
      </c>
      <c r="N28" s="50" t="str">
        <f t="array" aca="1" ref="N28" ca="1">IFERROR(INDEX(Unidades[selectorSubSeccion],SMALL(IF(N$1=Unidades[selectorSeccion],MATCH(ROW(Unidades[selectorSeccion]),ROW(Unidades[selectorSeccion]))),ROW(M27))),"")</f>
        <v/>
      </c>
      <c r="O28" s="50" t="str">
        <f t="array" aca="1" ref="O28" ca="1">IFERROR(INDEX(Unidades[selectorSubSeccion],SMALL(IF(O$1=Unidades[selectorSeccion],MATCH(ROW(Unidades[selectorSeccion]),ROW(Unidades[selectorSeccion]))),ROW(N27))),"")</f>
        <v/>
      </c>
      <c r="P28" s="50" t="str">
        <f t="array" aca="1" ref="P28" ca="1">IFERROR(INDEX(Unidades[selectorSubSeccion],SMALL(IF(P$1=Unidades[selectorSeccion],MATCH(ROW(Unidades[selectorSeccion]),ROW(Unidades[selectorSeccion]))),ROW(O27))),"")</f>
        <v/>
      </c>
      <c r="Q28" s="50" t="str">
        <f t="array" aca="1" ref="Q28" ca="1">IFERROR(INDEX(Unidades[selectorSubSeccion],SMALL(IF(Q$1=Unidades[selectorSeccion],MATCH(ROW(Unidades[selectorSeccion]),ROW(Unidades[selectorSeccion]))),ROW(P27))),"")</f>
        <v/>
      </c>
      <c r="R28" s="50" t="str">
        <f t="array" aca="1" ref="R28" ca="1">IFERROR(INDEX(Unidades[selectorSubSeccion],SMALL(IF(R$1=Unidades[selectorSeccion],MATCH(ROW(Unidades[selectorSeccion]),ROW(Unidades[selectorSeccion]))),ROW(Q27))),"")</f>
        <v/>
      </c>
      <c r="S28" s="50" t="str">
        <f t="array" aca="1" ref="S28" ca="1">IFERROR(INDEX(Unidades[selectorSubSeccion],SMALL(IF(S$1=Unidades[selectorSeccion],MATCH(ROW(Unidades[selectorSeccion]),ROW(Unidades[selectorSeccion]))),ROW(R27))),"")</f>
        <v/>
      </c>
      <c r="T28" s="50" t="str">
        <f t="array" aca="1" ref="T28" ca="1">IFERROR(INDEX(Unidades[selectorSubSeccion],SMALL(IF(T$1=Unidades[selectorSeccion],MATCH(ROW(Unidades[selectorSeccion]),ROW(Unidades[selectorSeccion]))),ROW(S27))),"")</f>
        <v/>
      </c>
      <c r="U28" s="50" t="str">
        <f t="array" aca="1" ref="U28" ca="1">IFERROR(INDEX(Unidades[selectorSubSeccion],SMALL(IF(U$1=Unidades[selectorSeccion],MATCH(ROW(Unidades[selectorSeccion]),ROW(Unidades[selectorSeccion]))),ROW(T27))),"")</f>
        <v/>
      </c>
      <c r="V28" s="50" t="str">
        <f t="array" aca="1" ref="V28" ca="1">IFERROR(INDEX(Unidades[selectorSubSeccion],SMALL(IF(V$1=Unidades[selectorSeccion],MATCH(ROW(Unidades[selectorSeccion]),ROW(Unidades[selectorSeccion]))),ROW(U27))),"")</f>
        <v/>
      </c>
      <c r="W28" s="50" t="str">
        <f t="array" aca="1" ref="W28" ca="1">IFERROR(INDEX(Unidades[selectorSubSeccion],SMALL(IF(W$1=Unidades[selectorSeccion],MATCH(ROW(Unidades[selectorSeccion]),ROW(Unidades[selectorSeccion]))),ROW(V27))),"")</f>
        <v/>
      </c>
      <c r="X28" s="50" t="str">
        <f t="array" aca="1" ref="X28" ca="1">IFERROR(INDEX(Unidades[selectorSubSeccion],SMALL(IF(X$1=Unidades[selectorSeccion],MATCH(ROW(Unidades[selectorSeccion]),ROW(Unidades[selectorSeccion]))),ROW(W27))),"")</f>
        <v/>
      </c>
      <c r="Y28" s="50" t="str">
        <f t="array" aca="1" ref="Y28" ca="1">IFERROR(INDEX(Unidades[selectorSubSeccion],SMALL(IF(Y$1=Unidades[selectorSeccion],MATCH(ROW(Unidades[selectorSeccion]),ROW(Unidades[selectorSeccion]))),ROW(X27))),"")</f>
        <v/>
      </c>
      <c r="Z28" s="50" t="str">
        <f t="array" aca="1" ref="Z28" ca="1">IFERROR(INDEX(Unidades[selectorSubSeccion],SMALL(IF(Z$1=Unidades[selectorSeccion],MATCH(ROW(Unidades[selectorSeccion]),ROW(Unidades[selectorSeccion]))),ROW(Y27))),"")</f>
        <v/>
      </c>
      <c r="AA28" s="50" t="str">
        <f t="array" aca="1" ref="AA28" ca="1">IFERROR(INDEX(Unidades[selectorSubSeccion],SMALL(IF(AA$1=Unidades[selectorSeccion],MATCH(ROW(Unidades[selectorSeccion]),ROW(Unidades[selectorSeccion]))),ROW(Z27))),"")</f>
        <v/>
      </c>
      <c r="AB28" s="50" t="str">
        <f t="array" aca="1" ref="AB28" ca="1">IFERROR(INDEX(Unidades[selectorSubSeccion],SMALL(IF(AB$1=Unidades[selectorSeccion],MATCH(ROW(Unidades[selectorSeccion]),ROW(Unidades[selectorSeccion]))),ROW(AA27))),"")</f>
        <v/>
      </c>
      <c r="AC28" s="50" t="str">
        <f t="array" aca="1" ref="AC28" ca="1">IFERROR(INDEX(Unidades[selectorSubSeccion],SMALL(IF(AC$1=Unidades[selectorSeccion],MATCH(ROW(Unidades[selectorSeccion]),ROW(Unidades[selectorSeccion]))),ROW(AB27))),"")</f>
        <v/>
      </c>
      <c r="AD28" s="50" t="str">
        <f t="array" aca="1" ref="AD28" ca="1">IFERROR(INDEX(Unidades[selectorSubSeccion],SMALL(IF(AD$1=Unidades[selectorSeccion],MATCH(ROW(Unidades[selectorSeccion]),ROW(Unidades[selectorSeccion]))),ROW(AC27))),"")</f>
        <v/>
      </c>
      <c r="AE28" s="50" t="str">
        <f t="array" aca="1" ref="AE28" ca="1">IFERROR(INDEX(Unidades[selectorSubSeccion],SMALL(IF(AE$1=Unidades[selectorSeccion],MATCH(ROW(Unidades[selectorSeccion]),ROW(Unidades[selectorSeccion]))),ROW(AD27))),"")</f>
        <v/>
      </c>
      <c r="AF28" s="50" t="str">
        <f t="array" aca="1" ref="AF28" ca="1">IFERROR(INDEX(Unidades[selectorSubSeccion],SMALL(IF(AF$1=Unidades[selectorSeccion],MATCH(ROW(Unidades[selectorSeccion]),ROW(Unidades[selectorSeccion]))),ROW(AE27))),"")</f>
        <v/>
      </c>
      <c r="AG28" s="50" t="str">
        <f t="array" aca="1" ref="AG28" ca="1">IFERROR(INDEX(Unidades[selectorSubSeccion],SMALL(IF(AG$1=Unidades[selectorSeccion],MATCH(ROW(Unidades[selectorSeccion]),ROW(Unidades[selectorSeccion]))),ROW(AF27))),"")</f>
        <v/>
      </c>
    </row>
    <row r="29" spans="2:33" x14ac:dyDescent="0.3">
      <c r="B29" s="50" t="str">
        <f t="array" aca="1" ref="B29" ca="1">IFERROR(INDEX(Unidades[selectorSubSeccion],SMALL(IF(B$1=Unidades[selectorSeccion],MATCH(ROW(Unidades[selectorSeccion]),ROW(Unidades[selectorSeccion]))),ROW(A28))),"")</f>
        <v/>
      </c>
      <c r="C29" s="50" t="str">
        <f t="array" aca="1" ref="C29" ca="1">IFERROR(INDEX(Unidades[selectorSubSeccion],SMALL(IF(C$1=Unidades[selectorSeccion],MATCH(ROW(Unidades[selectorSeccion]),ROW(Unidades[selectorSeccion]))),ROW(B28))),"")</f>
        <v/>
      </c>
      <c r="D29" s="50" t="str">
        <f t="array" aca="1" ref="D29" ca="1">IFERROR(INDEX(Unidades[selectorSubSeccion],SMALL(IF(D$1=Unidades[selectorSeccion],MATCH(ROW(Unidades[selectorSeccion]),ROW(Unidades[selectorSeccion]))),ROW(C28))),"")</f>
        <v/>
      </c>
      <c r="E29" s="50" t="str">
        <f t="array" aca="1" ref="E29" ca="1">IFERROR(INDEX(Unidades[selectorSubSeccion],SMALL(IF(E$1=Unidades[selectorSeccion],MATCH(ROW(Unidades[selectorSeccion]),ROW(Unidades[selectorSeccion]))),ROW(D28))),"")</f>
        <v/>
      </c>
      <c r="F29" s="50" t="str">
        <f t="array" aca="1" ref="F29" ca="1">IFERROR(INDEX(Unidades[selectorSubSeccion],SMALL(IF(F$1=Unidades[selectorSeccion],MATCH(ROW(Unidades[selectorSeccion]),ROW(Unidades[selectorSeccion]))),ROW(E28))),"")</f>
        <v/>
      </c>
      <c r="G29" s="50" t="str">
        <f t="array" aca="1" ref="G29" ca="1">IFERROR(INDEX(Unidades[selectorSubSeccion],SMALL(IF(G$1=Unidades[selectorSeccion],MATCH(ROW(Unidades[selectorSeccion]),ROW(Unidades[selectorSeccion]))),ROW(F28))),"")</f>
        <v/>
      </c>
      <c r="H29" s="50" t="str">
        <f t="array" aca="1" ref="H29" ca="1">IFERROR(INDEX(Unidades[selectorSubSeccion],SMALL(IF(H$1=Unidades[selectorSeccion],MATCH(ROW(Unidades[selectorSeccion]),ROW(Unidades[selectorSeccion]))),ROW(G28))),"")</f>
        <v/>
      </c>
      <c r="I29" s="50" t="str">
        <f t="array" aca="1" ref="I29" ca="1">IFERROR(INDEX(Unidades[selectorSubSeccion],SMALL(IF(I$1=Unidades[selectorSeccion],MATCH(ROW(Unidades[selectorSeccion]),ROW(Unidades[selectorSeccion]))),ROW(H28))),"")</f>
        <v/>
      </c>
      <c r="J29" s="50" t="str">
        <f t="array" aca="1" ref="J29" ca="1">IFERROR(INDEX(Unidades[selectorSubSeccion],SMALL(IF(J$1=Unidades[selectorSeccion],MATCH(ROW(Unidades[selectorSeccion]),ROW(Unidades[selectorSeccion]))),ROW(I28))),"")</f>
        <v/>
      </c>
      <c r="K29" s="50" t="str">
        <f t="array" aca="1" ref="K29" ca="1">IFERROR(INDEX(Unidades[selectorSubSeccion],SMALL(IF(K$1=Unidades[selectorSeccion],MATCH(ROW(Unidades[selectorSeccion]),ROW(Unidades[selectorSeccion]))),ROW(J28))),"")</f>
        <v/>
      </c>
      <c r="L29" s="50" t="str">
        <f t="array" aca="1" ref="L29" ca="1">IFERROR(INDEX(Unidades[selectorSubSeccion],SMALL(IF(L$1=Unidades[selectorSeccion],MATCH(ROW(Unidades[selectorSeccion]),ROW(Unidades[selectorSeccion]))),ROW(K28))),"")</f>
        <v/>
      </c>
      <c r="M29" s="50" t="str">
        <f t="array" aca="1" ref="M29" ca="1">IFERROR(INDEX(Unidades[selectorSubSeccion],SMALL(IF(M$1=Unidades[selectorSeccion],MATCH(ROW(Unidades[selectorSeccion]),ROW(Unidades[selectorSeccion]))),ROW(L28))),"")</f>
        <v/>
      </c>
      <c r="N29" s="50" t="str">
        <f t="array" aca="1" ref="N29" ca="1">IFERROR(INDEX(Unidades[selectorSubSeccion],SMALL(IF(N$1=Unidades[selectorSeccion],MATCH(ROW(Unidades[selectorSeccion]),ROW(Unidades[selectorSeccion]))),ROW(M28))),"")</f>
        <v/>
      </c>
      <c r="O29" s="50" t="str">
        <f t="array" aca="1" ref="O29" ca="1">IFERROR(INDEX(Unidades[selectorSubSeccion],SMALL(IF(O$1=Unidades[selectorSeccion],MATCH(ROW(Unidades[selectorSeccion]),ROW(Unidades[selectorSeccion]))),ROW(N28))),"")</f>
        <v/>
      </c>
      <c r="P29" s="50" t="str">
        <f t="array" aca="1" ref="P29" ca="1">IFERROR(INDEX(Unidades[selectorSubSeccion],SMALL(IF(P$1=Unidades[selectorSeccion],MATCH(ROW(Unidades[selectorSeccion]),ROW(Unidades[selectorSeccion]))),ROW(O28))),"")</f>
        <v/>
      </c>
      <c r="Q29" s="50" t="str">
        <f t="array" aca="1" ref="Q29" ca="1">IFERROR(INDEX(Unidades[selectorSubSeccion],SMALL(IF(Q$1=Unidades[selectorSeccion],MATCH(ROW(Unidades[selectorSeccion]),ROW(Unidades[selectorSeccion]))),ROW(P28))),"")</f>
        <v/>
      </c>
      <c r="R29" s="50" t="str">
        <f t="array" aca="1" ref="R29" ca="1">IFERROR(INDEX(Unidades[selectorSubSeccion],SMALL(IF(R$1=Unidades[selectorSeccion],MATCH(ROW(Unidades[selectorSeccion]),ROW(Unidades[selectorSeccion]))),ROW(Q28))),"")</f>
        <v/>
      </c>
      <c r="S29" s="50" t="str">
        <f t="array" aca="1" ref="S29" ca="1">IFERROR(INDEX(Unidades[selectorSubSeccion],SMALL(IF(S$1=Unidades[selectorSeccion],MATCH(ROW(Unidades[selectorSeccion]),ROW(Unidades[selectorSeccion]))),ROW(R28))),"")</f>
        <v/>
      </c>
      <c r="T29" s="50" t="str">
        <f t="array" aca="1" ref="T29" ca="1">IFERROR(INDEX(Unidades[selectorSubSeccion],SMALL(IF(T$1=Unidades[selectorSeccion],MATCH(ROW(Unidades[selectorSeccion]),ROW(Unidades[selectorSeccion]))),ROW(S28))),"")</f>
        <v/>
      </c>
      <c r="U29" s="50" t="str">
        <f t="array" aca="1" ref="U29" ca="1">IFERROR(INDEX(Unidades[selectorSubSeccion],SMALL(IF(U$1=Unidades[selectorSeccion],MATCH(ROW(Unidades[selectorSeccion]),ROW(Unidades[selectorSeccion]))),ROW(T28))),"")</f>
        <v/>
      </c>
      <c r="V29" s="50" t="str">
        <f t="array" aca="1" ref="V29" ca="1">IFERROR(INDEX(Unidades[selectorSubSeccion],SMALL(IF(V$1=Unidades[selectorSeccion],MATCH(ROW(Unidades[selectorSeccion]),ROW(Unidades[selectorSeccion]))),ROW(U28))),"")</f>
        <v/>
      </c>
      <c r="W29" s="50" t="str">
        <f t="array" aca="1" ref="W29" ca="1">IFERROR(INDEX(Unidades[selectorSubSeccion],SMALL(IF(W$1=Unidades[selectorSeccion],MATCH(ROW(Unidades[selectorSeccion]),ROW(Unidades[selectorSeccion]))),ROW(V28))),"")</f>
        <v/>
      </c>
      <c r="X29" s="50" t="str">
        <f t="array" aca="1" ref="X29" ca="1">IFERROR(INDEX(Unidades[selectorSubSeccion],SMALL(IF(X$1=Unidades[selectorSeccion],MATCH(ROW(Unidades[selectorSeccion]),ROW(Unidades[selectorSeccion]))),ROW(W28))),"")</f>
        <v/>
      </c>
      <c r="Y29" s="50" t="str">
        <f t="array" aca="1" ref="Y29" ca="1">IFERROR(INDEX(Unidades[selectorSubSeccion],SMALL(IF(Y$1=Unidades[selectorSeccion],MATCH(ROW(Unidades[selectorSeccion]),ROW(Unidades[selectorSeccion]))),ROW(X28))),"")</f>
        <v/>
      </c>
      <c r="Z29" s="50" t="str">
        <f t="array" aca="1" ref="Z29" ca="1">IFERROR(INDEX(Unidades[selectorSubSeccion],SMALL(IF(Z$1=Unidades[selectorSeccion],MATCH(ROW(Unidades[selectorSeccion]),ROW(Unidades[selectorSeccion]))),ROW(Y28))),"")</f>
        <v/>
      </c>
      <c r="AA29" s="50" t="str">
        <f t="array" aca="1" ref="AA29" ca="1">IFERROR(INDEX(Unidades[selectorSubSeccion],SMALL(IF(AA$1=Unidades[selectorSeccion],MATCH(ROW(Unidades[selectorSeccion]),ROW(Unidades[selectorSeccion]))),ROW(Z28))),"")</f>
        <v/>
      </c>
      <c r="AB29" s="50" t="str">
        <f t="array" aca="1" ref="AB29" ca="1">IFERROR(INDEX(Unidades[selectorSubSeccion],SMALL(IF(AB$1=Unidades[selectorSeccion],MATCH(ROW(Unidades[selectorSeccion]),ROW(Unidades[selectorSeccion]))),ROW(AA28))),"")</f>
        <v/>
      </c>
      <c r="AC29" s="50" t="str">
        <f t="array" aca="1" ref="AC29" ca="1">IFERROR(INDEX(Unidades[selectorSubSeccion],SMALL(IF(AC$1=Unidades[selectorSeccion],MATCH(ROW(Unidades[selectorSeccion]),ROW(Unidades[selectorSeccion]))),ROW(AB28))),"")</f>
        <v/>
      </c>
      <c r="AD29" s="50" t="str">
        <f t="array" aca="1" ref="AD29" ca="1">IFERROR(INDEX(Unidades[selectorSubSeccion],SMALL(IF(AD$1=Unidades[selectorSeccion],MATCH(ROW(Unidades[selectorSeccion]),ROW(Unidades[selectorSeccion]))),ROW(AC28))),"")</f>
        <v/>
      </c>
      <c r="AE29" s="50" t="str">
        <f t="array" aca="1" ref="AE29" ca="1">IFERROR(INDEX(Unidades[selectorSubSeccion],SMALL(IF(AE$1=Unidades[selectorSeccion],MATCH(ROW(Unidades[selectorSeccion]),ROW(Unidades[selectorSeccion]))),ROW(AD28))),"")</f>
        <v/>
      </c>
      <c r="AF29" s="50" t="str">
        <f t="array" aca="1" ref="AF29" ca="1">IFERROR(INDEX(Unidades[selectorSubSeccion],SMALL(IF(AF$1=Unidades[selectorSeccion],MATCH(ROW(Unidades[selectorSeccion]),ROW(Unidades[selectorSeccion]))),ROW(AE28))),"")</f>
        <v/>
      </c>
      <c r="AG29" s="50" t="str">
        <f t="array" aca="1" ref="AG29" ca="1">IFERROR(INDEX(Unidades[selectorSubSeccion],SMALL(IF(AG$1=Unidades[selectorSeccion],MATCH(ROW(Unidades[selectorSeccion]),ROW(Unidades[selectorSeccion]))),ROW(AF28))),"")</f>
        <v/>
      </c>
    </row>
    <row r="30" spans="2:33" x14ac:dyDescent="0.3">
      <c r="B30" s="50" t="str">
        <f t="array" aca="1" ref="B30" ca="1">IFERROR(INDEX(Unidades[selectorSubSeccion],SMALL(IF(B$1=Unidades[selectorSeccion],MATCH(ROW(Unidades[selectorSeccion]),ROW(Unidades[selectorSeccion]))),ROW(A29))),"")</f>
        <v/>
      </c>
      <c r="C30" s="50" t="str">
        <f t="array" aca="1" ref="C30" ca="1">IFERROR(INDEX(Unidades[selectorSubSeccion],SMALL(IF(C$1=Unidades[selectorSeccion],MATCH(ROW(Unidades[selectorSeccion]),ROW(Unidades[selectorSeccion]))),ROW(B29))),"")</f>
        <v/>
      </c>
      <c r="D30" s="50" t="str">
        <f t="array" aca="1" ref="D30" ca="1">IFERROR(INDEX(Unidades[selectorSubSeccion],SMALL(IF(D$1=Unidades[selectorSeccion],MATCH(ROW(Unidades[selectorSeccion]),ROW(Unidades[selectorSeccion]))),ROW(C29))),"")</f>
        <v/>
      </c>
      <c r="E30" s="50" t="str">
        <f t="array" aca="1" ref="E30" ca="1">IFERROR(INDEX(Unidades[selectorSubSeccion],SMALL(IF(E$1=Unidades[selectorSeccion],MATCH(ROW(Unidades[selectorSeccion]),ROW(Unidades[selectorSeccion]))),ROW(D29))),"")</f>
        <v/>
      </c>
      <c r="F30" s="50" t="str">
        <f t="array" aca="1" ref="F30" ca="1">IFERROR(INDEX(Unidades[selectorSubSeccion],SMALL(IF(F$1=Unidades[selectorSeccion],MATCH(ROW(Unidades[selectorSeccion]),ROW(Unidades[selectorSeccion]))),ROW(E29))),"")</f>
        <v/>
      </c>
      <c r="G30" s="50" t="str">
        <f t="array" aca="1" ref="G30" ca="1">IFERROR(INDEX(Unidades[selectorSubSeccion],SMALL(IF(G$1=Unidades[selectorSeccion],MATCH(ROW(Unidades[selectorSeccion]),ROW(Unidades[selectorSeccion]))),ROW(F29))),"")</f>
        <v/>
      </c>
      <c r="H30" s="50" t="str">
        <f t="array" aca="1" ref="H30" ca="1">IFERROR(INDEX(Unidades[selectorSubSeccion],SMALL(IF(H$1=Unidades[selectorSeccion],MATCH(ROW(Unidades[selectorSeccion]),ROW(Unidades[selectorSeccion]))),ROW(G29))),"")</f>
        <v/>
      </c>
      <c r="I30" s="50" t="str">
        <f t="array" aca="1" ref="I30" ca="1">IFERROR(INDEX(Unidades[selectorSubSeccion],SMALL(IF(I$1=Unidades[selectorSeccion],MATCH(ROW(Unidades[selectorSeccion]),ROW(Unidades[selectorSeccion]))),ROW(H29))),"")</f>
        <v/>
      </c>
      <c r="J30" s="50" t="str">
        <f t="array" aca="1" ref="J30" ca="1">IFERROR(INDEX(Unidades[selectorSubSeccion],SMALL(IF(J$1=Unidades[selectorSeccion],MATCH(ROW(Unidades[selectorSeccion]),ROW(Unidades[selectorSeccion]))),ROW(I29))),"")</f>
        <v/>
      </c>
      <c r="K30" s="50" t="str">
        <f t="array" aca="1" ref="K30" ca="1">IFERROR(INDEX(Unidades[selectorSubSeccion],SMALL(IF(K$1=Unidades[selectorSeccion],MATCH(ROW(Unidades[selectorSeccion]),ROW(Unidades[selectorSeccion]))),ROW(J29))),"")</f>
        <v/>
      </c>
      <c r="L30" s="50" t="str">
        <f t="array" aca="1" ref="L30" ca="1">IFERROR(INDEX(Unidades[selectorSubSeccion],SMALL(IF(L$1=Unidades[selectorSeccion],MATCH(ROW(Unidades[selectorSeccion]),ROW(Unidades[selectorSeccion]))),ROW(K29))),"")</f>
        <v/>
      </c>
      <c r="M30" s="50" t="str">
        <f t="array" aca="1" ref="M30" ca="1">IFERROR(INDEX(Unidades[selectorSubSeccion],SMALL(IF(M$1=Unidades[selectorSeccion],MATCH(ROW(Unidades[selectorSeccion]),ROW(Unidades[selectorSeccion]))),ROW(L29))),"")</f>
        <v/>
      </c>
      <c r="N30" s="50" t="str">
        <f t="array" aca="1" ref="N30" ca="1">IFERROR(INDEX(Unidades[selectorSubSeccion],SMALL(IF(N$1=Unidades[selectorSeccion],MATCH(ROW(Unidades[selectorSeccion]),ROW(Unidades[selectorSeccion]))),ROW(M29))),"")</f>
        <v/>
      </c>
      <c r="O30" s="50" t="str">
        <f t="array" aca="1" ref="O30" ca="1">IFERROR(INDEX(Unidades[selectorSubSeccion],SMALL(IF(O$1=Unidades[selectorSeccion],MATCH(ROW(Unidades[selectorSeccion]),ROW(Unidades[selectorSeccion]))),ROW(N29))),"")</f>
        <v/>
      </c>
      <c r="P30" s="50" t="str">
        <f t="array" aca="1" ref="P30" ca="1">IFERROR(INDEX(Unidades[selectorSubSeccion],SMALL(IF(P$1=Unidades[selectorSeccion],MATCH(ROW(Unidades[selectorSeccion]),ROW(Unidades[selectorSeccion]))),ROW(O29))),"")</f>
        <v/>
      </c>
      <c r="Q30" s="50" t="str">
        <f t="array" aca="1" ref="Q30" ca="1">IFERROR(INDEX(Unidades[selectorSubSeccion],SMALL(IF(Q$1=Unidades[selectorSeccion],MATCH(ROW(Unidades[selectorSeccion]),ROW(Unidades[selectorSeccion]))),ROW(P29))),"")</f>
        <v/>
      </c>
      <c r="R30" s="50" t="str">
        <f t="array" aca="1" ref="R30" ca="1">IFERROR(INDEX(Unidades[selectorSubSeccion],SMALL(IF(R$1=Unidades[selectorSeccion],MATCH(ROW(Unidades[selectorSeccion]),ROW(Unidades[selectorSeccion]))),ROW(Q29))),"")</f>
        <v/>
      </c>
      <c r="S30" s="50" t="str">
        <f t="array" aca="1" ref="S30" ca="1">IFERROR(INDEX(Unidades[selectorSubSeccion],SMALL(IF(S$1=Unidades[selectorSeccion],MATCH(ROW(Unidades[selectorSeccion]),ROW(Unidades[selectorSeccion]))),ROW(R29))),"")</f>
        <v/>
      </c>
      <c r="T30" s="50" t="str">
        <f t="array" aca="1" ref="T30" ca="1">IFERROR(INDEX(Unidades[selectorSubSeccion],SMALL(IF(T$1=Unidades[selectorSeccion],MATCH(ROW(Unidades[selectorSeccion]),ROW(Unidades[selectorSeccion]))),ROW(S29))),"")</f>
        <v/>
      </c>
      <c r="U30" s="50" t="str">
        <f t="array" aca="1" ref="U30" ca="1">IFERROR(INDEX(Unidades[selectorSubSeccion],SMALL(IF(U$1=Unidades[selectorSeccion],MATCH(ROW(Unidades[selectorSeccion]),ROW(Unidades[selectorSeccion]))),ROW(T29))),"")</f>
        <v/>
      </c>
      <c r="V30" s="50" t="str">
        <f t="array" aca="1" ref="V30" ca="1">IFERROR(INDEX(Unidades[selectorSubSeccion],SMALL(IF(V$1=Unidades[selectorSeccion],MATCH(ROW(Unidades[selectorSeccion]),ROW(Unidades[selectorSeccion]))),ROW(U29))),"")</f>
        <v/>
      </c>
      <c r="W30" s="50" t="str">
        <f t="array" aca="1" ref="W30" ca="1">IFERROR(INDEX(Unidades[selectorSubSeccion],SMALL(IF(W$1=Unidades[selectorSeccion],MATCH(ROW(Unidades[selectorSeccion]),ROW(Unidades[selectorSeccion]))),ROW(V29))),"")</f>
        <v/>
      </c>
      <c r="X30" s="50" t="str">
        <f t="array" aca="1" ref="X30" ca="1">IFERROR(INDEX(Unidades[selectorSubSeccion],SMALL(IF(X$1=Unidades[selectorSeccion],MATCH(ROW(Unidades[selectorSeccion]),ROW(Unidades[selectorSeccion]))),ROW(W29))),"")</f>
        <v/>
      </c>
      <c r="Y30" s="50" t="str">
        <f t="array" aca="1" ref="Y30" ca="1">IFERROR(INDEX(Unidades[selectorSubSeccion],SMALL(IF(Y$1=Unidades[selectorSeccion],MATCH(ROW(Unidades[selectorSeccion]),ROW(Unidades[selectorSeccion]))),ROW(X29))),"")</f>
        <v/>
      </c>
      <c r="Z30" s="50" t="str">
        <f t="array" aca="1" ref="Z30" ca="1">IFERROR(INDEX(Unidades[selectorSubSeccion],SMALL(IF(Z$1=Unidades[selectorSeccion],MATCH(ROW(Unidades[selectorSeccion]),ROW(Unidades[selectorSeccion]))),ROW(Y29))),"")</f>
        <v/>
      </c>
      <c r="AA30" s="50" t="str">
        <f t="array" aca="1" ref="AA30" ca="1">IFERROR(INDEX(Unidades[selectorSubSeccion],SMALL(IF(AA$1=Unidades[selectorSeccion],MATCH(ROW(Unidades[selectorSeccion]),ROW(Unidades[selectorSeccion]))),ROW(Z29))),"")</f>
        <v/>
      </c>
      <c r="AB30" s="50" t="str">
        <f t="array" aca="1" ref="AB30" ca="1">IFERROR(INDEX(Unidades[selectorSubSeccion],SMALL(IF(AB$1=Unidades[selectorSeccion],MATCH(ROW(Unidades[selectorSeccion]),ROW(Unidades[selectorSeccion]))),ROW(AA29))),"")</f>
        <v/>
      </c>
      <c r="AC30" s="50" t="str">
        <f t="array" aca="1" ref="AC30" ca="1">IFERROR(INDEX(Unidades[selectorSubSeccion],SMALL(IF(AC$1=Unidades[selectorSeccion],MATCH(ROW(Unidades[selectorSeccion]),ROW(Unidades[selectorSeccion]))),ROW(AB29))),"")</f>
        <v/>
      </c>
      <c r="AD30" s="50" t="str">
        <f t="array" aca="1" ref="AD30" ca="1">IFERROR(INDEX(Unidades[selectorSubSeccion],SMALL(IF(AD$1=Unidades[selectorSeccion],MATCH(ROW(Unidades[selectorSeccion]),ROW(Unidades[selectorSeccion]))),ROW(AC29))),"")</f>
        <v/>
      </c>
      <c r="AE30" s="50" t="str">
        <f t="array" aca="1" ref="AE30" ca="1">IFERROR(INDEX(Unidades[selectorSubSeccion],SMALL(IF(AE$1=Unidades[selectorSeccion],MATCH(ROW(Unidades[selectorSeccion]),ROW(Unidades[selectorSeccion]))),ROW(AD29))),"")</f>
        <v/>
      </c>
      <c r="AF30" s="50" t="str">
        <f t="array" aca="1" ref="AF30" ca="1">IFERROR(INDEX(Unidades[selectorSubSeccion],SMALL(IF(AF$1=Unidades[selectorSeccion],MATCH(ROW(Unidades[selectorSeccion]),ROW(Unidades[selectorSeccion]))),ROW(AE29))),"")</f>
        <v/>
      </c>
      <c r="AG30" s="50" t="str">
        <f t="array" aca="1" ref="AG30" ca="1">IFERROR(INDEX(Unidades[selectorSubSeccion],SMALL(IF(AG$1=Unidades[selectorSeccion],MATCH(ROW(Unidades[selectorSeccion]),ROW(Unidades[selectorSeccion]))),ROW(AF29))),"")</f>
        <v/>
      </c>
    </row>
    <row r="31" spans="2:33" x14ac:dyDescent="0.3">
      <c r="B31" s="50" t="str">
        <f t="array" aca="1" ref="B31" ca="1">IFERROR(INDEX(Unidades[selectorSubSeccion],SMALL(IF(B$1=Unidades[selectorSeccion],MATCH(ROW(Unidades[selectorSeccion]),ROW(Unidades[selectorSeccion]))),ROW(A30))),"")</f>
        <v/>
      </c>
      <c r="C31" s="50" t="str">
        <f t="array" aca="1" ref="C31" ca="1">IFERROR(INDEX(Unidades[selectorSubSeccion],SMALL(IF(C$1=Unidades[selectorSeccion],MATCH(ROW(Unidades[selectorSeccion]),ROW(Unidades[selectorSeccion]))),ROW(B30))),"")</f>
        <v/>
      </c>
      <c r="D31" s="50" t="str">
        <f t="array" aca="1" ref="D31" ca="1">IFERROR(INDEX(Unidades[selectorSubSeccion],SMALL(IF(D$1=Unidades[selectorSeccion],MATCH(ROW(Unidades[selectorSeccion]),ROW(Unidades[selectorSeccion]))),ROW(C30))),"")</f>
        <v/>
      </c>
      <c r="E31" s="50" t="str">
        <f t="array" aca="1" ref="E31" ca="1">IFERROR(INDEX(Unidades[selectorSubSeccion],SMALL(IF(E$1=Unidades[selectorSeccion],MATCH(ROW(Unidades[selectorSeccion]),ROW(Unidades[selectorSeccion]))),ROW(D30))),"")</f>
        <v/>
      </c>
      <c r="F31" s="50" t="str">
        <f t="array" aca="1" ref="F31" ca="1">IFERROR(INDEX(Unidades[selectorSubSeccion],SMALL(IF(F$1=Unidades[selectorSeccion],MATCH(ROW(Unidades[selectorSeccion]),ROW(Unidades[selectorSeccion]))),ROW(E30))),"")</f>
        <v/>
      </c>
      <c r="G31" s="50" t="str">
        <f t="array" aca="1" ref="G31" ca="1">IFERROR(INDEX(Unidades[selectorSubSeccion],SMALL(IF(G$1=Unidades[selectorSeccion],MATCH(ROW(Unidades[selectorSeccion]),ROW(Unidades[selectorSeccion]))),ROW(F30))),"")</f>
        <v/>
      </c>
      <c r="H31" s="50" t="str">
        <f t="array" aca="1" ref="H31" ca="1">IFERROR(INDEX(Unidades[selectorSubSeccion],SMALL(IF(H$1=Unidades[selectorSeccion],MATCH(ROW(Unidades[selectorSeccion]),ROW(Unidades[selectorSeccion]))),ROW(G30))),"")</f>
        <v/>
      </c>
      <c r="I31" s="50" t="str">
        <f t="array" aca="1" ref="I31" ca="1">IFERROR(INDEX(Unidades[selectorSubSeccion],SMALL(IF(I$1=Unidades[selectorSeccion],MATCH(ROW(Unidades[selectorSeccion]),ROW(Unidades[selectorSeccion]))),ROW(H30))),"")</f>
        <v/>
      </c>
      <c r="J31" s="50" t="str">
        <f t="array" aca="1" ref="J31" ca="1">IFERROR(INDEX(Unidades[selectorSubSeccion],SMALL(IF(J$1=Unidades[selectorSeccion],MATCH(ROW(Unidades[selectorSeccion]),ROW(Unidades[selectorSeccion]))),ROW(I30))),"")</f>
        <v/>
      </c>
      <c r="K31" s="50" t="str">
        <f t="array" aca="1" ref="K31" ca="1">IFERROR(INDEX(Unidades[selectorSubSeccion],SMALL(IF(K$1=Unidades[selectorSeccion],MATCH(ROW(Unidades[selectorSeccion]),ROW(Unidades[selectorSeccion]))),ROW(J30))),"")</f>
        <v/>
      </c>
      <c r="L31" s="50" t="str">
        <f t="array" aca="1" ref="L31" ca="1">IFERROR(INDEX(Unidades[selectorSubSeccion],SMALL(IF(L$1=Unidades[selectorSeccion],MATCH(ROW(Unidades[selectorSeccion]),ROW(Unidades[selectorSeccion]))),ROW(K30))),"")</f>
        <v/>
      </c>
      <c r="M31" s="50" t="str">
        <f t="array" aca="1" ref="M31" ca="1">IFERROR(INDEX(Unidades[selectorSubSeccion],SMALL(IF(M$1=Unidades[selectorSeccion],MATCH(ROW(Unidades[selectorSeccion]),ROW(Unidades[selectorSeccion]))),ROW(L30))),"")</f>
        <v/>
      </c>
      <c r="N31" s="50" t="str">
        <f t="array" aca="1" ref="N31" ca="1">IFERROR(INDEX(Unidades[selectorSubSeccion],SMALL(IF(N$1=Unidades[selectorSeccion],MATCH(ROW(Unidades[selectorSeccion]),ROW(Unidades[selectorSeccion]))),ROW(M30))),"")</f>
        <v/>
      </c>
      <c r="O31" s="50" t="str">
        <f t="array" aca="1" ref="O31" ca="1">IFERROR(INDEX(Unidades[selectorSubSeccion],SMALL(IF(O$1=Unidades[selectorSeccion],MATCH(ROW(Unidades[selectorSeccion]),ROW(Unidades[selectorSeccion]))),ROW(N30))),"")</f>
        <v/>
      </c>
      <c r="P31" s="50" t="str">
        <f t="array" aca="1" ref="P31" ca="1">IFERROR(INDEX(Unidades[selectorSubSeccion],SMALL(IF(P$1=Unidades[selectorSeccion],MATCH(ROW(Unidades[selectorSeccion]),ROW(Unidades[selectorSeccion]))),ROW(O30))),"")</f>
        <v/>
      </c>
      <c r="Q31" s="50" t="str">
        <f t="array" aca="1" ref="Q31" ca="1">IFERROR(INDEX(Unidades[selectorSubSeccion],SMALL(IF(Q$1=Unidades[selectorSeccion],MATCH(ROW(Unidades[selectorSeccion]),ROW(Unidades[selectorSeccion]))),ROW(P30))),"")</f>
        <v/>
      </c>
      <c r="R31" s="50" t="str">
        <f t="array" aca="1" ref="R31" ca="1">IFERROR(INDEX(Unidades[selectorSubSeccion],SMALL(IF(R$1=Unidades[selectorSeccion],MATCH(ROW(Unidades[selectorSeccion]),ROW(Unidades[selectorSeccion]))),ROW(Q30))),"")</f>
        <v/>
      </c>
      <c r="S31" s="50" t="str">
        <f t="array" aca="1" ref="S31" ca="1">IFERROR(INDEX(Unidades[selectorSubSeccion],SMALL(IF(S$1=Unidades[selectorSeccion],MATCH(ROW(Unidades[selectorSeccion]),ROW(Unidades[selectorSeccion]))),ROW(R30))),"")</f>
        <v/>
      </c>
      <c r="T31" s="50" t="str">
        <f t="array" aca="1" ref="T31" ca="1">IFERROR(INDEX(Unidades[selectorSubSeccion],SMALL(IF(T$1=Unidades[selectorSeccion],MATCH(ROW(Unidades[selectorSeccion]),ROW(Unidades[selectorSeccion]))),ROW(S30))),"")</f>
        <v/>
      </c>
      <c r="U31" s="50" t="str">
        <f t="array" aca="1" ref="U31" ca="1">IFERROR(INDEX(Unidades[selectorSubSeccion],SMALL(IF(U$1=Unidades[selectorSeccion],MATCH(ROW(Unidades[selectorSeccion]),ROW(Unidades[selectorSeccion]))),ROW(T30))),"")</f>
        <v/>
      </c>
      <c r="V31" s="50" t="str">
        <f t="array" aca="1" ref="V31" ca="1">IFERROR(INDEX(Unidades[selectorSubSeccion],SMALL(IF(V$1=Unidades[selectorSeccion],MATCH(ROW(Unidades[selectorSeccion]),ROW(Unidades[selectorSeccion]))),ROW(U30))),"")</f>
        <v/>
      </c>
      <c r="W31" s="50" t="str">
        <f t="array" aca="1" ref="W31" ca="1">IFERROR(INDEX(Unidades[selectorSubSeccion],SMALL(IF(W$1=Unidades[selectorSeccion],MATCH(ROW(Unidades[selectorSeccion]),ROW(Unidades[selectorSeccion]))),ROW(V30))),"")</f>
        <v/>
      </c>
      <c r="X31" s="50" t="str">
        <f t="array" aca="1" ref="X31" ca="1">IFERROR(INDEX(Unidades[selectorSubSeccion],SMALL(IF(X$1=Unidades[selectorSeccion],MATCH(ROW(Unidades[selectorSeccion]),ROW(Unidades[selectorSeccion]))),ROW(W30))),"")</f>
        <v/>
      </c>
      <c r="Y31" s="50" t="str">
        <f t="array" aca="1" ref="Y31" ca="1">IFERROR(INDEX(Unidades[selectorSubSeccion],SMALL(IF(Y$1=Unidades[selectorSeccion],MATCH(ROW(Unidades[selectorSeccion]),ROW(Unidades[selectorSeccion]))),ROW(X30))),"")</f>
        <v/>
      </c>
      <c r="Z31" s="50" t="str">
        <f t="array" aca="1" ref="Z31" ca="1">IFERROR(INDEX(Unidades[selectorSubSeccion],SMALL(IF(Z$1=Unidades[selectorSeccion],MATCH(ROW(Unidades[selectorSeccion]),ROW(Unidades[selectorSeccion]))),ROW(Y30))),"")</f>
        <v/>
      </c>
      <c r="AA31" s="50" t="str">
        <f t="array" aca="1" ref="AA31" ca="1">IFERROR(INDEX(Unidades[selectorSubSeccion],SMALL(IF(AA$1=Unidades[selectorSeccion],MATCH(ROW(Unidades[selectorSeccion]),ROW(Unidades[selectorSeccion]))),ROW(Z30))),"")</f>
        <v/>
      </c>
      <c r="AB31" s="50" t="str">
        <f t="array" aca="1" ref="AB31" ca="1">IFERROR(INDEX(Unidades[selectorSubSeccion],SMALL(IF(AB$1=Unidades[selectorSeccion],MATCH(ROW(Unidades[selectorSeccion]),ROW(Unidades[selectorSeccion]))),ROW(AA30))),"")</f>
        <v/>
      </c>
      <c r="AC31" s="50" t="str">
        <f t="array" aca="1" ref="AC31" ca="1">IFERROR(INDEX(Unidades[selectorSubSeccion],SMALL(IF(AC$1=Unidades[selectorSeccion],MATCH(ROW(Unidades[selectorSeccion]),ROW(Unidades[selectorSeccion]))),ROW(AB30))),"")</f>
        <v/>
      </c>
      <c r="AD31" s="50" t="str">
        <f t="array" aca="1" ref="AD31" ca="1">IFERROR(INDEX(Unidades[selectorSubSeccion],SMALL(IF(AD$1=Unidades[selectorSeccion],MATCH(ROW(Unidades[selectorSeccion]),ROW(Unidades[selectorSeccion]))),ROW(AC30))),"")</f>
        <v/>
      </c>
      <c r="AE31" s="50" t="str">
        <f t="array" aca="1" ref="AE31" ca="1">IFERROR(INDEX(Unidades[selectorSubSeccion],SMALL(IF(AE$1=Unidades[selectorSeccion],MATCH(ROW(Unidades[selectorSeccion]),ROW(Unidades[selectorSeccion]))),ROW(AD30))),"")</f>
        <v/>
      </c>
      <c r="AF31" s="50" t="str">
        <f t="array" aca="1" ref="AF31" ca="1">IFERROR(INDEX(Unidades[selectorSubSeccion],SMALL(IF(AF$1=Unidades[selectorSeccion],MATCH(ROW(Unidades[selectorSeccion]),ROW(Unidades[selectorSeccion]))),ROW(AE30))),"")</f>
        <v/>
      </c>
      <c r="AG31" s="50" t="str">
        <f t="array" aca="1" ref="AG31" ca="1">IFERROR(INDEX(Unidades[selectorSubSeccion],SMALL(IF(AG$1=Unidades[selectorSeccion],MATCH(ROW(Unidades[selectorSeccion]),ROW(Unidades[selectorSeccion]))),ROW(AF30))),"")</f>
        <v/>
      </c>
    </row>
    <row r="32" spans="2:33" x14ac:dyDescent="0.3">
      <c r="B32" s="50" t="str">
        <f t="array" aca="1" ref="B32" ca="1">IFERROR(INDEX(Unidades[selectorSubSeccion],SMALL(IF(B$1=Unidades[selectorSeccion],MATCH(ROW(Unidades[selectorSeccion]),ROW(Unidades[selectorSeccion]))),ROW(A31))),"")</f>
        <v/>
      </c>
      <c r="C32" s="50" t="str">
        <f t="array" aca="1" ref="C32" ca="1">IFERROR(INDEX(Unidades[selectorSubSeccion],SMALL(IF(C$1=Unidades[selectorSeccion],MATCH(ROW(Unidades[selectorSeccion]),ROW(Unidades[selectorSeccion]))),ROW(B31))),"")</f>
        <v/>
      </c>
      <c r="D32" s="50" t="str">
        <f t="array" aca="1" ref="D32" ca="1">IFERROR(INDEX(Unidades[selectorSubSeccion],SMALL(IF(D$1=Unidades[selectorSeccion],MATCH(ROW(Unidades[selectorSeccion]),ROW(Unidades[selectorSeccion]))),ROW(C31))),"")</f>
        <v/>
      </c>
      <c r="E32" s="50" t="str">
        <f t="array" aca="1" ref="E32" ca="1">IFERROR(INDEX(Unidades[selectorSubSeccion],SMALL(IF(E$1=Unidades[selectorSeccion],MATCH(ROW(Unidades[selectorSeccion]),ROW(Unidades[selectorSeccion]))),ROW(D31))),"")</f>
        <v/>
      </c>
      <c r="F32" s="50" t="str">
        <f t="array" aca="1" ref="F32" ca="1">IFERROR(INDEX(Unidades[selectorSubSeccion],SMALL(IF(F$1=Unidades[selectorSeccion],MATCH(ROW(Unidades[selectorSeccion]),ROW(Unidades[selectorSeccion]))),ROW(E31))),"")</f>
        <v/>
      </c>
      <c r="G32" s="50" t="str">
        <f t="array" aca="1" ref="G32" ca="1">IFERROR(INDEX(Unidades[selectorSubSeccion],SMALL(IF(G$1=Unidades[selectorSeccion],MATCH(ROW(Unidades[selectorSeccion]),ROW(Unidades[selectorSeccion]))),ROW(F31))),"")</f>
        <v/>
      </c>
      <c r="H32" s="50" t="str">
        <f t="array" aca="1" ref="H32" ca="1">IFERROR(INDEX(Unidades[selectorSubSeccion],SMALL(IF(H$1=Unidades[selectorSeccion],MATCH(ROW(Unidades[selectorSeccion]),ROW(Unidades[selectorSeccion]))),ROW(G31))),"")</f>
        <v/>
      </c>
      <c r="I32" s="50" t="str">
        <f t="array" aca="1" ref="I32" ca="1">IFERROR(INDEX(Unidades[selectorSubSeccion],SMALL(IF(I$1=Unidades[selectorSeccion],MATCH(ROW(Unidades[selectorSeccion]),ROW(Unidades[selectorSeccion]))),ROW(H31))),"")</f>
        <v/>
      </c>
      <c r="J32" s="50" t="str">
        <f t="array" aca="1" ref="J32" ca="1">IFERROR(INDEX(Unidades[selectorSubSeccion],SMALL(IF(J$1=Unidades[selectorSeccion],MATCH(ROW(Unidades[selectorSeccion]),ROW(Unidades[selectorSeccion]))),ROW(I31))),"")</f>
        <v/>
      </c>
      <c r="K32" s="50" t="str">
        <f t="array" aca="1" ref="K32" ca="1">IFERROR(INDEX(Unidades[selectorSubSeccion],SMALL(IF(K$1=Unidades[selectorSeccion],MATCH(ROW(Unidades[selectorSeccion]),ROW(Unidades[selectorSeccion]))),ROW(J31))),"")</f>
        <v/>
      </c>
      <c r="L32" s="50" t="str">
        <f t="array" aca="1" ref="L32" ca="1">IFERROR(INDEX(Unidades[selectorSubSeccion],SMALL(IF(L$1=Unidades[selectorSeccion],MATCH(ROW(Unidades[selectorSeccion]),ROW(Unidades[selectorSeccion]))),ROW(K31))),"")</f>
        <v/>
      </c>
      <c r="M32" s="50" t="str">
        <f t="array" aca="1" ref="M32" ca="1">IFERROR(INDEX(Unidades[selectorSubSeccion],SMALL(IF(M$1=Unidades[selectorSeccion],MATCH(ROW(Unidades[selectorSeccion]),ROW(Unidades[selectorSeccion]))),ROW(L31))),"")</f>
        <v/>
      </c>
      <c r="N32" s="50" t="str">
        <f t="array" aca="1" ref="N32" ca="1">IFERROR(INDEX(Unidades[selectorSubSeccion],SMALL(IF(N$1=Unidades[selectorSeccion],MATCH(ROW(Unidades[selectorSeccion]),ROW(Unidades[selectorSeccion]))),ROW(M31))),"")</f>
        <v/>
      </c>
      <c r="O32" s="50" t="str">
        <f t="array" aca="1" ref="O32" ca="1">IFERROR(INDEX(Unidades[selectorSubSeccion],SMALL(IF(O$1=Unidades[selectorSeccion],MATCH(ROW(Unidades[selectorSeccion]),ROW(Unidades[selectorSeccion]))),ROW(N31))),"")</f>
        <v/>
      </c>
      <c r="P32" s="50" t="str">
        <f t="array" aca="1" ref="P32" ca="1">IFERROR(INDEX(Unidades[selectorSubSeccion],SMALL(IF(P$1=Unidades[selectorSeccion],MATCH(ROW(Unidades[selectorSeccion]),ROW(Unidades[selectorSeccion]))),ROW(O31))),"")</f>
        <v/>
      </c>
      <c r="Q32" s="50" t="str">
        <f t="array" aca="1" ref="Q32" ca="1">IFERROR(INDEX(Unidades[selectorSubSeccion],SMALL(IF(Q$1=Unidades[selectorSeccion],MATCH(ROW(Unidades[selectorSeccion]),ROW(Unidades[selectorSeccion]))),ROW(P31))),"")</f>
        <v/>
      </c>
      <c r="R32" s="50" t="str">
        <f t="array" aca="1" ref="R32" ca="1">IFERROR(INDEX(Unidades[selectorSubSeccion],SMALL(IF(R$1=Unidades[selectorSeccion],MATCH(ROW(Unidades[selectorSeccion]),ROW(Unidades[selectorSeccion]))),ROW(Q31))),"")</f>
        <v/>
      </c>
      <c r="S32" s="50" t="str">
        <f t="array" aca="1" ref="S32" ca="1">IFERROR(INDEX(Unidades[selectorSubSeccion],SMALL(IF(S$1=Unidades[selectorSeccion],MATCH(ROW(Unidades[selectorSeccion]),ROW(Unidades[selectorSeccion]))),ROW(R31))),"")</f>
        <v/>
      </c>
      <c r="T32" s="50" t="str">
        <f t="array" aca="1" ref="T32" ca="1">IFERROR(INDEX(Unidades[selectorSubSeccion],SMALL(IF(T$1=Unidades[selectorSeccion],MATCH(ROW(Unidades[selectorSeccion]),ROW(Unidades[selectorSeccion]))),ROW(S31))),"")</f>
        <v/>
      </c>
      <c r="U32" s="50" t="str">
        <f t="array" aca="1" ref="U32" ca="1">IFERROR(INDEX(Unidades[selectorSubSeccion],SMALL(IF(U$1=Unidades[selectorSeccion],MATCH(ROW(Unidades[selectorSeccion]),ROW(Unidades[selectorSeccion]))),ROW(T31))),"")</f>
        <v/>
      </c>
      <c r="V32" s="50" t="str">
        <f t="array" aca="1" ref="V32" ca="1">IFERROR(INDEX(Unidades[selectorSubSeccion],SMALL(IF(V$1=Unidades[selectorSeccion],MATCH(ROW(Unidades[selectorSeccion]),ROW(Unidades[selectorSeccion]))),ROW(U31))),"")</f>
        <v/>
      </c>
      <c r="W32" s="50" t="str">
        <f t="array" aca="1" ref="W32" ca="1">IFERROR(INDEX(Unidades[selectorSubSeccion],SMALL(IF(W$1=Unidades[selectorSeccion],MATCH(ROW(Unidades[selectorSeccion]),ROW(Unidades[selectorSeccion]))),ROW(V31))),"")</f>
        <v/>
      </c>
      <c r="X32" s="50" t="str">
        <f t="array" aca="1" ref="X32" ca="1">IFERROR(INDEX(Unidades[selectorSubSeccion],SMALL(IF(X$1=Unidades[selectorSeccion],MATCH(ROW(Unidades[selectorSeccion]),ROW(Unidades[selectorSeccion]))),ROW(W31))),"")</f>
        <v/>
      </c>
      <c r="Y32" s="50" t="str">
        <f t="array" aca="1" ref="Y32" ca="1">IFERROR(INDEX(Unidades[selectorSubSeccion],SMALL(IF(Y$1=Unidades[selectorSeccion],MATCH(ROW(Unidades[selectorSeccion]),ROW(Unidades[selectorSeccion]))),ROW(X31))),"")</f>
        <v/>
      </c>
      <c r="Z32" s="50" t="str">
        <f t="array" aca="1" ref="Z32" ca="1">IFERROR(INDEX(Unidades[selectorSubSeccion],SMALL(IF(Z$1=Unidades[selectorSeccion],MATCH(ROW(Unidades[selectorSeccion]),ROW(Unidades[selectorSeccion]))),ROW(Y31))),"")</f>
        <v/>
      </c>
      <c r="AA32" s="50" t="str">
        <f t="array" aca="1" ref="AA32" ca="1">IFERROR(INDEX(Unidades[selectorSubSeccion],SMALL(IF(AA$1=Unidades[selectorSeccion],MATCH(ROW(Unidades[selectorSeccion]),ROW(Unidades[selectorSeccion]))),ROW(Z31))),"")</f>
        <v/>
      </c>
      <c r="AB32" s="50" t="str">
        <f t="array" aca="1" ref="AB32" ca="1">IFERROR(INDEX(Unidades[selectorSubSeccion],SMALL(IF(AB$1=Unidades[selectorSeccion],MATCH(ROW(Unidades[selectorSeccion]),ROW(Unidades[selectorSeccion]))),ROW(AA31))),"")</f>
        <v/>
      </c>
      <c r="AC32" s="50" t="str">
        <f t="array" aca="1" ref="AC32" ca="1">IFERROR(INDEX(Unidades[selectorSubSeccion],SMALL(IF(AC$1=Unidades[selectorSeccion],MATCH(ROW(Unidades[selectorSeccion]),ROW(Unidades[selectorSeccion]))),ROW(AB31))),"")</f>
        <v/>
      </c>
      <c r="AD32" s="50" t="str">
        <f t="array" aca="1" ref="AD32" ca="1">IFERROR(INDEX(Unidades[selectorSubSeccion],SMALL(IF(AD$1=Unidades[selectorSeccion],MATCH(ROW(Unidades[selectorSeccion]),ROW(Unidades[selectorSeccion]))),ROW(AC31))),"")</f>
        <v/>
      </c>
      <c r="AE32" s="50" t="str">
        <f t="array" aca="1" ref="AE32" ca="1">IFERROR(INDEX(Unidades[selectorSubSeccion],SMALL(IF(AE$1=Unidades[selectorSeccion],MATCH(ROW(Unidades[selectorSeccion]),ROW(Unidades[selectorSeccion]))),ROW(AD31))),"")</f>
        <v/>
      </c>
      <c r="AF32" s="50" t="str">
        <f t="array" aca="1" ref="AF32" ca="1">IFERROR(INDEX(Unidades[selectorSubSeccion],SMALL(IF(AF$1=Unidades[selectorSeccion],MATCH(ROW(Unidades[selectorSeccion]),ROW(Unidades[selectorSeccion]))),ROW(AE31))),"")</f>
        <v/>
      </c>
      <c r="AG32" s="50" t="str">
        <f t="array" aca="1" ref="AG32" ca="1">IFERROR(INDEX(Unidades[selectorSubSeccion],SMALL(IF(AG$1=Unidades[selectorSeccion],MATCH(ROW(Unidades[selectorSeccion]),ROW(Unidades[selectorSeccion]))),ROW(AF31))),"")</f>
        <v/>
      </c>
    </row>
    <row r="33" spans="2:33" x14ac:dyDescent="0.3">
      <c r="B33" s="50" t="str">
        <f t="array" aca="1" ref="B33" ca="1">IFERROR(INDEX(Unidades[selectorSubSeccion],SMALL(IF(B$1=Unidades[selectorSeccion],MATCH(ROW(Unidades[selectorSeccion]),ROW(Unidades[selectorSeccion]))),ROW(A32))),"")</f>
        <v/>
      </c>
      <c r="C33" s="50" t="str">
        <f t="array" aca="1" ref="C33" ca="1">IFERROR(INDEX(Unidades[selectorSubSeccion],SMALL(IF(C$1=Unidades[selectorSeccion],MATCH(ROW(Unidades[selectorSeccion]),ROW(Unidades[selectorSeccion]))),ROW(B32))),"")</f>
        <v/>
      </c>
      <c r="D33" s="50" t="str">
        <f t="array" aca="1" ref="D33" ca="1">IFERROR(INDEX(Unidades[selectorSubSeccion],SMALL(IF(D$1=Unidades[selectorSeccion],MATCH(ROW(Unidades[selectorSeccion]),ROW(Unidades[selectorSeccion]))),ROW(C32))),"")</f>
        <v/>
      </c>
      <c r="E33" s="50" t="str">
        <f t="array" aca="1" ref="E33" ca="1">IFERROR(INDEX(Unidades[selectorSubSeccion],SMALL(IF(E$1=Unidades[selectorSeccion],MATCH(ROW(Unidades[selectorSeccion]),ROW(Unidades[selectorSeccion]))),ROW(D32))),"")</f>
        <v/>
      </c>
      <c r="F33" s="50" t="str">
        <f t="array" aca="1" ref="F33" ca="1">IFERROR(INDEX(Unidades[selectorSubSeccion],SMALL(IF(F$1=Unidades[selectorSeccion],MATCH(ROW(Unidades[selectorSeccion]),ROW(Unidades[selectorSeccion]))),ROW(E32))),"")</f>
        <v/>
      </c>
      <c r="G33" s="50" t="str">
        <f t="array" aca="1" ref="G33" ca="1">IFERROR(INDEX(Unidades[selectorSubSeccion],SMALL(IF(G$1=Unidades[selectorSeccion],MATCH(ROW(Unidades[selectorSeccion]),ROW(Unidades[selectorSeccion]))),ROW(F32))),"")</f>
        <v/>
      </c>
      <c r="H33" s="50" t="str">
        <f t="array" aca="1" ref="H33" ca="1">IFERROR(INDEX(Unidades[selectorSubSeccion],SMALL(IF(H$1=Unidades[selectorSeccion],MATCH(ROW(Unidades[selectorSeccion]),ROW(Unidades[selectorSeccion]))),ROW(G32))),"")</f>
        <v/>
      </c>
      <c r="I33" s="50" t="str">
        <f t="array" aca="1" ref="I33" ca="1">IFERROR(INDEX(Unidades[selectorSubSeccion],SMALL(IF(I$1=Unidades[selectorSeccion],MATCH(ROW(Unidades[selectorSeccion]),ROW(Unidades[selectorSeccion]))),ROW(H32))),"")</f>
        <v/>
      </c>
      <c r="J33" s="50" t="str">
        <f t="array" aca="1" ref="J33" ca="1">IFERROR(INDEX(Unidades[selectorSubSeccion],SMALL(IF(J$1=Unidades[selectorSeccion],MATCH(ROW(Unidades[selectorSeccion]),ROW(Unidades[selectorSeccion]))),ROW(I32))),"")</f>
        <v/>
      </c>
      <c r="K33" s="50" t="str">
        <f t="array" aca="1" ref="K33" ca="1">IFERROR(INDEX(Unidades[selectorSubSeccion],SMALL(IF(K$1=Unidades[selectorSeccion],MATCH(ROW(Unidades[selectorSeccion]),ROW(Unidades[selectorSeccion]))),ROW(J32))),"")</f>
        <v/>
      </c>
      <c r="L33" s="50" t="str">
        <f t="array" aca="1" ref="L33" ca="1">IFERROR(INDEX(Unidades[selectorSubSeccion],SMALL(IF(L$1=Unidades[selectorSeccion],MATCH(ROW(Unidades[selectorSeccion]),ROW(Unidades[selectorSeccion]))),ROW(K32))),"")</f>
        <v/>
      </c>
      <c r="M33" s="50" t="str">
        <f t="array" aca="1" ref="M33" ca="1">IFERROR(INDEX(Unidades[selectorSubSeccion],SMALL(IF(M$1=Unidades[selectorSeccion],MATCH(ROW(Unidades[selectorSeccion]),ROW(Unidades[selectorSeccion]))),ROW(L32))),"")</f>
        <v/>
      </c>
      <c r="N33" s="50" t="str">
        <f t="array" aca="1" ref="N33" ca="1">IFERROR(INDEX(Unidades[selectorSubSeccion],SMALL(IF(N$1=Unidades[selectorSeccion],MATCH(ROW(Unidades[selectorSeccion]),ROW(Unidades[selectorSeccion]))),ROW(M32))),"")</f>
        <v/>
      </c>
      <c r="O33" s="50" t="str">
        <f t="array" aca="1" ref="O33" ca="1">IFERROR(INDEX(Unidades[selectorSubSeccion],SMALL(IF(O$1=Unidades[selectorSeccion],MATCH(ROW(Unidades[selectorSeccion]),ROW(Unidades[selectorSeccion]))),ROW(N32))),"")</f>
        <v/>
      </c>
      <c r="P33" s="50" t="str">
        <f t="array" aca="1" ref="P33" ca="1">IFERROR(INDEX(Unidades[selectorSubSeccion],SMALL(IF(P$1=Unidades[selectorSeccion],MATCH(ROW(Unidades[selectorSeccion]),ROW(Unidades[selectorSeccion]))),ROW(O32))),"")</f>
        <v/>
      </c>
      <c r="Q33" s="50" t="str">
        <f t="array" aca="1" ref="Q33" ca="1">IFERROR(INDEX(Unidades[selectorSubSeccion],SMALL(IF(Q$1=Unidades[selectorSeccion],MATCH(ROW(Unidades[selectorSeccion]),ROW(Unidades[selectorSeccion]))),ROW(P32))),"")</f>
        <v/>
      </c>
      <c r="R33" s="50" t="str">
        <f t="array" aca="1" ref="R33" ca="1">IFERROR(INDEX(Unidades[selectorSubSeccion],SMALL(IF(R$1=Unidades[selectorSeccion],MATCH(ROW(Unidades[selectorSeccion]),ROW(Unidades[selectorSeccion]))),ROW(Q32))),"")</f>
        <v/>
      </c>
      <c r="S33" s="50" t="str">
        <f t="array" aca="1" ref="S33" ca="1">IFERROR(INDEX(Unidades[selectorSubSeccion],SMALL(IF(S$1=Unidades[selectorSeccion],MATCH(ROW(Unidades[selectorSeccion]),ROW(Unidades[selectorSeccion]))),ROW(R32))),"")</f>
        <v/>
      </c>
      <c r="T33" s="50" t="str">
        <f t="array" aca="1" ref="T33" ca="1">IFERROR(INDEX(Unidades[selectorSubSeccion],SMALL(IF(T$1=Unidades[selectorSeccion],MATCH(ROW(Unidades[selectorSeccion]),ROW(Unidades[selectorSeccion]))),ROW(S32))),"")</f>
        <v/>
      </c>
      <c r="U33" s="50" t="str">
        <f t="array" aca="1" ref="U33" ca="1">IFERROR(INDEX(Unidades[selectorSubSeccion],SMALL(IF(U$1=Unidades[selectorSeccion],MATCH(ROW(Unidades[selectorSeccion]),ROW(Unidades[selectorSeccion]))),ROW(T32))),"")</f>
        <v/>
      </c>
      <c r="V33" s="50" t="str">
        <f t="array" aca="1" ref="V33" ca="1">IFERROR(INDEX(Unidades[selectorSubSeccion],SMALL(IF(V$1=Unidades[selectorSeccion],MATCH(ROW(Unidades[selectorSeccion]),ROW(Unidades[selectorSeccion]))),ROW(U32))),"")</f>
        <v/>
      </c>
      <c r="W33" s="50" t="str">
        <f t="array" aca="1" ref="W33" ca="1">IFERROR(INDEX(Unidades[selectorSubSeccion],SMALL(IF(W$1=Unidades[selectorSeccion],MATCH(ROW(Unidades[selectorSeccion]),ROW(Unidades[selectorSeccion]))),ROW(V32))),"")</f>
        <v/>
      </c>
      <c r="X33" s="50" t="str">
        <f t="array" aca="1" ref="X33" ca="1">IFERROR(INDEX(Unidades[selectorSubSeccion],SMALL(IF(X$1=Unidades[selectorSeccion],MATCH(ROW(Unidades[selectorSeccion]),ROW(Unidades[selectorSeccion]))),ROW(W32))),"")</f>
        <v/>
      </c>
      <c r="Y33" s="50" t="str">
        <f t="array" aca="1" ref="Y33" ca="1">IFERROR(INDEX(Unidades[selectorSubSeccion],SMALL(IF(Y$1=Unidades[selectorSeccion],MATCH(ROW(Unidades[selectorSeccion]),ROW(Unidades[selectorSeccion]))),ROW(X32))),"")</f>
        <v/>
      </c>
      <c r="Z33" s="50" t="str">
        <f t="array" aca="1" ref="Z33" ca="1">IFERROR(INDEX(Unidades[selectorSubSeccion],SMALL(IF(Z$1=Unidades[selectorSeccion],MATCH(ROW(Unidades[selectorSeccion]),ROW(Unidades[selectorSeccion]))),ROW(Y32))),"")</f>
        <v/>
      </c>
      <c r="AA33" s="50" t="str">
        <f t="array" aca="1" ref="AA33" ca="1">IFERROR(INDEX(Unidades[selectorSubSeccion],SMALL(IF(AA$1=Unidades[selectorSeccion],MATCH(ROW(Unidades[selectorSeccion]),ROW(Unidades[selectorSeccion]))),ROW(Z32))),"")</f>
        <v/>
      </c>
      <c r="AB33" s="50" t="str">
        <f t="array" aca="1" ref="AB33" ca="1">IFERROR(INDEX(Unidades[selectorSubSeccion],SMALL(IF(AB$1=Unidades[selectorSeccion],MATCH(ROW(Unidades[selectorSeccion]),ROW(Unidades[selectorSeccion]))),ROW(AA32))),"")</f>
        <v/>
      </c>
      <c r="AC33" s="50" t="str">
        <f t="array" aca="1" ref="AC33" ca="1">IFERROR(INDEX(Unidades[selectorSubSeccion],SMALL(IF(AC$1=Unidades[selectorSeccion],MATCH(ROW(Unidades[selectorSeccion]),ROW(Unidades[selectorSeccion]))),ROW(AB32))),"")</f>
        <v/>
      </c>
      <c r="AD33" s="50" t="str">
        <f t="array" aca="1" ref="AD33" ca="1">IFERROR(INDEX(Unidades[selectorSubSeccion],SMALL(IF(AD$1=Unidades[selectorSeccion],MATCH(ROW(Unidades[selectorSeccion]),ROW(Unidades[selectorSeccion]))),ROW(AC32))),"")</f>
        <v/>
      </c>
      <c r="AE33" s="50" t="str">
        <f t="array" aca="1" ref="AE33" ca="1">IFERROR(INDEX(Unidades[selectorSubSeccion],SMALL(IF(AE$1=Unidades[selectorSeccion],MATCH(ROW(Unidades[selectorSeccion]),ROW(Unidades[selectorSeccion]))),ROW(AD32))),"")</f>
        <v/>
      </c>
      <c r="AF33" s="50" t="str">
        <f t="array" aca="1" ref="AF33" ca="1">IFERROR(INDEX(Unidades[selectorSubSeccion],SMALL(IF(AF$1=Unidades[selectorSeccion],MATCH(ROW(Unidades[selectorSeccion]),ROW(Unidades[selectorSeccion]))),ROW(AE32))),"")</f>
        <v/>
      </c>
      <c r="AG33" s="50" t="str">
        <f t="array" aca="1" ref="AG33" ca="1">IFERROR(INDEX(Unidades[selectorSubSeccion],SMALL(IF(AG$1=Unidades[selectorSeccion],MATCH(ROW(Unidades[selectorSeccion]),ROW(Unidades[selectorSeccion]))),ROW(AF32))),"")</f>
        <v/>
      </c>
    </row>
    <row r="34" spans="2:33" x14ac:dyDescent="0.3">
      <c r="B34" s="50" t="str">
        <f t="array" aca="1" ref="B34" ca="1">IFERROR(INDEX(Unidades[selectorSubSeccion],SMALL(IF(B$1=Unidades[selectorSeccion],MATCH(ROW(Unidades[selectorSeccion]),ROW(Unidades[selectorSeccion]))),ROW(A33))),"")</f>
        <v/>
      </c>
      <c r="C34" s="50" t="str">
        <f t="array" aca="1" ref="C34" ca="1">IFERROR(INDEX(Unidades[selectorSubSeccion],SMALL(IF(C$1=Unidades[selectorSeccion],MATCH(ROW(Unidades[selectorSeccion]),ROW(Unidades[selectorSeccion]))),ROW(B33))),"")</f>
        <v/>
      </c>
      <c r="D34" s="50" t="str">
        <f t="array" aca="1" ref="D34" ca="1">IFERROR(INDEX(Unidades[selectorSubSeccion],SMALL(IF(D$1=Unidades[selectorSeccion],MATCH(ROW(Unidades[selectorSeccion]),ROW(Unidades[selectorSeccion]))),ROW(C33))),"")</f>
        <v/>
      </c>
      <c r="E34" s="50" t="str">
        <f t="array" aca="1" ref="E34" ca="1">IFERROR(INDEX(Unidades[selectorSubSeccion],SMALL(IF(E$1=Unidades[selectorSeccion],MATCH(ROW(Unidades[selectorSeccion]),ROW(Unidades[selectorSeccion]))),ROW(D33))),"")</f>
        <v/>
      </c>
      <c r="F34" s="50" t="str">
        <f t="array" aca="1" ref="F34" ca="1">IFERROR(INDEX(Unidades[selectorSubSeccion],SMALL(IF(F$1=Unidades[selectorSeccion],MATCH(ROW(Unidades[selectorSeccion]),ROW(Unidades[selectorSeccion]))),ROW(E33))),"")</f>
        <v/>
      </c>
      <c r="G34" s="50" t="str">
        <f t="array" aca="1" ref="G34" ca="1">IFERROR(INDEX(Unidades[selectorSubSeccion],SMALL(IF(G$1=Unidades[selectorSeccion],MATCH(ROW(Unidades[selectorSeccion]),ROW(Unidades[selectorSeccion]))),ROW(F33))),"")</f>
        <v/>
      </c>
      <c r="H34" s="50" t="str">
        <f t="array" aca="1" ref="H34" ca="1">IFERROR(INDEX(Unidades[selectorSubSeccion],SMALL(IF(H$1=Unidades[selectorSeccion],MATCH(ROW(Unidades[selectorSeccion]),ROW(Unidades[selectorSeccion]))),ROW(G33))),"")</f>
        <v/>
      </c>
      <c r="I34" s="50" t="str">
        <f t="array" aca="1" ref="I34" ca="1">IFERROR(INDEX(Unidades[selectorSubSeccion],SMALL(IF(I$1=Unidades[selectorSeccion],MATCH(ROW(Unidades[selectorSeccion]),ROW(Unidades[selectorSeccion]))),ROW(H33))),"")</f>
        <v/>
      </c>
      <c r="J34" s="50" t="str">
        <f t="array" aca="1" ref="J34" ca="1">IFERROR(INDEX(Unidades[selectorSubSeccion],SMALL(IF(J$1=Unidades[selectorSeccion],MATCH(ROW(Unidades[selectorSeccion]),ROW(Unidades[selectorSeccion]))),ROW(I33))),"")</f>
        <v/>
      </c>
      <c r="K34" s="50" t="str">
        <f t="array" aca="1" ref="K34" ca="1">IFERROR(INDEX(Unidades[selectorSubSeccion],SMALL(IF(K$1=Unidades[selectorSeccion],MATCH(ROW(Unidades[selectorSeccion]),ROW(Unidades[selectorSeccion]))),ROW(J33))),"")</f>
        <v/>
      </c>
      <c r="L34" s="50" t="str">
        <f t="array" aca="1" ref="L34" ca="1">IFERROR(INDEX(Unidades[selectorSubSeccion],SMALL(IF(L$1=Unidades[selectorSeccion],MATCH(ROW(Unidades[selectorSeccion]),ROW(Unidades[selectorSeccion]))),ROW(K33))),"")</f>
        <v/>
      </c>
      <c r="M34" s="50" t="str">
        <f t="array" aca="1" ref="M34" ca="1">IFERROR(INDEX(Unidades[selectorSubSeccion],SMALL(IF(M$1=Unidades[selectorSeccion],MATCH(ROW(Unidades[selectorSeccion]),ROW(Unidades[selectorSeccion]))),ROW(L33))),"")</f>
        <v/>
      </c>
      <c r="N34" s="50" t="str">
        <f t="array" aca="1" ref="N34" ca="1">IFERROR(INDEX(Unidades[selectorSubSeccion],SMALL(IF(N$1=Unidades[selectorSeccion],MATCH(ROW(Unidades[selectorSeccion]),ROW(Unidades[selectorSeccion]))),ROW(M33))),"")</f>
        <v/>
      </c>
      <c r="O34" s="50" t="str">
        <f t="array" aca="1" ref="O34" ca="1">IFERROR(INDEX(Unidades[selectorSubSeccion],SMALL(IF(O$1=Unidades[selectorSeccion],MATCH(ROW(Unidades[selectorSeccion]),ROW(Unidades[selectorSeccion]))),ROW(N33))),"")</f>
        <v/>
      </c>
      <c r="P34" s="50" t="str">
        <f t="array" aca="1" ref="P34" ca="1">IFERROR(INDEX(Unidades[selectorSubSeccion],SMALL(IF(P$1=Unidades[selectorSeccion],MATCH(ROW(Unidades[selectorSeccion]),ROW(Unidades[selectorSeccion]))),ROW(O33))),"")</f>
        <v/>
      </c>
      <c r="Q34" s="50" t="str">
        <f t="array" aca="1" ref="Q34" ca="1">IFERROR(INDEX(Unidades[selectorSubSeccion],SMALL(IF(Q$1=Unidades[selectorSeccion],MATCH(ROW(Unidades[selectorSeccion]),ROW(Unidades[selectorSeccion]))),ROW(P33))),"")</f>
        <v/>
      </c>
      <c r="R34" s="50" t="str">
        <f t="array" aca="1" ref="R34" ca="1">IFERROR(INDEX(Unidades[selectorSubSeccion],SMALL(IF(R$1=Unidades[selectorSeccion],MATCH(ROW(Unidades[selectorSeccion]),ROW(Unidades[selectorSeccion]))),ROW(Q33))),"")</f>
        <v/>
      </c>
      <c r="S34" s="50" t="str">
        <f t="array" aca="1" ref="S34" ca="1">IFERROR(INDEX(Unidades[selectorSubSeccion],SMALL(IF(S$1=Unidades[selectorSeccion],MATCH(ROW(Unidades[selectorSeccion]),ROW(Unidades[selectorSeccion]))),ROW(R33))),"")</f>
        <v/>
      </c>
      <c r="T34" s="50" t="str">
        <f t="array" aca="1" ref="T34" ca="1">IFERROR(INDEX(Unidades[selectorSubSeccion],SMALL(IF(T$1=Unidades[selectorSeccion],MATCH(ROW(Unidades[selectorSeccion]),ROW(Unidades[selectorSeccion]))),ROW(S33))),"")</f>
        <v/>
      </c>
      <c r="U34" s="50" t="str">
        <f t="array" aca="1" ref="U34" ca="1">IFERROR(INDEX(Unidades[selectorSubSeccion],SMALL(IF(U$1=Unidades[selectorSeccion],MATCH(ROW(Unidades[selectorSeccion]),ROW(Unidades[selectorSeccion]))),ROW(T33))),"")</f>
        <v/>
      </c>
      <c r="V34" s="50" t="str">
        <f t="array" aca="1" ref="V34" ca="1">IFERROR(INDEX(Unidades[selectorSubSeccion],SMALL(IF(V$1=Unidades[selectorSeccion],MATCH(ROW(Unidades[selectorSeccion]),ROW(Unidades[selectorSeccion]))),ROW(U33))),"")</f>
        <v/>
      </c>
      <c r="W34" s="50" t="str">
        <f t="array" aca="1" ref="W34" ca="1">IFERROR(INDEX(Unidades[selectorSubSeccion],SMALL(IF(W$1=Unidades[selectorSeccion],MATCH(ROW(Unidades[selectorSeccion]),ROW(Unidades[selectorSeccion]))),ROW(V33))),"")</f>
        <v/>
      </c>
      <c r="X34" s="50" t="str">
        <f t="array" aca="1" ref="X34" ca="1">IFERROR(INDEX(Unidades[selectorSubSeccion],SMALL(IF(X$1=Unidades[selectorSeccion],MATCH(ROW(Unidades[selectorSeccion]),ROW(Unidades[selectorSeccion]))),ROW(W33))),"")</f>
        <v/>
      </c>
      <c r="Y34" s="50" t="str">
        <f t="array" aca="1" ref="Y34" ca="1">IFERROR(INDEX(Unidades[selectorSubSeccion],SMALL(IF(Y$1=Unidades[selectorSeccion],MATCH(ROW(Unidades[selectorSeccion]),ROW(Unidades[selectorSeccion]))),ROW(X33))),"")</f>
        <v/>
      </c>
      <c r="Z34" s="50" t="str">
        <f t="array" aca="1" ref="Z34" ca="1">IFERROR(INDEX(Unidades[selectorSubSeccion],SMALL(IF(Z$1=Unidades[selectorSeccion],MATCH(ROW(Unidades[selectorSeccion]),ROW(Unidades[selectorSeccion]))),ROW(Y33))),"")</f>
        <v/>
      </c>
      <c r="AA34" s="50" t="str">
        <f t="array" aca="1" ref="AA34" ca="1">IFERROR(INDEX(Unidades[selectorSubSeccion],SMALL(IF(AA$1=Unidades[selectorSeccion],MATCH(ROW(Unidades[selectorSeccion]),ROW(Unidades[selectorSeccion]))),ROW(Z33))),"")</f>
        <v/>
      </c>
      <c r="AB34" s="50" t="str">
        <f t="array" aca="1" ref="AB34" ca="1">IFERROR(INDEX(Unidades[selectorSubSeccion],SMALL(IF(AB$1=Unidades[selectorSeccion],MATCH(ROW(Unidades[selectorSeccion]),ROW(Unidades[selectorSeccion]))),ROW(AA33))),"")</f>
        <v/>
      </c>
      <c r="AC34" s="50" t="str">
        <f t="array" aca="1" ref="AC34" ca="1">IFERROR(INDEX(Unidades[selectorSubSeccion],SMALL(IF(AC$1=Unidades[selectorSeccion],MATCH(ROW(Unidades[selectorSeccion]),ROW(Unidades[selectorSeccion]))),ROW(AB33))),"")</f>
        <v/>
      </c>
      <c r="AD34" s="50" t="str">
        <f t="array" aca="1" ref="AD34" ca="1">IFERROR(INDEX(Unidades[selectorSubSeccion],SMALL(IF(AD$1=Unidades[selectorSeccion],MATCH(ROW(Unidades[selectorSeccion]),ROW(Unidades[selectorSeccion]))),ROW(AC33))),"")</f>
        <v/>
      </c>
      <c r="AE34" s="50" t="str">
        <f t="array" aca="1" ref="AE34" ca="1">IFERROR(INDEX(Unidades[selectorSubSeccion],SMALL(IF(AE$1=Unidades[selectorSeccion],MATCH(ROW(Unidades[selectorSeccion]),ROW(Unidades[selectorSeccion]))),ROW(AD33))),"")</f>
        <v/>
      </c>
      <c r="AF34" s="50" t="str">
        <f t="array" aca="1" ref="AF34" ca="1">IFERROR(INDEX(Unidades[selectorSubSeccion],SMALL(IF(AF$1=Unidades[selectorSeccion],MATCH(ROW(Unidades[selectorSeccion]),ROW(Unidades[selectorSeccion]))),ROW(AE33))),"")</f>
        <v/>
      </c>
      <c r="AG34" s="50" t="str">
        <f t="array" aca="1" ref="AG34" ca="1">IFERROR(INDEX(Unidades[selectorSubSeccion],SMALL(IF(AG$1=Unidades[selectorSeccion],MATCH(ROW(Unidades[selectorSeccion]),ROW(Unidades[selectorSeccion]))),ROW(AF33))),"")</f>
        <v/>
      </c>
    </row>
    <row r="35" spans="2:33" x14ac:dyDescent="0.3">
      <c r="B35" s="50" t="str">
        <f t="array" aca="1" ref="B35" ca="1">IFERROR(INDEX(Unidades[selectorSubSeccion],SMALL(IF(B$1=Unidades[selectorSeccion],MATCH(ROW(Unidades[selectorSeccion]),ROW(Unidades[selectorSeccion]))),ROW(A34))),"")</f>
        <v/>
      </c>
      <c r="C35" s="50" t="str">
        <f t="array" aca="1" ref="C35" ca="1">IFERROR(INDEX(Unidades[selectorSubSeccion],SMALL(IF(C$1=Unidades[selectorSeccion],MATCH(ROW(Unidades[selectorSeccion]),ROW(Unidades[selectorSeccion]))),ROW(B34))),"")</f>
        <v/>
      </c>
      <c r="D35" s="50" t="str">
        <f t="array" aca="1" ref="D35" ca="1">IFERROR(INDEX(Unidades[selectorSubSeccion],SMALL(IF(D$1=Unidades[selectorSeccion],MATCH(ROW(Unidades[selectorSeccion]),ROW(Unidades[selectorSeccion]))),ROW(C34))),"")</f>
        <v/>
      </c>
      <c r="E35" s="50" t="str">
        <f t="array" aca="1" ref="E35" ca="1">IFERROR(INDEX(Unidades[selectorSubSeccion],SMALL(IF(E$1=Unidades[selectorSeccion],MATCH(ROW(Unidades[selectorSeccion]),ROW(Unidades[selectorSeccion]))),ROW(D34))),"")</f>
        <v/>
      </c>
      <c r="F35" s="50" t="str">
        <f t="array" aca="1" ref="F35" ca="1">IFERROR(INDEX(Unidades[selectorSubSeccion],SMALL(IF(F$1=Unidades[selectorSeccion],MATCH(ROW(Unidades[selectorSeccion]),ROW(Unidades[selectorSeccion]))),ROW(E34))),"")</f>
        <v/>
      </c>
      <c r="G35" s="50" t="str">
        <f t="array" aca="1" ref="G35" ca="1">IFERROR(INDEX(Unidades[selectorSubSeccion],SMALL(IF(G$1=Unidades[selectorSeccion],MATCH(ROW(Unidades[selectorSeccion]),ROW(Unidades[selectorSeccion]))),ROW(F34))),"")</f>
        <v/>
      </c>
      <c r="H35" s="50" t="str">
        <f t="array" aca="1" ref="H35" ca="1">IFERROR(INDEX(Unidades[selectorSubSeccion],SMALL(IF(H$1=Unidades[selectorSeccion],MATCH(ROW(Unidades[selectorSeccion]),ROW(Unidades[selectorSeccion]))),ROW(G34))),"")</f>
        <v/>
      </c>
      <c r="I35" s="50" t="str">
        <f t="array" aca="1" ref="I35" ca="1">IFERROR(INDEX(Unidades[selectorSubSeccion],SMALL(IF(I$1=Unidades[selectorSeccion],MATCH(ROW(Unidades[selectorSeccion]),ROW(Unidades[selectorSeccion]))),ROW(H34))),"")</f>
        <v/>
      </c>
      <c r="J35" s="50" t="str">
        <f t="array" aca="1" ref="J35" ca="1">IFERROR(INDEX(Unidades[selectorSubSeccion],SMALL(IF(J$1=Unidades[selectorSeccion],MATCH(ROW(Unidades[selectorSeccion]),ROW(Unidades[selectorSeccion]))),ROW(I34))),"")</f>
        <v/>
      </c>
      <c r="K35" s="50" t="str">
        <f t="array" aca="1" ref="K35" ca="1">IFERROR(INDEX(Unidades[selectorSubSeccion],SMALL(IF(K$1=Unidades[selectorSeccion],MATCH(ROW(Unidades[selectorSeccion]),ROW(Unidades[selectorSeccion]))),ROW(J34))),"")</f>
        <v/>
      </c>
      <c r="L35" s="50" t="str">
        <f t="array" aca="1" ref="L35" ca="1">IFERROR(INDEX(Unidades[selectorSubSeccion],SMALL(IF(L$1=Unidades[selectorSeccion],MATCH(ROW(Unidades[selectorSeccion]),ROW(Unidades[selectorSeccion]))),ROW(K34))),"")</f>
        <v/>
      </c>
      <c r="M35" s="50" t="str">
        <f t="array" aca="1" ref="M35" ca="1">IFERROR(INDEX(Unidades[selectorSubSeccion],SMALL(IF(M$1=Unidades[selectorSeccion],MATCH(ROW(Unidades[selectorSeccion]),ROW(Unidades[selectorSeccion]))),ROW(L34))),"")</f>
        <v/>
      </c>
      <c r="N35" s="50" t="str">
        <f t="array" aca="1" ref="N35" ca="1">IFERROR(INDEX(Unidades[selectorSubSeccion],SMALL(IF(N$1=Unidades[selectorSeccion],MATCH(ROW(Unidades[selectorSeccion]),ROW(Unidades[selectorSeccion]))),ROW(M34))),"")</f>
        <v/>
      </c>
      <c r="O35" s="50" t="str">
        <f t="array" aca="1" ref="O35" ca="1">IFERROR(INDEX(Unidades[selectorSubSeccion],SMALL(IF(O$1=Unidades[selectorSeccion],MATCH(ROW(Unidades[selectorSeccion]),ROW(Unidades[selectorSeccion]))),ROW(N34))),"")</f>
        <v/>
      </c>
      <c r="P35" s="50" t="str">
        <f t="array" aca="1" ref="P35" ca="1">IFERROR(INDEX(Unidades[selectorSubSeccion],SMALL(IF(P$1=Unidades[selectorSeccion],MATCH(ROW(Unidades[selectorSeccion]),ROW(Unidades[selectorSeccion]))),ROW(O34))),"")</f>
        <v/>
      </c>
      <c r="Q35" s="50" t="str">
        <f t="array" aca="1" ref="Q35" ca="1">IFERROR(INDEX(Unidades[selectorSubSeccion],SMALL(IF(Q$1=Unidades[selectorSeccion],MATCH(ROW(Unidades[selectorSeccion]),ROW(Unidades[selectorSeccion]))),ROW(P34))),"")</f>
        <v/>
      </c>
      <c r="R35" s="50" t="str">
        <f t="array" aca="1" ref="R35" ca="1">IFERROR(INDEX(Unidades[selectorSubSeccion],SMALL(IF(R$1=Unidades[selectorSeccion],MATCH(ROW(Unidades[selectorSeccion]),ROW(Unidades[selectorSeccion]))),ROW(Q34))),"")</f>
        <v/>
      </c>
      <c r="S35" s="50" t="str">
        <f t="array" aca="1" ref="S35" ca="1">IFERROR(INDEX(Unidades[selectorSubSeccion],SMALL(IF(S$1=Unidades[selectorSeccion],MATCH(ROW(Unidades[selectorSeccion]),ROW(Unidades[selectorSeccion]))),ROW(R34))),"")</f>
        <v/>
      </c>
      <c r="T35" s="50" t="str">
        <f t="array" aca="1" ref="T35" ca="1">IFERROR(INDEX(Unidades[selectorSubSeccion],SMALL(IF(T$1=Unidades[selectorSeccion],MATCH(ROW(Unidades[selectorSeccion]),ROW(Unidades[selectorSeccion]))),ROW(S34))),"")</f>
        <v/>
      </c>
      <c r="U35" s="50" t="str">
        <f t="array" aca="1" ref="U35" ca="1">IFERROR(INDEX(Unidades[selectorSubSeccion],SMALL(IF(U$1=Unidades[selectorSeccion],MATCH(ROW(Unidades[selectorSeccion]),ROW(Unidades[selectorSeccion]))),ROW(T34))),"")</f>
        <v/>
      </c>
      <c r="V35" s="50" t="str">
        <f t="array" aca="1" ref="V35" ca="1">IFERROR(INDEX(Unidades[selectorSubSeccion],SMALL(IF(V$1=Unidades[selectorSeccion],MATCH(ROW(Unidades[selectorSeccion]),ROW(Unidades[selectorSeccion]))),ROW(U34))),"")</f>
        <v/>
      </c>
      <c r="W35" s="50" t="str">
        <f t="array" aca="1" ref="W35" ca="1">IFERROR(INDEX(Unidades[selectorSubSeccion],SMALL(IF(W$1=Unidades[selectorSeccion],MATCH(ROW(Unidades[selectorSeccion]),ROW(Unidades[selectorSeccion]))),ROW(V34))),"")</f>
        <v/>
      </c>
      <c r="X35" s="50" t="str">
        <f t="array" aca="1" ref="X35" ca="1">IFERROR(INDEX(Unidades[selectorSubSeccion],SMALL(IF(X$1=Unidades[selectorSeccion],MATCH(ROW(Unidades[selectorSeccion]),ROW(Unidades[selectorSeccion]))),ROW(W34))),"")</f>
        <v/>
      </c>
      <c r="Y35" s="50" t="str">
        <f t="array" aca="1" ref="Y35" ca="1">IFERROR(INDEX(Unidades[selectorSubSeccion],SMALL(IF(Y$1=Unidades[selectorSeccion],MATCH(ROW(Unidades[selectorSeccion]),ROW(Unidades[selectorSeccion]))),ROW(X34))),"")</f>
        <v/>
      </c>
      <c r="Z35" s="50" t="str">
        <f t="array" aca="1" ref="Z35" ca="1">IFERROR(INDEX(Unidades[selectorSubSeccion],SMALL(IF(Z$1=Unidades[selectorSeccion],MATCH(ROW(Unidades[selectorSeccion]),ROW(Unidades[selectorSeccion]))),ROW(Y34))),"")</f>
        <v/>
      </c>
      <c r="AA35" s="50" t="str">
        <f t="array" aca="1" ref="AA35" ca="1">IFERROR(INDEX(Unidades[selectorSubSeccion],SMALL(IF(AA$1=Unidades[selectorSeccion],MATCH(ROW(Unidades[selectorSeccion]),ROW(Unidades[selectorSeccion]))),ROW(Z34))),"")</f>
        <v/>
      </c>
      <c r="AB35" s="50" t="str">
        <f t="array" aca="1" ref="AB35" ca="1">IFERROR(INDEX(Unidades[selectorSubSeccion],SMALL(IF(AB$1=Unidades[selectorSeccion],MATCH(ROW(Unidades[selectorSeccion]),ROW(Unidades[selectorSeccion]))),ROW(AA34))),"")</f>
        <v/>
      </c>
      <c r="AC35" s="50" t="str">
        <f t="array" aca="1" ref="AC35" ca="1">IFERROR(INDEX(Unidades[selectorSubSeccion],SMALL(IF(AC$1=Unidades[selectorSeccion],MATCH(ROW(Unidades[selectorSeccion]),ROW(Unidades[selectorSeccion]))),ROW(AB34))),"")</f>
        <v/>
      </c>
      <c r="AD35" s="50" t="str">
        <f t="array" aca="1" ref="AD35" ca="1">IFERROR(INDEX(Unidades[selectorSubSeccion],SMALL(IF(AD$1=Unidades[selectorSeccion],MATCH(ROW(Unidades[selectorSeccion]),ROW(Unidades[selectorSeccion]))),ROW(AC34))),"")</f>
        <v/>
      </c>
      <c r="AE35" s="50" t="str">
        <f t="array" aca="1" ref="AE35" ca="1">IFERROR(INDEX(Unidades[selectorSubSeccion],SMALL(IF(AE$1=Unidades[selectorSeccion],MATCH(ROW(Unidades[selectorSeccion]),ROW(Unidades[selectorSeccion]))),ROW(AD34))),"")</f>
        <v/>
      </c>
      <c r="AF35" s="50" t="str">
        <f t="array" aca="1" ref="AF35" ca="1">IFERROR(INDEX(Unidades[selectorSubSeccion],SMALL(IF(AF$1=Unidades[selectorSeccion],MATCH(ROW(Unidades[selectorSeccion]),ROW(Unidades[selectorSeccion]))),ROW(AE34))),"")</f>
        <v/>
      </c>
      <c r="AG35" s="50" t="str">
        <f t="array" aca="1" ref="AG35" ca="1">IFERROR(INDEX(Unidades[selectorSubSeccion],SMALL(IF(AG$1=Unidades[selectorSeccion],MATCH(ROW(Unidades[selectorSeccion]),ROW(Unidades[selectorSeccion]))),ROW(AF34))),"")</f>
        <v/>
      </c>
    </row>
    <row r="36" spans="2:33" x14ac:dyDescent="0.3">
      <c r="B36" s="50" t="str">
        <f t="array" aca="1" ref="B36" ca="1">IFERROR(INDEX(Unidades[selectorSubSeccion],SMALL(IF(B$1=Unidades[selectorSeccion],MATCH(ROW(Unidades[selectorSeccion]),ROW(Unidades[selectorSeccion]))),ROW(A35))),"")</f>
        <v/>
      </c>
      <c r="C36" s="50" t="str">
        <f t="array" aca="1" ref="C36" ca="1">IFERROR(INDEX(Unidades[selectorSubSeccion],SMALL(IF(C$1=Unidades[selectorSeccion],MATCH(ROW(Unidades[selectorSeccion]),ROW(Unidades[selectorSeccion]))),ROW(B35))),"")</f>
        <v/>
      </c>
      <c r="D36" s="50" t="str">
        <f t="array" aca="1" ref="D36" ca="1">IFERROR(INDEX(Unidades[selectorSubSeccion],SMALL(IF(D$1=Unidades[selectorSeccion],MATCH(ROW(Unidades[selectorSeccion]),ROW(Unidades[selectorSeccion]))),ROW(C35))),"")</f>
        <v/>
      </c>
      <c r="E36" s="50" t="str">
        <f t="array" aca="1" ref="E36" ca="1">IFERROR(INDEX(Unidades[selectorSubSeccion],SMALL(IF(E$1=Unidades[selectorSeccion],MATCH(ROW(Unidades[selectorSeccion]),ROW(Unidades[selectorSeccion]))),ROW(D35))),"")</f>
        <v/>
      </c>
      <c r="F36" s="50" t="str">
        <f t="array" aca="1" ref="F36" ca="1">IFERROR(INDEX(Unidades[selectorSubSeccion],SMALL(IF(F$1=Unidades[selectorSeccion],MATCH(ROW(Unidades[selectorSeccion]),ROW(Unidades[selectorSeccion]))),ROW(E35))),"")</f>
        <v/>
      </c>
      <c r="G36" s="50" t="str">
        <f t="array" aca="1" ref="G36" ca="1">IFERROR(INDEX(Unidades[selectorSubSeccion],SMALL(IF(G$1=Unidades[selectorSeccion],MATCH(ROW(Unidades[selectorSeccion]),ROW(Unidades[selectorSeccion]))),ROW(F35))),"")</f>
        <v/>
      </c>
      <c r="H36" s="50" t="str">
        <f t="array" aca="1" ref="H36" ca="1">IFERROR(INDEX(Unidades[selectorSubSeccion],SMALL(IF(H$1=Unidades[selectorSeccion],MATCH(ROW(Unidades[selectorSeccion]),ROW(Unidades[selectorSeccion]))),ROW(G35))),"")</f>
        <v/>
      </c>
      <c r="I36" s="50" t="str">
        <f t="array" aca="1" ref="I36" ca="1">IFERROR(INDEX(Unidades[selectorSubSeccion],SMALL(IF(I$1=Unidades[selectorSeccion],MATCH(ROW(Unidades[selectorSeccion]),ROW(Unidades[selectorSeccion]))),ROW(H35))),"")</f>
        <v/>
      </c>
      <c r="J36" s="50" t="str">
        <f t="array" aca="1" ref="J36" ca="1">IFERROR(INDEX(Unidades[selectorSubSeccion],SMALL(IF(J$1=Unidades[selectorSeccion],MATCH(ROW(Unidades[selectorSeccion]),ROW(Unidades[selectorSeccion]))),ROW(I35))),"")</f>
        <v/>
      </c>
      <c r="K36" s="50" t="str">
        <f t="array" aca="1" ref="K36" ca="1">IFERROR(INDEX(Unidades[selectorSubSeccion],SMALL(IF(K$1=Unidades[selectorSeccion],MATCH(ROW(Unidades[selectorSeccion]),ROW(Unidades[selectorSeccion]))),ROW(J35))),"")</f>
        <v/>
      </c>
      <c r="L36" s="50" t="str">
        <f t="array" aca="1" ref="L36" ca="1">IFERROR(INDEX(Unidades[selectorSubSeccion],SMALL(IF(L$1=Unidades[selectorSeccion],MATCH(ROW(Unidades[selectorSeccion]),ROW(Unidades[selectorSeccion]))),ROW(K35))),"")</f>
        <v/>
      </c>
      <c r="M36" s="50" t="str">
        <f t="array" aca="1" ref="M36" ca="1">IFERROR(INDEX(Unidades[selectorSubSeccion],SMALL(IF(M$1=Unidades[selectorSeccion],MATCH(ROW(Unidades[selectorSeccion]),ROW(Unidades[selectorSeccion]))),ROW(L35))),"")</f>
        <v/>
      </c>
      <c r="N36" s="50" t="str">
        <f t="array" aca="1" ref="N36" ca="1">IFERROR(INDEX(Unidades[selectorSubSeccion],SMALL(IF(N$1=Unidades[selectorSeccion],MATCH(ROW(Unidades[selectorSeccion]),ROW(Unidades[selectorSeccion]))),ROW(M35))),"")</f>
        <v/>
      </c>
      <c r="O36" s="50" t="str">
        <f t="array" aca="1" ref="O36" ca="1">IFERROR(INDEX(Unidades[selectorSubSeccion],SMALL(IF(O$1=Unidades[selectorSeccion],MATCH(ROW(Unidades[selectorSeccion]),ROW(Unidades[selectorSeccion]))),ROW(N35))),"")</f>
        <v/>
      </c>
      <c r="P36" s="50" t="str">
        <f t="array" aca="1" ref="P36" ca="1">IFERROR(INDEX(Unidades[selectorSubSeccion],SMALL(IF(P$1=Unidades[selectorSeccion],MATCH(ROW(Unidades[selectorSeccion]),ROW(Unidades[selectorSeccion]))),ROW(O35))),"")</f>
        <v/>
      </c>
      <c r="Q36" s="50" t="str">
        <f t="array" aca="1" ref="Q36" ca="1">IFERROR(INDEX(Unidades[selectorSubSeccion],SMALL(IF(Q$1=Unidades[selectorSeccion],MATCH(ROW(Unidades[selectorSeccion]),ROW(Unidades[selectorSeccion]))),ROW(P35))),"")</f>
        <v/>
      </c>
      <c r="R36" s="50" t="str">
        <f t="array" aca="1" ref="R36" ca="1">IFERROR(INDEX(Unidades[selectorSubSeccion],SMALL(IF(R$1=Unidades[selectorSeccion],MATCH(ROW(Unidades[selectorSeccion]),ROW(Unidades[selectorSeccion]))),ROW(Q35))),"")</f>
        <v/>
      </c>
      <c r="S36" s="50" t="str">
        <f t="array" aca="1" ref="S36" ca="1">IFERROR(INDEX(Unidades[selectorSubSeccion],SMALL(IF(S$1=Unidades[selectorSeccion],MATCH(ROW(Unidades[selectorSeccion]),ROW(Unidades[selectorSeccion]))),ROW(R35))),"")</f>
        <v/>
      </c>
      <c r="T36" s="50" t="str">
        <f t="array" aca="1" ref="T36" ca="1">IFERROR(INDEX(Unidades[selectorSubSeccion],SMALL(IF(T$1=Unidades[selectorSeccion],MATCH(ROW(Unidades[selectorSeccion]),ROW(Unidades[selectorSeccion]))),ROW(S35))),"")</f>
        <v/>
      </c>
      <c r="U36" s="50" t="str">
        <f t="array" aca="1" ref="U36" ca="1">IFERROR(INDEX(Unidades[selectorSubSeccion],SMALL(IF(U$1=Unidades[selectorSeccion],MATCH(ROW(Unidades[selectorSeccion]),ROW(Unidades[selectorSeccion]))),ROW(T35))),"")</f>
        <v/>
      </c>
      <c r="V36" s="50" t="str">
        <f t="array" aca="1" ref="V36" ca="1">IFERROR(INDEX(Unidades[selectorSubSeccion],SMALL(IF(V$1=Unidades[selectorSeccion],MATCH(ROW(Unidades[selectorSeccion]),ROW(Unidades[selectorSeccion]))),ROW(U35))),"")</f>
        <v/>
      </c>
      <c r="W36" s="50" t="str">
        <f t="array" aca="1" ref="W36" ca="1">IFERROR(INDEX(Unidades[selectorSubSeccion],SMALL(IF(W$1=Unidades[selectorSeccion],MATCH(ROW(Unidades[selectorSeccion]),ROW(Unidades[selectorSeccion]))),ROW(V35))),"")</f>
        <v/>
      </c>
      <c r="X36" s="50" t="str">
        <f t="array" aca="1" ref="X36" ca="1">IFERROR(INDEX(Unidades[selectorSubSeccion],SMALL(IF(X$1=Unidades[selectorSeccion],MATCH(ROW(Unidades[selectorSeccion]),ROW(Unidades[selectorSeccion]))),ROW(W35))),"")</f>
        <v/>
      </c>
      <c r="Y36" s="50" t="str">
        <f t="array" aca="1" ref="Y36" ca="1">IFERROR(INDEX(Unidades[selectorSubSeccion],SMALL(IF(Y$1=Unidades[selectorSeccion],MATCH(ROW(Unidades[selectorSeccion]),ROW(Unidades[selectorSeccion]))),ROW(X35))),"")</f>
        <v/>
      </c>
      <c r="Z36" s="50" t="str">
        <f t="array" aca="1" ref="Z36" ca="1">IFERROR(INDEX(Unidades[selectorSubSeccion],SMALL(IF(Z$1=Unidades[selectorSeccion],MATCH(ROW(Unidades[selectorSeccion]),ROW(Unidades[selectorSeccion]))),ROW(Y35))),"")</f>
        <v/>
      </c>
      <c r="AA36" s="50" t="str">
        <f t="array" aca="1" ref="AA36" ca="1">IFERROR(INDEX(Unidades[selectorSubSeccion],SMALL(IF(AA$1=Unidades[selectorSeccion],MATCH(ROW(Unidades[selectorSeccion]),ROW(Unidades[selectorSeccion]))),ROW(Z35))),"")</f>
        <v/>
      </c>
      <c r="AB36" s="50" t="str">
        <f t="array" aca="1" ref="AB36" ca="1">IFERROR(INDEX(Unidades[selectorSubSeccion],SMALL(IF(AB$1=Unidades[selectorSeccion],MATCH(ROW(Unidades[selectorSeccion]),ROW(Unidades[selectorSeccion]))),ROW(AA35))),"")</f>
        <v/>
      </c>
      <c r="AC36" s="50" t="str">
        <f t="array" aca="1" ref="AC36" ca="1">IFERROR(INDEX(Unidades[selectorSubSeccion],SMALL(IF(AC$1=Unidades[selectorSeccion],MATCH(ROW(Unidades[selectorSeccion]),ROW(Unidades[selectorSeccion]))),ROW(AB35))),"")</f>
        <v/>
      </c>
      <c r="AD36" s="50" t="str">
        <f t="array" aca="1" ref="AD36" ca="1">IFERROR(INDEX(Unidades[selectorSubSeccion],SMALL(IF(AD$1=Unidades[selectorSeccion],MATCH(ROW(Unidades[selectorSeccion]),ROW(Unidades[selectorSeccion]))),ROW(AC35))),"")</f>
        <v/>
      </c>
      <c r="AE36" s="50" t="str">
        <f t="array" aca="1" ref="AE36" ca="1">IFERROR(INDEX(Unidades[selectorSubSeccion],SMALL(IF(AE$1=Unidades[selectorSeccion],MATCH(ROW(Unidades[selectorSeccion]),ROW(Unidades[selectorSeccion]))),ROW(AD35))),"")</f>
        <v/>
      </c>
      <c r="AF36" s="50" t="str">
        <f t="array" aca="1" ref="AF36" ca="1">IFERROR(INDEX(Unidades[selectorSubSeccion],SMALL(IF(AF$1=Unidades[selectorSeccion],MATCH(ROW(Unidades[selectorSeccion]),ROW(Unidades[selectorSeccion]))),ROW(AE35))),"")</f>
        <v/>
      </c>
      <c r="AG36" s="50" t="str">
        <f t="array" aca="1" ref="AG36" ca="1">IFERROR(INDEX(Unidades[selectorSubSeccion],SMALL(IF(AG$1=Unidades[selectorSeccion],MATCH(ROW(Unidades[selectorSeccion]),ROW(Unidades[selectorSeccion]))),ROW(AF35))),"")</f>
        <v/>
      </c>
    </row>
    <row r="37" spans="2:33" x14ac:dyDescent="0.3">
      <c r="B37" s="50" t="str">
        <f t="array" aca="1" ref="B37" ca="1">IFERROR(INDEX(Unidades[selectorSubSeccion],SMALL(IF(B$1=Unidades[selectorSeccion],MATCH(ROW(Unidades[selectorSeccion]),ROW(Unidades[selectorSeccion]))),ROW(A36))),"")</f>
        <v/>
      </c>
      <c r="C37" s="50" t="str">
        <f t="array" aca="1" ref="C37" ca="1">IFERROR(INDEX(Unidades[selectorSubSeccion],SMALL(IF(C$1=Unidades[selectorSeccion],MATCH(ROW(Unidades[selectorSeccion]),ROW(Unidades[selectorSeccion]))),ROW(B36))),"")</f>
        <v/>
      </c>
      <c r="D37" s="50" t="str">
        <f t="array" aca="1" ref="D37" ca="1">IFERROR(INDEX(Unidades[selectorSubSeccion],SMALL(IF(D$1=Unidades[selectorSeccion],MATCH(ROW(Unidades[selectorSeccion]),ROW(Unidades[selectorSeccion]))),ROW(C36))),"")</f>
        <v/>
      </c>
      <c r="E37" s="50" t="str">
        <f t="array" aca="1" ref="E37" ca="1">IFERROR(INDEX(Unidades[selectorSubSeccion],SMALL(IF(E$1=Unidades[selectorSeccion],MATCH(ROW(Unidades[selectorSeccion]),ROW(Unidades[selectorSeccion]))),ROW(D36))),"")</f>
        <v/>
      </c>
      <c r="F37" s="50" t="str">
        <f t="array" aca="1" ref="F37" ca="1">IFERROR(INDEX(Unidades[selectorSubSeccion],SMALL(IF(F$1=Unidades[selectorSeccion],MATCH(ROW(Unidades[selectorSeccion]),ROW(Unidades[selectorSeccion]))),ROW(E36))),"")</f>
        <v/>
      </c>
      <c r="G37" s="50" t="str">
        <f t="array" aca="1" ref="G37" ca="1">IFERROR(INDEX(Unidades[selectorSubSeccion],SMALL(IF(G$1=Unidades[selectorSeccion],MATCH(ROW(Unidades[selectorSeccion]),ROW(Unidades[selectorSeccion]))),ROW(F36))),"")</f>
        <v/>
      </c>
      <c r="H37" s="50" t="str">
        <f t="array" aca="1" ref="H37" ca="1">IFERROR(INDEX(Unidades[selectorSubSeccion],SMALL(IF(H$1=Unidades[selectorSeccion],MATCH(ROW(Unidades[selectorSeccion]),ROW(Unidades[selectorSeccion]))),ROW(G36))),"")</f>
        <v/>
      </c>
      <c r="I37" s="50" t="str">
        <f t="array" aca="1" ref="I37" ca="1">IFERROR(INDEX(Unidades[selectorSubSeccion],SMALL(IF(I$1=Unidades[selectorSeccion],MATCH(ROW(Unidades[selectorSeccion]),ROW(Unidades[selectorSeccion]))),ROW(H36))),"")</f>
        <v/>
      </c>
      <c r="J37" s="50" t="str">
        <f t="array" aca="1" ref="J37" ca="1">IFERROR(INDEX(Unidades[selectorSubSeccion],SMALL(IF(J$1=Unidades[selectorSeccion],MATCH(ROW(Unidades[selectorSeccion]),ROW(Unidades[selectorSeccion]))),ROW(I36))),"")</f>
        <v/>
      </c>
      <c r="K37" s="50" t="str">
        <f t="array" aca="1" ref="K37" ca="1">IFERROR(INDEX(Unidades[selectorSubSeccion],SMALL(IF(K$1=Unidades[selectorSeccion],MATCH(ROW(Unidades[selectorSeccion]),ROW(Unidades[selectorSeccion]))),ROW(J36))),"")</f>
        <v/>
      </c>
      <c r="L37" s="50" t="str">
        <f t="array" aca="1" ref="L37" ca="1">IFERROR(INDEX(Unidades[selectorSubSeccion],SMALL(IF(L$1=Unidades[selectorSeccion],MATCH(ROW(Unidades[selectorSeccion]),ROW(Unidades[selectorSeccion]))),ROW(K36))),"")</f>
        <v/>
      </c>
      <c r="M37" s="50" t="str">
        <f t="array" aca="1" ref="M37" ca="1">IFERROR(INDEX(Unidades[selectorSubSeccion],SMALL(IF(M$1=Unidades[selectorSeccion],MATCH(ROW(Unidades[selectorSeccion]),ROW(Unidades[selectorSeccion]))),ROW(L36))),"")</f>
        <v/>
      </c>
      <c r="N37" s="50" t="str">
        <f t="array" aca="1" ref="N37" ca="1">IFERROR(INDEX(Unidades[selectorSubSeccion],SMALL(IF(N$1=Unidades[selectorSeccion],MATCH(ROW(Unidades[selectorSeccion]),ROW(Unidades[selectorSeccion]))),ROW(M36))),"")</f>
        <v/>
      </c>
      <c r="O37" s="50" t="str">
        <f t="array" aca="1" ref="O37" ca="1">IFERROR(INDEX(Unidades[selectorSubSeccion],SMALL(IF(O$1=Unidades[selectorSeccion],MATCH(ROW(Unidades[selectorSeccion]),ROW(Unidades[selectorSeccion]))),ROW(N36))),"")</f>
        <v/>
      </c>
      <c r="P37" s="50" t="str">
        <f t="array" aca="1" ref="P37" ca="1">IFERROR(INDEX(Unidades[selectorSubSeccion],SMALL(IF(P$1=Unidades[selectorSeccion],MATCH(ROW(Unidades[selectorSeccion]),ROW(Unidades[selectorSeccion]))),ROW(O36))),"")</f>
        <v/>
      </c>
      <c r="Q37" s="50" t="str">
        <f t="array" aca="1" ref="Q37" ca="1">IFERROR(INDEX(Unidades[selectorSubSeccion],SMALL(IF(Q$1=Unidades[selectorSeccion],MATCH(ROW(Unidades[selectorSeccion]),ROW(Unidades[selectorSeccion]))),ROW(P36))),"")</f>
        <v/>
      </c>
      <c r="R37" s="50" t="str">
        <f t="array" aca="1" ref="R37" ca="1">IFERROR(INDEX(Unidades[selectorSubSeccion],SMALL(IF(R$1=Unidades[selectorSeccion],MATCH(ROW(Unidades[selectorSeccion]),ROW(Unidades[selectorSeccion]))),ROW(Q36))),"")</f>
        <v/>
      </c>
      <c r="S37" s="50" t="str">
        <f t="array" aca="1" ref="S37" ca="1">IFERROR(INDEX(Unidades[selectorSubSeccion],SMALL(IF(S$1=Unidades[selectorSeccion],MATCH(ROW(Unidades[selectorSeccion]),ROW(Unidades[selectorSeccion]))),ROW(R36))),"")</f>
        <v/>
      </c>
      <c r="T37" s="50" t="str">
        <f t="array" aca="1" ref="T37" ca="1">IFERROR(INDEX(Unidades[selectorSubSeccion],SMALL(IF(T$1=Unidades[selectorSeccion],MATCH(ROW(Unidades[selectorSeccion]),ROW(Unidades[selectorSeccion]))),ROW(S36))),"")</f>
        <v/>
      </c>
      <c r="U37" s="50" t="str">
        <f t="array" aca="1" ref="U37" ca="1">IFERROR(INDEX(Unidades[selectorSubSeccion],SMALL(IF(U$1=Unidades[selectorSeccion],MATCH(ROW(Unidades[selectorSeccion]),ROW(Unidades[selectorSeccion]))),ROW(T36))),"")</f>
        <v/>
      </c>
      <c r="V37" s="50" t="str">
        <f t="array" aca="1" ref="V37" ca="1">IFERROR(INDEX(Unidades[selectorSubSeccion],SMALL(IF(V$1=Unidades[selectorSeccion],MATCH(ROW(Unidades[selectorSeccion]),ROW(Unidades[selectorSeccion]))),ROW(U36))),"")</f>
        <v/>
      </c>
      <c r="W37" s="50" t="str">
        <f t="array" aca="1" ref="W37" ca="1">IFERROR(INDEX(Unidades[selectorSubSeccion],SMALL(IF(W$1=Unidades[selectorSeccion],MATCH(ROW(Unidades[selectorSeccion]),ROW(Unidades[selectorSeccion]))),ROW(V36))),"")</f>
        <v/>
      </c>
      <c r="X37" s="50" t="str">
        <f t="array" aca="1" ref="X37" ca="1">IFERROR(INDEX(Unidades[selectorSubSeccion],SMALL(IF(X$1=Unidades[selectorSeccion],MATCH(ROW(Unidades[selectorSeccion]),ROW(Unidades[selectorSeccion]))),ROW(W36))),"")</f>
        <v/>
      </c>
      <c r="Y37" s="50" t="str">
        <f t="array" aca="1" ref="Y37" ca="1">IFERROR(INDEX(Unidades[selectorSubSeccion],SMALL(IF(Y$1=Unidades[selectorSeccion],MATCH(ROW(Unidades[selectorSeccion]),ROW(Unidades[selectorSeccion]))),ROW(X36))),"")</f>
        <v/>
      </c>
      <c r="Z37" s="50" t="str">
        <f t="array" aca="1" ref="Z37" ca="1">IFERROR(INDEX(Unidades[selectorSubSeccion],SMALL(IF(Z$1=Unidades[selectorSeccion],MATCH(ROW(Unidades[selectorSeccion]),ROW(Unidades[selectorSeccion]))),ROW(Y36))),"")</f>
        <v/>
      </c>
      <c r="AA37" s="50" t="str">
        <f t="array" aca="1" ref="AA37" ca="1">IFERROR(INDEX(Unidades[selectorSubSeccion],SMALL(IF(AA$1=Unidades[selectorSeccion],MATCH(ROW(Unidades[selectorSeccion]),ROW(Unidades[selectorSeccion]))),ROW(Z36))),"")</f>
        <v/>
      </c>
      <c r="AB37" s="50" t="str">
        <f t="array" aca="1" ref="AB37" ca="1">IFERROR(INDEX(Unidades[selectorSubSeccion],SMALL(IF(AB$1=Unidades[selectorSeccion],MATCH(ROW(Unidades[selectorSeccion]),ROW(Unidades[selectorSeccion]))),ROW(AA36))),"")</f>
        <v/>
      </c>
      <c r="AC37" s="50" t="str">
        <f t="array" aca="1" ref="AC37" ca="1">IFERROR(INDEX(Unidades[selectorSubSeccion],SMALL(IF(AC$1=Unidades[selectorSeccion],MATCH(ROW(Unidades[selectorSeccion]),ROW(Unidades[selectorSeccion]))),ROW(AB36))),"")</f>
        <v/>
      </c>
      <c r="AD37" s="50" t="str">
        <f t="array" aca="1" ref="AD37" ca="1">IFERROR(INDEX(Unidades[selectorSubSeccion],SMALL(IF(AD$1=Unidades[selectorSeccion],MATCH(ROW(Unidades[selectorSeccion]),ROW(Unidades[selectorSeccion]))),ROW(AC36))),"")</f>
        <v/>
      </c>
      <c r="AE37" s="50" t="str">
        <f t="array" aca="1" ref="AE37" ca="1">IFERROR(INDEX(Unidades[selectorSubSeccion],SMALL(IF(AE$1=Unidades[selectorSeccion],MATCH(ROW(Unidades[selectorSeccion]),ROW(Unidades[selectorSeccion]))),ROW(AD36))),"")</f>
        <v/>
      </c>
      <c r="AF37" s="50" t="str">
        <f t="array" aca="1" ref="AF37" ca="1">IFERROR(INDEX(Unidades[selectorSubSeccion],SMALL(IF(AF$1=Unidades[selectorSeccion],MATCH(ROW(Unidades[selectorSeccion]),ROW(Unidades[selectorSeccion]))),ROW(AE36))),"")</f>
        <v/>
      </c>
      <c r="AG37" s="50" t="str">
        <f t="array" aca="1" ref="AG37" ca="1">IFERROR(INDEX(Unidades[selectorSubSeccion],SMALL(IF(AG$1=Unidades[selectorSeccion],MATCH(ROW(Unidades[selectorSeccion]),ROW(Unidades[selectorSeccion]))),ROW(AF36))),"")</f>
        <v/>
      </c>
    </row>
    <row r="38" spans="2:33" x14ac:dyDescent="0.3">
      <c r="B38" s="50" t="str">
        <f t="array" aca="1" ref="B38" ca="1">IFERROR(INDEX(Unidades[selectorSubSeccion],SMALL(IF(B$1=Unidades[selectorSeccion],MATCH(ROW(Unidades[selectorSeccion]),ROW(Unidades[selectorSeccion]))),ROW(A37))),"")</f>
        <v/>
      </c>
      <c r="C38" s="50" t="str">
        <f t="array" aca="1" ref="C38" ca="1">IFERROR(INDEX(Unidades[selectorSubSeccion],SMALL(IF(C$1=Unidades[selectorSeccion],MATCH(ROW(Unidades[selectorSeccion]),ROW(Unidades[selectorSeccion]))),ROW(B37))),"")</f>
        <v/>
      </c>
      <c r="D38" s="50" t="str">
        <f t="array" aca="1" ref="D38" ca="1">IFERROR(INDEX(Unidades[selectorSubSeccion],SMALL(IF(D$1=Unidades[selectorSeccion],MATCH(ROW(Unidades[selectorSeccion]),ROW(Unidades[selectorSeccion]))),ROW(C37))),"")</f>
        <v/>
      </c>
      <c r="E38" s="50" t="str">
        <f t="array" aca="1" ref="E38" ca="1">IFERROR(INDEX(Unidades[selectorSubSeccion],SMALL(IF(E$1=Unidades[selectorSeccion],MATCH(ROW(Unidades[selectorSeccion]),ROW(Unidades[selectorSeccion]))),ROW(D37))),"")</f>
        <v/>
      </c>
      <c r="F38" s="50" t="str">
        <f t="array" aca="1" ref="F38" ca="1">IFERROR(INDEX(Unidades[selectorSubSeccion],SMALL(IF(F$1=Unidades[selectorSeccion],MATCH(ROW(Unidades[selectorSeccion]),ROW(Unidades[selectorSeccion]))),ROW(E37))),"")</f>
        <v/>
      </c>
      <c r="G38" s="50" t="str">
        <f t="array" aca="1" ref="G38" ca="1">IFERROR(INDEX(Unidades[selectorSubSeccion],SMALL(IF(G$1=Unidades[selectorSeccion],MATCH(ROW(Unidades[selectorSeccion]),ROW(Unidades[selectorSeccion]))),ROW(F37))),"")</f>
        <v/>
      </c>
      <c r="H38" s="50" t="str">
        <f t="array" aca="1" ref="H38" ca="1">IFERROR(INDEX(Unidades[selectorSubSeccion],SMALL(IF(H$1=Unidades[selectorSeccion],MATCH(ROW(Unidades[selectorSeccion]),ROW(Unidades[selectorSeccion]))),ROW(G37))),"")</f>
        <v/>
      </c>
      <c r="I38" s="50" t="str">
        <f t="array" aca="1" ref="I38" ca="1">IFERROR(INDEX(Unidades[selectorSubSeccion],SMALL(IF(I$1=Unidades[selectorSeccion],MATCH(ROW(Unidades[selectorSeccion]),ROW(Unidades[selectorSeccion]))),ROW(H37))),"")</f>
        <v/>
      </c>
      <c r="J38" s="50" t="str">
        <f t="array" aca="1" ref="J38" ca="1">IFERROR(INDEX(Unidades[selectorSubSeccion],SMALL(IF(J$1=Unidades[selectorSeccion],MATCH(ROW(Unidades[selectorSeccion]),ROW(Unidades[selectorSeccion]))),ROW(I37))),"")</f>
        <v/>
      </c>
      <c r="K38" s="50" t="str">
        <f t="array" aca="1" ref="K38" ca="1">IFERROR(INDEX(Unidades[selectorSubSeccion],SMALL(IF(K$1=Unidades[selectorSeccion],MATCH(ROW(Unidades[selectorSeccion]),ROW(Unidades[selectorSeccion]))),ROW(J37))),"")</f>
        <v/>
      </c>
      <c r="L38" s="50" t="str">
        <f t="array" aca="1" ref="L38" ca="1">IFERROR(INDEX(Unidades[selectorSubSeccion],SMALL(IF(L$1=Unidades[selectorSeccion],MATCH(ROW(Unidades[selectorSeccion]),ROW(Unidades[selectorSeccion]))),ROW(K37))),"")</f>
        <v/>
      </c>
      <c r="M38" s="50" t="str">
        <f t="array" aca="1" ref="M38" ca="1">IFERROR(INDEX(Unidades[selectorSubSeccion],SMALL(IF(M$1=Unidades[selectorSeccion],MATCH(ROW(Unidades[selectorSeccion]),ROW(Unidades[selectorSeccion]))),ROW(L37))),"")</f>
        <v/>
      </c>
      <c r="N38" s="50" t="str">
        <f t="array" aca="1" ref="N38" ca="1">IFERROR(INDEX(Unidades[selectorSubSeccion],SMALL(IF(N$1=Unidades[selectorSeccion],MATCH(ROW(Unidades[selectorSeccion]),ROW(Unidades[selectorSeccion]))),ROW(M37))),"")</f>
        <v/>
      </c>
      <c r="O38" s="50" t="str">
        <f t="array" aca="1" ref="O38" ca="1">IFERROR(INDEX(Unidades[selectorSubSeccion],SMALL(IF(O$1=Unidades[selectorSeccion],MATCH(ROW(Unidades[selectorSeccion]),ROW(Unidades[selectorSeccion]))),ROW(N37))),"")</f>
        <v/>
      </c>
      <c r="P38" s="50" t="str">
        <f t="array" aca="1" ref="P38" ca="1">IFERROR(INDEX(Unidades[selectorSubSeccion],SMALL(IF(P$1=Unidades[selectorSeccion],MATCH(ROW(Unidades[selectorSeccion]),ROW(Unidades[selectorSeccion]))),ROW(O37))),"")</f>
        <v/>
      </c>
      <c r="Q38" s="50" t="str">
        <f t="array" aca="1" ref="Q38" ca="1">IFERROR(INDEX(Unidades[selectorSubSeccion],SMALL(IF(Q$1=Unidades[selectorSeccion],MATCH(ROW(Unidades[selectorSeccion]),ROW(Unidades[selectorSeccion]))),ROW(P37))),"")</f>
        <v/>
      </c>
      <c r="R38" s="50" t="str">
        <f t="array" aca="1" ref="R38" ca="1">IFERROR(INDEX(Unidades[selectorSubSeccion],SMALL(IF(R$1=Unidades[selectorSeccion],MATCH(ROW(Unidades[selectorSeccion]),ROW(Unidades[selectorSeccion]))),ROW(Q37))),"")</f>
        <v/>
      </c>
      <c r="S38" s="50" t="str">
        <f t="array" aca="1" ref="S38" ca="1">IFERROR(INDEX(Unidades[selectorSubSeccion],SMALL(IF(S$1=Unidades[selectorSeccion],MATCH(ROW(Unidades[selectorSeccion]),ROW(Unidades[selectorSeccion]))),ROW(R37))),"")</f>
        <v/>
      </c>
      <c r="T38" s="50" t="str">
        <f t="array" aca="1" ref="T38" ca="1">IFERROR(INDEX(Unidades[selectorSubSeccion],SMALL(IF(T$1=Unidades[selectorSeccion],MATCH(ROW(Unidades[selectorSeccion]),ROW(Unidades[selectorSeccion]))),ROW(S37))),"")</f>
        <v/>
      </c>
      <c r="U38" s="50" t="str">
        <f t="array" aca="1" ref="U38" ca="1">IFERROR(INDEX(Unidades[selectorSubSeccion],SMALL(IF(U$1=Unidades[selectorSeccion],MATCH(ROW(Unidades[selectorSeccion]),ROW(Unidades[selectorSeccion]))),ROW(T37))),"")</f>
        <v/>
      </c>
      <c r="V38" s="50" t="str">
        <f t="array" aca="1" ref="V38" ca="1">IFERROR(INDEX(Unidades[selectorSubSeccion],SMALL(IF(V$1=Unidades[selectorSeccion],MATCH(ROW(Unidades[selectorSeccion]),ROW(Unidades[selectorSeccion]))),ROW(U37))),"")</f>
        <v/>
      </c>
      <c r="W38" s="50" t="str">
        <f t="array" aca="1" ref="W38" ca="1">IFERROR(INDEX(Unidades[selectorSubSeccion],SMALL(IF(W$1=Unidades[selectorSeccion],MATCH(ROW(Unidades[selectorSeccion]),ROW(Unidades[selectorSeccion]))),ROW(V37))),"")</f>
        <v/>
      </c>
      <c r="X38" s="50" t="str">
        <f t="array" aca="1" ref="X38" ca="1">IFERROR(INDEX(Unidades[selectorSubSeccion],SMALL(IF(X$1=Unidades[selectorSeccion],MATCH(ROW(Unidades[selectorSeccion]),ROW(Unidades[selectorSeccion]))),ROW(W37))),"")</f>
        <v/>
      </c>
      <c r="Y38" s="50" t="str">
        <f t="array" aca="1" ref="Y38" ca="1">IFERROR(INDEX(Unidades[selectorSubSeccion],SMALL(IF(Y$1=Unidades[selectorSeccion],MATCH(ROW(Unidades[selectorSeccion]),ROW(Unidades[selectorSeccion]))),ROW(X37))),"")</f>
        <v/>
      </c>
      <c r="Z38" s="50" t="str">
        <f t="array" aca="1" ref="Z38" ca="1">IFERROR(INDEX(Unidades[selectorSubSeccion],SMALL(IF(Z$1=Unidades[selectorSeccion],MATCH(ROW(Unidades[selectorSeccion]),ROW(Unidades[selectorSeccion]))),ROW(Y37))),"")</f>
        <v/>
      </c>
      <c r="AA38" s="50" t="str">
        <f t="array" aca="1" ref="AA38" ca="1">IFERROR(INDEX(Unidades[selectorSubSeccion],SMALL(IF(AA$1=Unidades[selectorSeccion],MATCH(ROW(Unidades[selectorSeccion]),ROW(Unidades[selectorSeccion]))),ROW(Z37))),"")</f>
        <v/>
      </c>
      <c r="AB38" s="50" t="str">
        <f t="array" aca="1" ref="AB38" ca="1">IFERROR(INDEX(Unidades[selectorSubSeccion],SMALL(IF(AB$1=Unidades[selectorSeccion],MATCH(ROW(Unidades[selectorSeccion]),ROW(Unidades[selectorSeccion]))),ROW(AA37))),"")</f>
        <v/>
      </c>
      <c r="AC38" s="50" t="str">
        <f t="array" aca="1" ref="AC38" ca="1">IFERROR(INDEX(Unidades[selectorSubSeccion],SMALL(IF(AC$1=Unidades[selectorSeccion],MATCH(ROW(Unidades[selectorSeccion]),ROW(Unidades[selectorSeccion]))),ROW(AB37))),"")</f>
        <v/>
      </c>
      <c r="AD38" s="50" t="str">
        <f t="array" aca="1" ref="AD38" ca="1">IFERROR(INDEX(Unidades[selectorSubSeccion],SMALL(IF(AD$1=Unidades[selectorSeccion],MATCH(ROW(Unidades[selectorSeccion]),ROW(Unidades[selectorSeccion]))),ROW(AC37))),"")</f>
        <v/>
      </c>
      <c r="AE38" s="50" t="str">
        <f t="array" aca="1" ref="AE38" ca="1">IFERROR(INDEX(Unidades[selectorSubSeccion],SMALL(IF(AE$1=Unidades[selectorSeccion],MATCH(ROW(Unidades[selectorSeccion]),ROW(Unidades[selectorSeccion]))),ROW(AD37))),"")</f>
        <v/>
      </c>
      <c r="AF38" s="50" t="str">
        <f t="array" aca="1" ref="AF38" ca="1">IFERROR(INDEX(Unidades[selectorSubSeccion],SMALL(IF(AF$1=Unidades[selectorSeccion],MATCH(ROW(Unidades[selectorSeccion]),ROW(Unidades[selectorSeccion]))),ROW(AE37))),"")</f>
        <v/>
      </c>
      <c r="AG38" s="50" t="str">
        <f t="array" aca="1" ref="AG38" ca="1">IFERROR(INDEX(Unidades[selectorSubSeccion],SMALL(IF(AG$1=Unidades[selectorSeccion],MATCH(ROW(Unidades[selectorSeccion]),ROW(Unidades[selectorSeccion]))),ROW(AF37))),"")</f>
        <v/>
      </c>
    </row>
    <row r="39" spans="2:33" x14ac:dyDescent="0.3">
      <c r="B39" s="50" t="str">
        <f t="array" aca="1" ref="B39" ca="1">IFERROR(INDEX(Unidades[selectorSubSeccion],SMALL(IF(B$1=Unidades[selectorSeccion],MATCH(ROW(Unidades[selectorSeccion]),ROW(Unidades[selectorSeccion]))),ROW(A38))),"")</f>
        <v/>
      </c>
      <c r="C39" s="50" t="str">
        <f t="array" aca="1" ref="C39" ca="1">IFERROR(INDEX(Unidades[selectorSubSeccion],SMALL(IF(C$1=Unidades[selectorSeccion],MATCH(ROW(Unidades[selectorSeccion]),ROW(Unidades[selectorSeccion]))),ROW(B38))),"")</f>
        <v/>
      </c>
      <c r="D39" s="50" t="str">
        <f t="array" aca="1" ref="D39" ca="1">IFERROR(INDEX(Unidades[selectorSubSeccion],SMALL(IF(D$1=Unidades[selectorSeccion],MATCH(ROW(Unidades[selectorSeccion]),ROW(Unidades[selectorSeccion]))),ROW(C38))),"")</f>
        <v/>
      </c>
      <c r="E39" s="50" t="str">
        <f t="array" aca="1" ref="E39" ca="1">IFERROR(INDEX(Unidades[selectorSubSeccion],SMALL(IF(E$1=Unidades[selectorSeccion],MATCH(ROW(Unidades[selectorSeccion]),ROW(Unidades[selectorSeccion]))),ROW(D38))),"")</f>
        <v/>
      </c>
      <c r="F39" s="50" t="str">
        <f t="array" aca="1" ref="F39" ca="1">IFERROR(INDEX(Unidades[selectorSubSeccion],SMALL(IF(F$1=Unidades[selectorSeccion],MATCH(ROW(Unidades[selectorSeccion]),ROW(Unidades[selectorSeccion]))),ROW(E38))),"")</f>
        <v/>
      </c>
      <c r="G39" s="50" t="str">
        <f t="array" aca="1" ref="G39" ca="1">IFERROR(INDEX(Unidades[selectorSubSeccion],SMALL(IF(G$1=Unidades[selectorSeccion],MATCH(ROW(Unidades[selectorSeccion]),ROW(Unidades[selectorSeccion]))),ROW(F38))),"")</f>
        <v/>
      </c>
      <c r="H39" s="50" t="str">
        <f t="array" aca="1" ref="H39" ca="1">IFERROR(INDEX(Unidades[selectorSubSeccion],SMALL(IF(H$1=Unidades[selectorSeccion],MATCH(ROW(Unidades[selectorSeccion]),ROW(Unidades[selectorSeccion]))),ROW(G38))),"")</f>
        <v/>
      </c>
      <c r="I39" s="50" t="str">
        <f t="array" aca="1" ref="I39" ca="1">IFERROR(INDEX(Unidades[selectorSubSeccion],SMALL(IF(I$1=Unidades[selectorSeccion],MATCH(ROW(Unidades[selectorSeccion]),ROW(Unidades[selectorSeccion]))),ROW(H38))),"")</f>
        <v/>
      </c>
      <c r="J39" s="50" t="str">
        <f t="array" aca="1" ref="J39" ca="1">IFERROR(INDEX(Unidades[selectorSubSeccion],SMALL(IF(J$1=Unidades[selectorSeccion],MATCH(ROW(Unidades[selectorSeccion]),ROW(Unidades[selectorSeccion]))),ROW(I38))),"")</f>
        <v/>
      </c>
      <c r="K39" s="50" t="str">
        <f t="array" aca="1" ref="K39" ca="1">IFERROR(INDEX(Unidades[selectorSubSeccion],SMALL(IF(K$1=Unidades[selectorSeccion],MATCH(ROW(Unidades[selectorSeccion]),ROW(Unidades[selectorSeccion]))),ROW(J38))),"")</f>
        <v/>
      </c>
      <c r="L39" s="50" t="str">
        <f t="array" aca="1" ref="L39" ca="1">IFERROR(INDEX(Unidades[selectorSubSeccion],SMALL(IF(L$1=Unidades[selectorSeccion],MATCH(ROW(Unidades[selectorSeccion]),ROW(Unidades[selectorSeccion]))),ROW(K38))),"")</f>
        <v/>
      </c>
      <c r="M39" s="50" t="str">
        <f t="array" aca="1" ref="M39" ca="1">IFERROR(INDEX(Unidades[selectorSubSeccion],SMALL(IF(M$1=Unidades[selectorSeccion],MATCH(ROW(Unidades[selectorSeccion]),ROW(Unidades[selectorSeccion]))),ROW(L38))),"")</f>
        <v/>
      </c>
      <c r="N39" s="50" t="str">
        <f t="array" aca="1" ref="N39" ca="1">IFERROR(INDEX(Unidades[selectorSubSeccion],SMALL(IF(N$1=Unidades[selectorSeccion],MATCH(ROW(Unidades[selectorSeccion]),ROW(Unidades[selectorSeccion]))),ROW(M38))),"")</f>
        <v/>
      </c>
      <c r="O39" s="50" t="str">
        <f t="array" aca="1" ref="O39" ca="1">IFERROR(INDEX(Unidades[selectorSubSeccion],SMALL(IF(O$1=Unidades[selectorSeccion],MATCH(ROW(Unidades[selectorSeccion]),ROW(Unidades[selectorSeccion]))),ROW(N38))),"")</f>
        <v/>
      </c>
      <c r="P39" s="50" t="str">
        <f t="array" aca="1" ref="P39" ca="1">IFERROR(INDEX(Unidades[selectorSubSeccion],SMALL(IF(P$1=Unidades[selectorSeccion],MATCH(ROW(Unidades[selectorSeccion]),ROW(Unidades[selectorSeccion]))),ROW(O38))),"")</f>
        <v/>
      </c>
      <c r="Q39" s="50" t="str">
        <f t="array" aca="1" ref="Q39" ca="1">IFERROR(INDEX(Unidades[selectorSubSeccion],SMALL(IF(Q$1=Unidades[selectorSeccion],MATCH(ROW(Unidades[selectorSeccion]),ROW(Unidades[selectorSeccion]))),ROW(P38))),"")</f>
        <v/>
      </c>
      <c r="R39" s="50" t="str">
        <f t="array" aca="1" ref="R39" ca="1">IFERROR(INDEX(Unidades[selectorSubSeccion],SMALL(IF(R$1=Unidades[selectorSeccion],MATCH(ROW(Unidades[selectorSeccion]),ROW(Unidades[selectorSeccion]))),ROW(Q38))),"")</f>
        <v/>
      </c>
      <c r="S39" s="50" t="str">
        <f t="array" aca="1" ref="S39" ca="1">IFERROR(INDEX(Unidades[selectorSubSeccion],SMALL(IF(S$1=Unidades[selectorSeccion],MATCH(ROW(Unidades[selectorSeccion]),ROW(Unidades[selectorSeccion]))),ROW(R38))),"")</f>
        <v/>
      </c>
      <c r="T39" s="50" t="str">
        <f t="array" aca="1" ref="T39" ca="1">IFERROR(INDEX(Unidades[selectorSubSeccion],SMALL(IF(T$1=Unidades[selectorSeccion],MATCH(ROW(Unidades[selectorSeccion]),ROW(Unidades[selectorSeccion]))),ROW(S38))),"")</f>
        <v/>
      </c>
      <c r="U39" s="50" t="str">
        <f t="array" aca="1" ref="U39" ca="1">IFERROR(INDEX(Unidades[selectorSubSeccion],SMALL(IF(U$1=Unidades[selectorSeccion],MATCH(ROW(Unidades[selectorSeccion]),ROW(Unidades[selectorSeccion]))),ROW(T38))),"")</f>
        <v/>
      </c>
      <c r="V39" s="50" t="str">
        <f t="array" aca="1" ref="V39" ca="1">IFERROR(INDEX(Unidades[selectorSubSeccion],SMALL(IF(V$1=Unidades[selectorSeccion],MATCH(ROW(Unidades[selectorSeccion]),ROW(Unidades[selectorSeccion]))),ROW(U38))),"")</f>
        <v/>
      </c>
      <c r="W39" s="50" t="str">
        <f t="array" aca="1" ref="W39" ca="1">IFERROR(INDEX(Unidades[selectorSubSeccion],SMALL(IF(W$1=Unidades[selectorSeccion],MATCH(ROW(Unidades[selectorSeccion]),ROW(Unidades[selectorSeccion]))),ROW(V38))),"")</f>
        <v/>
      </c>
      <c r="X39" s="50" t="str">
        <f t="array" aca="1" ref="X39" ca="1">IFERROR(INDEX(Unidades[selectorSubSeccion],SMALL(IF(X$1=Unidades[selectorSeccion],MATCH(ROW(Unidades[selectorSeccion]),ROW(Unidades[selectorSeccion]))),ROW(W38))),"")</f>
        <v/>
      </c>
      <c r="Y39" s="50" t="str">
        <f t="array" aca="1" ref="Y39" ca="1">IFERROR(INDEX(Unidades[selectorSubSeccion],SMALL(IF(Y$1=Unidades[selectorSeccion],MATCH(ROW(Unidades[selectorSeccion]),ROW(Unidades[selectorSeccion]))),ROW(X38))),"")</f>
        <v/>
      </c>
      <c r="Z39" s="50" t="str">
        <f t="array" aca="1" ref="Z39" ca="1">IFERROR(INDEX(Unidades[selectorSubSeccion],SMALL(IF(Z$1=Unidades[selectorSeccion],MATCH(ROW(Unidades[selectorSeccion]),ROW(Unidades[selectorSeccion]))),ROW(Y38))),"")</f>
        <v/>
      </c>
      <c r="AA39" s="50" t="str">
        <f t="array" aca="1" ref="AA39" ca="1">IFERROR(INDEX(Unidades[selectorSubSeccion],SMALL(IF(AA$1=Unidades[selectorSeccion],MATCH(ROW(Unidades[selectorSeccion]),ROW(Unidades[selectorSeccion]))),ROW(Z38))),"")</f>
        <v/>
      </c>
      <c r="AB39" s="50" t="str">
        <f t="array" aca="1" ref="AB39" ca="1">IFERROR(INDEX(Unidades[selectorSubSeccion],SMALL(IF(AB$1=Unidades[selectorSeccion],MATCH(ROW(Unidades[selectorSeccion]),ROW(Unidades[selectorSeccion]))),ROW(AA38))),"")</f>
        <v/>
      </c>
      <c r="AC39" s="50" t="str">
        <f t="array" aca="1" ref="AC39" ca="1">IFERROR(INDEX(Unidades[selectorSubSeccion],SMALL(IF(AC$1=Unidades[selectorSeccion],MATCH(ROW(Unidades[selectorSeccion]),ROW(Unidades[selectorSeccion]))),ROW(AB38))),"")</f>
        <v/>
      </c>
      <c r="AD39" s="50" t="str">
        <f t="array" aca="1" ref="AD39" ca="1">IFERROR(INDEX(Unidades[selectorSubSeccion],SMALL(IF(AD$1=Unidades[selectorSeccion],MATCH(ROW(Unidades[selectorSeccion]),ROW(Unidades[selectorSeccion]))),ROW(AC38))),"")</f>
        <v/>
      </c>
      <c r="AE39" s="50" t="str">
        <f t="array" aca="1" ref="AE39" ca="1">IFERROR(INDEX(Unidades[selectorSubSeccion],SMALL(IF(AE$1=Unidades[selectorSeccion],MATCH(ROW(Unidades[selectorSeccion]),ROW(Unidades[selectorSeccion]))),ROW(AD38))),"")</f>
        <v/>
      </c>
      <c r="AF39" s="50" t="str">
        <f t="array" aca="1" ref="AF39" ca="1">IFERROR(INDEX(Unidades[selectorSubSeccion],SMALL(IF(AF$1=Unidades[selectorSeccion],MATCH(ROW(Unidades[selectorSeccion]),ROW(Unidades[selectorSeccion]))),ROW(AE38))),"")</f>
        <v/>
      </c>
      <c r="AG39" s="50" t="str">
        <f t="array" aca="1" ref="AG39" ca="1">IFERROR(INDEX(Unidades[selectorSubSeccion],SMALL(IF(AG$1=Unidades[selectorSeccion],MATCH(ROW(Unidades[selectorSeccion]),ROW(Unidades[selectorSeccion]))),ROW(AF38))),"")</f>
        <v/>
      </c>
    </row>
    <row r="40" spans="2:33" x14ac:dyDescent="0.3">
      <c r="B40" s="50" t="str">
        <f t="array" aca="1" ref="B40" ca="1">IFERROR(INDEX(Unidades[selectorSubSeccion],SMALL(IF(B$1=Unidades[selectorSeccion],MATCH(ROW(Unidades[selectorSeccion]),ROW(Unidades[selectorSeccion]))),ROW(A39))),"")</f>
        <v/>
      </c>
      <c r="C40" s="50" t="str">
        <f t="array" aca="1" ref="C40" ca="1">IFERROR(INDEX(Unidades[selectorSubSeccion],SMALL(IF(C$1=Unidades[selectorSeccion],MATCH(ROW(Unidades[selectorSeccion]),ROW(Unidades[selectorSeccion]))),ROW(B39))),"")</f>
        <v/>
      </c>
      <c r="D40" s="50" t="str">
        <f t="array" aca="1" ref="D40" ca="1">IFERROR(INDEX(Unidades[selectorSubSeccion],SMALL(IF(D$1=Unidades[selectorSeccion],MATCH(ROW(Unidades[selectorSeccion]),ROW(Unidades[selectorSeccion]))),ROW(C39))),"")</f>
        <v/>
      </c>
      <c r="E40" s="50" t="str">
        <f t="array" aca="1" ref="E40" ca="1">IFERROR(INDEX(Unidades[selectorSubSeccion],SMALL(IF(E$1=Unidades[selectorSeccion],MATCH(ROW(Unidades[selectorSeccion]),ROW(Unidades[selectorSeccion]))),ROW(D39))),"")</f>
        <v/>
      </c>
      <c r="F40" s="50" t="str">
        <f t="array" aca="1" ref="F40" ca="1">IFERROR(INDEX(Unidades[selectorSubSeccion],SMALL(IF(F$1=Unidades[selectorSeccion],MATCH(ROW(Unidades[selectorSeccion]),ROW(Unidades[selectorSeccion]))),ROW(E39))),"")</f>
        <v/>
      </c>
      <c r="G40" s="50" t="str">
        <f t="array" aca="1" ref="G40" ca="1">IFERROR(INDEX(Unidades[selectorSubSeccion],SMALL(IF(G$1=Unidades[selectorSeccion],MATCH(ROW(Unidades[selectorSeccion]),ROW(Unidades[selectorSeccion]))),ROW(F39))),"")</f>
        <v/>
      </c>
      <c r="H40" s="50" t="str">
        <f t="array" aca="1" ref="H40" ca="1">IFERROR(INDEX(Unidades[selectorSubSeccion],SMALL(IF(H$1=Unidades[selectorSeccion],MATCH(ROW(Unidades[selectorSeccion]),ROW(Unidades[selectorSeccion]))),ROW(G39))),"")</f>
        <v/>
      </c>
      <c r="I40" s="50" t="str">
        <f t="array" aca="1" ref="I40" ca="1">IFERROR(INDEX(Unidades[selectorSubSeccion],SMALL(IF(I$1=Unidades[selectorSeccion],MATCH(ROW(Unidades[selectorSeccion]),ROW(Unidades[selectorSeccion]))),ROW(H39))),"")</f>
        <v/>
      </c>
      <c r="J40" s="50" t="str">
        <f t="array" aca="1" ref="J40" ca="1">IFERROR(INDEX(Unidades[selectorSubSeccion],SMALL(IF(J$1=Unidades[selectorSeccion],MATCH(ROW(Unidades[selectorSeccion]),ROW(Unidades[selectorSeccion]))),ROW(I39))),"")</f>
        <v/>
      </c>
      <c r="K40" s="50" t="str">
        <f t="array" aca="1" ref="K40" ca="1">IFERROR(INDEX(Unidades[selectorSubSeccion],SMALL(IF(K$1=Unidades[selectorSeccion],MATCH(ROW(Unidades[selectorSeccion]),ROW(Unidades[selectorSeccion]))),ROW(J39))),"")</f>
        <v/>
      </c>
      <c r="L40" s="50" t="str">
        <f t="array" aca="1" ref="L40" ca="1">IFERROR(INDEX(Unidades[selectorSubSeccion],SMALL(IF(L$1=Unidades[selectorSeccion],MATCH(ROW(Unidades[selectorSeccion]),ROW(Unidades[selectorSeccion]))),ROW(K39))),"")</f>
        <v/>
      </c>
      <c r="M40" s="50" t="str">
        <f t="array" aca="1" ref="M40" ca="1">IFERROR(INDEX(Unidades[selectorSubSeccion],SMALL(IF(M$1=Unidades[selectorSeccion],MATCH(ROW(Unidades[selectorSeccion]),ROW(Unidades[selectorSeccion]))),ROW(L39))),"")</f>
        <v/>
      </c>
      <c r="N40" s="50" t="str">
        <f t="array" aca="1" ref="N40" ca="1">IFERROR(INDEX(Unidades[selectorSubSeccion],SMALL(IF(N$1=Unidades[selectorSeccion],MATCH(ROW(Unidades[selectorSeccion]),ROW(Unidades[selectorSeccion]))),ROW(M39))),"")</f>
        <v/>
      </c>
      <c r="O40" s="50" t="str">
        <f t="array" aca="1" ref="O40" ca="1">IFERROR(INDEX(Unidades[selectorSubSeccion],SMALL(IF(O$1=Unidades[selectorSeccion],MATCH(ROW(Unidades[selectorSeccion]),ROW(Unidades[selectorSeccion]))),ROW(N39))),"")</f>
        <v/>
      </c>
      <c r="P40" s="50" t="str">
        <f t="array" aca="1" ref="P40" ca="1">IFERROR(INDEX(Unidades[selectorSubSeccion],SMALL(IF(P$1=Unidades[selectorSeccion],MATCH(ROW(Unidades[selectorSeccion]),ROW(Unidades[selectorSeccion]))),ROW(O39))),"")</f>
        <v/>
      </c>
      <c r="Q40" s="50" t="str">
        <f t="array" aca="1" ref="Q40" ca="1">IFERROR(INDEX(Unidades[selectorSubSeccion],SMALL(IF(Q$1=Unidades[selectorSeccion],MATCH(ROW(Unidades[selectorSeccion]),ROW(Unidades[selectorSeccion]))),ROW(P39))),"")</f>
        <v/>
      </c>
      <c r="R40" s="50" t="str">
        <f t="array" aca="1" ref="R40" ca="1">IFERROR(INDEX(Unidades[selectorSubSeccion],SMALL(IF(R$1=Unidades[selectorSeccion],MATCH(ROW(Unidades[selectorSeccion]),ROW(Unidades[selectorSeccion]))),ROW(Q39))),"")</f>
        <v/>
      </c>
      <c r="S40" s="50" t="str">
        <f t="array" aca="1" ref="S40" ca="1">IFERROR(INDEX(Unidades[selectorSubSeccion],SMALL(IF(S$1=Unidades[selectorSeccion],MATCH(ROW(Unidades[selectorSeccion]),ROW(Unidades[selectorSeccion]))),ROW(R39))),"")</f>
        <v/>
      </c>
      <c r="T40" s="50" t="str">
        <f t="array" aca="1" ref="T40" ca="1">IFERROR(INDEX(Unidades[selectorSubSeccion],SMALL(IF(T$1=Unidades[selectorSeccion],MATCH(ROW(Unidades[selectorSeccion]),ROW(Unidades[selectorSeccion]))),ROW(S39))),"")</f>
        <v/>
      </c>
      <c r="U40" s="50" t="str">
        <f t="array" aca="1" ref="U40" ca="1">IFERROR(INDEX(Unidades[selectorSubSeccion],SMALL(IF(U$1=Unidades[selectorSeccion],MATCH(ROW(Unidades[selectorSeccion]),ROW(Unidades[selectorSeccion]))),ROW(T39))),"")</f>
        <v/>
      </c>
      <c r="V40" s="50" t="str">
        <f t="array" aca="1" ref="V40" ca="1">IFERROR(INDEX(Unidades[selectorSubSeccion],SMALL(IF(V$1=Unidades[selectorSeccion],MATCH(ROW(Unidades[selectorSeccion]),ROW(Unidades[selectorSeccion]))),ROW(U39))),"")</f>
        <v/>
      </c>
      <c r="W40" s="50" t="str">
        <f t="array" aca="1" ref="W40" ca="1">IFERROR(INDEX(Unidades[selectorSubSeccion],SMALL(IF(W$1=Unidades[selectorSeccion],MATCH(ROW(Unidades[selectorSeccion]),ROW(Unidades[selectorSeccion]))),ROW(V39))),"")</f>
        <v/>
      </c>
      <c r="X40" s="50" t="str">
        <f t="array" aca="1" ref="X40" ca="1">IFERROR(INDEX(Unidades[selectorSubSeccion],SMALL(IF(X$1=Unidades[selectorSeccion],MATCH(ROW(Unidades[selectorSeccion]),ROW(Unidades[selectorSeccion]))),ROW(W39))),"")</f>
        <v/>
      </c>
      <c r="Y40" s="50" t="str">
        <f t="array" aca="1" ref="Y40" ca="1">IFERROR(INDEX(Unidades[selectorSubSeccion],SMALL(IF(Y$1=Unidades[selectorSeccion],MATCH(ROW(Unidades[selectorSeccion]),ROW(Unidades[selectorSeccion]))),ROW(X39))),"")</f>
        <v/>
      </c>
      <c r="Z40" s="50" t="str">
        <f t="array" aca="1" ref="Z40" ca="1">IFERROR(INDEX(Unidades[selectorSubSeccion],SMALL(IF(Z$1=Unidades[selectorSeccion],MATCH(ROW(Unidades[selectorSeccion]),ROW(Unidades[selectorSeccion]))),ROW(Y39))),"")</f>
        <v/>
      </c>
      <c r="AA40" s="50" t="str">
        <f t="array" aca="1" ref="AA40" ca="1">IFERROR(INDEX(Unidades[selectorSubSeccion],SMALL(IF(AA$1=Unidades[selectorSeccion],MATCH(ROW(Unidades[selectorSeccion]),ROW(Unidades[selectorSeccion]))),ROW(Z39))),"")</f>
        <v/>
      </c>
      <c r="AB40" s="50" t="str">
        <f t="array" aca="1" ref="AB40" ca="1">IFERROR(INDEX(Unidades[selectorSubSeccion],SMALL(IF(AB$1=Unidades[selectorSeccion],MATCH(ROW(Unidades[selectorSeccion]),ROW(Unidades[selectorSeccion]))),ROW(AA39))),"")</f>
        <v/>
      </c>
      <c r="AC40" s="50" t="str">
        <f t="array" aca="1" ref="AC40" ca="1">IFERROR(INDEX(Unidades[selectorSubSeccion],SMALL(IF(AC$1=Unidades[selectorSeccion],MATCH(ROW(Unidades[selectorSeccion]),ROW(Unidades[selectorSeccion]))),ROW(AB39))),"")</f>
        <v/>
      </c>
      <c r="AD40" s="50" t="str">
        <f t="array" aca="1" ref="AD40" ca="1">IFERROR(INDEX(Unidades[selectorSubSeccion],SMALL(IF(AD$1=Unidades[selectorSeccion],MATCH(ROW(Unidades[selectorSeccion]),ROW(Unidades[selectorSeccion]))),ROW(AC39))),"")</f>
        <v/>
      </c>
      <c r="AE40" s="50" t="str">
        <f t="array" aca="1" ref="AE40" ca="1">IFERROR(INDEX(Unidades[selectorSubSeccion],SMALL(IF(AE$1=Unidades[selectorSeccion],MATCH(ROW(Unidades[selectorSeccion]),ROW(Unidades[selectorSeccion]))),ROW(AD39))),"")</f>
        <v/>
      </c>
      <c r="AF40" s="50" t="str">
        <f t="array" aca="1" ref="AF40" ca="1">IFERROR(INDEX(Unidades[selectorSubSeccion],SMALL(IF(AF$1=Unidades[selectorSeccion],MATCH(ROW(Unidades[selectorSeccion]),ROW(Unidades[selectorSeccion]))),ROW(AE39))),"")</f>
        <v/>
      </c>
      <c r="AG40" s="50" t="str">
        <f t="array" aca="1" ref="AG40" ca="1">IFERROR(INDEX(Unidades[selectorSubSeccion],SMALL(IF(AG$1=Unidades[selectorSeccion],MATCH(ROW(Unidades[selectorSeccion]),ROW(Unidades[selectorSeccion]))),ROW(AF39))),"")</f>
        <v/>
      </c>
    </row>
    <row r="41" spans="2:33" x14ac:dyDescent="0.3">
      <c r="B41" s="50" t="str">
        <f t="array" aca="1" ref="B41" ca="1">IFERROR(INDEX(Unidades[selectorSubSeccion],SMALL(IF(B$1=Unidades[selectorSeccion],MATCH(ROW(Unidades[selectorSeccion]),ROW(Unidades[selectorSeccion]))),ROW(A40))),"")</f>
        <v/>
      </c>
      <c r="C41" s="50" t="str">
        <f t="array" aca="1" ref="C41" ca="1">IFERROR(INDEX(Unidades[selectorSubSeccion],SMALL(IF(C$1=Unidades[selectorSeccion],MATCH(ROW(Unidades[selectorSeccion]),ROW(Unidades[selectorSeccion]))),ROW(B40))),"")</f>
        <v/>
      </c>
      <c r="D41" s="50" t="str">
        <f t="array" aca="1" ref="D41" ca="1">IFERROR(INDEX(Unidades[selectorSubSeccion],SMALL(IF(D$1=Unidades[selectorSeccion],MATCH(ROW(Unidades[selectorSeccion]),ROW(Unidades[selectorSeccion]))),ROW(C40))),"")</f>
        <v/>
      </c>
      <c r="E41" s="50" t="str">
        <f t="array" aca="1" ref="E41" ca="1">IFERROR(INDEX(Unidades[selectorSubSeccion],SMALL(IF(E$1=Unidades[selectorSeccion],MATCH(ROW(Unidades[selectorSeccion]),ROW(Unidades[selectorSeccion]))),ROW(D40))),"")</f>
        <v/>
      </c>
      <c r="F41" s="50" t="str">
        <f t="array" aca="1" ref="F41" ca="1">IFERROR(INDEX(Unidades[selectorSubSeccion],SMALL(IF(F$1=Unidades[selectorSeccion],MATCH(ROW(Unidades[selectorSeccion]),ROW(Unidades[selectorSeccion]))),ROW(E40))),"")</f>
        <v/>
      </c>
      <c r="G41" s="50" t="str">
        <f t="array" aca="1" ref="G41" ca="1">IFERROR(INDEX(Unidades[selectorSubSeccion],SMALL(IF(G$1=Unidades[selectorSeccion],MATCH(ROW(Unidades[selectorSeccion]),ROW(Unidades[selectorSeccion]))),ROW(F40))),"")</f>
        <v/>
      </c>
      <c r="H41" s="50" t="str">
        <f t="array" aca="1" ref="H41" ca="1">IFERROR(INDEX(Unidades[selectorSubSeccion],SMALL(IF(H$1=Unidades[selectorSeccion],MATCH(ROW(Unidades[selectorSeccion]),ROW(Unidades[selectorSeccion]))),ROW(G40))),"")</f>
        <v/>
      </c>
      <c r="I41" s="50" t="str">
        <f t="array" aca="1" ref="I41" ca="1">IFERROR(INDEX(Unidades[selectorSubSeccion],SMALL(IF(I$1=Unidades[selectorSeccion],MATCH(ROW(Unidades[selectorSeccion]),ROW(Unidades[selectorSeccion]))),ROW(H40))),"")</f>
        <v/>
      </c>
      <c r="J41" s="50" t="str">
        <f t="array" aca="1" ref="J41" ca="1">IFERROR(INDEX(Unidades[selectorSubSeccion],SMALL(IF(J$1=Unidades[selectorSeccion],MATCH(ROW(Unidades[selectorSeccion]),ROW(Unidades[selectorSeccion]))),ROW(I40))),"")</f>
        <v/>
      </c>
      <c r="K41" s="50" t="str">
        <f t="array" aca="1" ref="K41" ca="1">IFERROR(INDEX(Unidades[selectorSubSeccion],SMALL(IF(K$1=Unidades[selectorSeccion],MATCH(ROW(Unidades[selectorSeccion]),ROW(Unidades[selectorSeccion]))),ROW(J40))),"")</f>
        <v/>
      </c>
      <c r="L41" s="50" t="str">
        <f t="array" aca="1" ref="L41" ca="1">IFERROR(INDEX(Unidades[selectorSubSeccion],SMALL(IF(L$1=Unidades[selectorSeccion],MATCH(ROW(Unidades[selectorSeccion]),ROW(Unidades[selectorSeccion]))),ROW(K40))),"")</f>
        <v/>
      </c>
      <c r="M41" s="50" t="str">
        <f t="array" aca="1" ref="M41" ca="1">IFERROR(INDEX(Unidades[selectorSubSeccion],SMALL(IF(M$1=Unidades[selectorSeccion],MATCH(ROW(Unidades[selectorSeccion]),ROW(Unidades[selectorSeccion]))),ROW(L40))),"")</f>
        <v/>
      </c>
      <c r="N41" s="50" t="str">
        <f t="array" aca="1" ref="N41" ca="1">IFERROR(INDEX(Unidades[selectorSubSeccion],SMALL(IF(N$1=Unidades[selectorSeccion],MATCH(ROW(Unidades[selectorSeccion]),ROW(Unidades[selectorSeccion]))),ROW(M40))),"")</f>
        <v/>
      </c>
      <c r="O41" s="50" t="str">
        <f t="array" aca="1" ref="O41" ca="1">IFERROR(INDEX(Unidades[selectorSubSeccion],SMALL(IF(O$1=Unidades[selectorSeccion],MATCH(ROW(Unidades[selectorSeccion]),ROW(Unidades[selectorSeccion]))),ROW(N40))),"")</f>
        <v/>
      </c>
      <c r="P41" s="50" t="str">
        <f t="array" aca="1" ref="P41" ca="1">IFERROR(INDEX(Unidades[selectorSubSeccion],SMALL(IF(P$1=Unidades[selectorSeccion],MATCH(ROW(Unidades[selectorSeccion]),ROW(Unidades[selectorSeccion]))),ROW(O40))),"")</f>
        <v/>
      </c>
      <c r="Q41" s="50" t="str">
        <f t="array" aca="1" ref="Q41" ca="1">IFERROR(INDEX(Unidades[selectorSubSeccion],SMALL(IF(Q$1=Unidades[selectorSeccion],MATCH(ROW(Unidades[selectorSeccion]),ROW(Unidades[selectorSeccion]))),ROW(P40))),"")</f>
        <v/>
      </c>
      <c r="R41" s="50" t="str">
        <f t="array" aca="1" ref="R41" ca="1">IFERROR(INDEX(Unidades[selectorSubSeccion],SMALL(IF(R$1=Unidades[selectorSeccion],MATCH(ROW(Unidades[selectorSeccion]),ROW(Unidades[selectorSeccion]))),ROW(Q40))),"")</f>
        <v/>
      </c>
      <c r="S41" s="50" t="str">
        <f t="array" aca="1" ref="S41" ca="1">IFERROR(INDEX(Unidades[selectorSubSeccion],SMALL(IF(S$1=Unidades[selectorSeccion],MATCH(ROW(Unidades[selectorSeccion]),ROW(Unidades[selectorSeccion]))),ROW(R40))),"")</f>
        <v/>
      </c>
      <c r="T41" s="50" t="str">
        <f t="array" aca="1" ref="T41" ca="1">IFERROR(INDEX(Unidades[selectorSubSeccion],SMALL(IF(T$1=Unidades[selectorSeccion],MATCH(ROW(Unidades[selectorSeccion]),ROW(Unidades[selectorSeccion]))),ROW(S40))),"")</f>
        <v/>
      </c>
      <c r="U41" s="50" t="str">
        <f t="array" aca="1" ref="U41" ca="1">IFERROR(INDEX(Unidades[selectorSubSeccion],SMALL(IF(U$1=Unidades[selectorSeccion],MATCH(ROW(Unidades[selectorSeccion]),ROW(Unidades[selectorSeccion]))),ROW(T40))),"")</f>
        <v/>
      </c>
      <c r="V41" s="50" t="str">
        <f t="array" aca="1" ref="V41" ca="1">IFERROR(INDEX(Unidades[selectorSubSeccion],SMALL(IF(V$1=Unidades[selectorSeccion],MATCH(ROW(Unidades[selectorSeccion]),ROW(Unidades[selectorSeccion]))),ROW(U40))),"")</f>
        <v/>
      </c>
      <c r="W41" s="50" t="str">
        <f t="array" aca="1" ref="W41" ca="1">IFERROR(INDEX(Unidades[selectorSubSeccion],SMALL(IF(W$1=Unidades[selectorSeccion],MATCH(ROW(Unidades[selectorSeccion]),ROW(Unidades[selectorSeccion]))),ROW(V40))),"")</f>
        <v/>
      </c>
      <c r="X41" s="50" t="str">
        <f t="array" aca="1" ref="X41" ca="1">IFERROR(INDEX(Unidades[selectorSubSeccion],SMALL(IF(X$1=Unidades[selectorSeccion],MATCH(ROW(Unidades[selectorSeccion]),ROW(Unidades[selectorSeccion]))),ROW(W40))),"")</f>
        <v/>
      </c>
      <c r="Y41" s="50" t="str">
        <f t="array" aca="1" ref="Y41" ca="1">IFERROR(INDEX(Unidades[selectorSubSeccion],SMALL(IF(Y$1=Unidades[selectorSeccion],MATCH(ROW(Unidades[selectorSeccion]),ROW(Unidades[selectorSeccion]))),ROW(X40))),"")</f>
        <v/>
      </c>
      <c r="Z41" s="50" t="str">
        <f t="array" aca="1" ref="Z41" ca="1">IFERROR(INDEX(Unidades[selectorSubSeccion],SMALL(IF(Z$1=Unidades[selectorSeccion],MATCH(ROW(Unidades[selectorSeccion]),ROW(Unidades[selectorSeccion]))),ROW(Y40))),"")</f>
        <v/>
      </c>
      <c r="AA41" s="50" t="str">
        <f t="array" aca="1" ref="AA41" ca="1">IFERROR(INDEX(Unidades[selectorSubSeccion],SMALL(IF(AA$1=Unidades[selectorSeccion],MATCH(ROW(Unidades[selectorSeccion]),ROW(Unidades[selectorSeccion]))),ROW(Z40))),"")</f>
        <v/>
      </c>
      <c r="AB41" s="50" t="str">
        <f t="array" aca="1" ref="AB41" ca="1">IFERROR(INDEX(Unidades[selectorSubSeccion],SMALL(IF(AB$1=Unidades[selectorSeccion],MATCH(ROW(Unidades[selectorSeccion]),ROW(Unidades[selectorSeccion]))),ROW(AA40))),"")</f>
        <v/>
      </c>
      <c r="AC41" s="50" t="str">
        <f t="array" aca="1" ref="AC41" ca="1">IFERROR(INDEX(Unidades[selectorSubSeccion],SMALL(IF(AC$1=Unidades[selectorSeccion],MATCH(ROW(Unidades[selectorSeccion]),ROW(Unidades[selectorSeccion]))),ROW(AB40))),"")</f>
        <v/>
      </c>
      <c r="AD41" s="50" t="str">
        <f t="array" aca="1" ref="AD41" ca="1">IFERROR(INDEX(Unidades[selectorSubSeccion],SMALL(IF(AD$1=Unidades[selectorSeccion],MATCH(ROW(Unidades[selectorSeccion]),ROW(Unidades[selectorSeccion]))),ROW(AC40))),"")</f>
        <v/>
      </c>
      <c r="AE41" s="50" t="str">
        <f t="array" aca="1" ref="AE41" ca="1">IFERROR(INDEX(Unidades[selectorSubSeccion],SMALL(IF(AE$1=Unidades[selectorSeccion],MATCH(ROW(Unidades[selectorSeccion]),ROW(Unidades[selectorSeccion]))),ROW(AD40))),"")</f>
        <v/>
      </c>
      <c r="AF41" s="50" t="str">
        <f t="array" aca="1" ref="AF41" ca="1">IFERROR(INDEX(Unidades[selectorSubSeccion],SMALL(IF(AF$1=Unidades[selectorSeccion],MATCH(ROW(Unidades[selectorSeccion]),ROW(Unidades[selectorSeccion]))),ROW(AE40))),"")</f>
        <v/>
      </c>
      <c r="AG41" s="50" t="str">
        <f t="array" aca="1" ref="AG41" ca="1">IFERROR(INDEX(Unidades[selectorSubSeccion],SMALL(IF(AG$1=Unidades[selectorSeccion],MATCH(ROW(Unidades[selectorSeccion]),ROW(Unidades[selectorSeccion]))),ROW(AF40))),"")</f>
        <v/>
      </c>
    </row>
    <row r="42" spans="2:33" x14ac:dyDescent="0.3">
      <c r="B42" s="50" t="str">
        <f t="array" aca="1" ref="B42" ca="1">IFERROR(INDEX(Unidades[selectorSubSeccion],SMALL(IF(B$1=Unidades[selectorSeccion],MATCH(ROW(Unidades[selectorSeccion]),ROW(Unidades[selectorSeccion]))),ROW(A41))),"")</f>
        <v/>
      </c>
      <c r="C42" s="50" t="str">
        <f t="array" aca="1" ref="C42" ca="1">IFERROR(INDEX(Unidades[selectorSubSeccion],SMALL(IF(C$1=Unidades[selectorSeccion],MATCH(ROW(Unidades[selectorSeccion]),ROW(Unidades[selectorSeccion]))),ROW(B41))),"")</f>
        <v/>
      </c>
      <c r="D42" s="50" t="str">
        <f t="array" aca="1" ref="D42" ca="1">IFERROR(INDEX(Unidades[selectorSubSeccion],SMALL(IF(D$1=Unidades[selectorSeccion],MATCH(ROW(Unidades[selectorSeccion]),ROW(Unidades[selectorSeccion]))),ROW(C41))),"")</f>
        <v/>
      </c>
      <c r="E42" s="50" t="str">
        <f t="array" aca="1" ref="E42" ca="1">IFERROR(INDEX(Unidades[selectorSubSeccion],SMALL(IF(E$1=Unidades[selectorSeccion],MATCH(ROW(Unidades[selectorSeccion]),ROW(Unidades[selectorSeccion]))),ROW(D41))),"")</f>
        <v/>
      </c>
      <c r="F42" s="50" t="str">
        <f t="array" aca="1" ref="F42" ca="1">IFERROR(INDEX(Unidades[selectorSubSeccion],SMALL(IF(F$1=Unidades[selectorSeccion],MATCH(ROW(Unidades[selectorSeccion]),ROW(Unidades[selectorSeccion]))),ROW(E41))),"")</f>
        <v/>
      </c>
      <c r="G42" s="50" t="str">
        <f t="array" aca="1" ref="G42" ca="1">IFERROR(INDEX(Unidades[selectorSubSeccion],SMALL(IF(G$1=Unidades[selectorSeccion],MATCH(ROW(Unidades[selectorSeccion]),ROW(Unidades[selectorSeccion]))),ROW(F41))),"")</f>
        <v/>
      </c>
      <c r="H42" s="50" t="str">
        <f t="array" aca="1" ref="H42" ca="1">IFERROR(INDEX(Unidades[selectorSubSeccion],SMALL(IF(H$1=Unidades[selectorSeccion],MATCH(ROW(Unidades[selectorSeccion]),ROW(Unidades[selectorSeccion]))),ROW(G41))),"")</f>
        <v/>
      </c>
      <c r="I42" s="50" t="str">
        <f t="array" aca="1" ref="I42" ca="1">IFERROR(INDEX(Unidades[selectorSubSeccion],SMALL(IF(I$1=Unidades[selectorSeccion],MATCH(ROW(Unidades[selectorSeccion]),ROW(Unidades[selectorSeccion]))),ROW(H41))),"")</f>
        <v/>
      </c>
      <c r="J42" s="50" t="str">
        <f t="array" aca="1" ref="J42" ca="1">IFERROR(INDEX(Unidades[selectorSubSeccion],SMALL(IF(J$1=Unidades[selectorSeccion],MATCH(ROW(Unidades[selectorSeccion]),ROW(Unidades[selectorSeccion]))),ROW(I41))),"")</f>
        <v/>
      </c>
      <c r="K42" s="50" t="str">
        <f t="array" aca="1" ref="K42" ca="1">IFERROR(INDEX(Unidades[selectorSubSeccion],SMALL(IF(K$1=Unidades[selectorSeccion],MATCH(ROW(Unidades[selectorSeccion]),ROW(Unidades[selectorSeccion]))),ROW(J41))),"")</f>
        <v/>
      </c>
      <c r="L42" s="50" t="str">
        <f t="array" aca="1" ref="L42" ca="1">IFERROR(INDEX(Unidades[selectorSubSeccion],SMALL(IF(L$1=Unidades[selectorSeccion],MATCH(ROW(Unidades[selectorSeccion]),ROW(Unidades[selectorSeccion]))),ROW(K41))),"")</f>
        <v/>
      </c>
      <c r="M42" s="50" t="str">
        <f t="array" aca="1" ref="M42" ca="1">IFERROR(INDEX(Unidades[selectorSubSeccion],SMALL(IF(M$1=Unidades[selectorSeccion],MATCH(ROW(Unidades[selectorSeccion]),ROW(Unidades[selectorSeccion]))),ROW(L41))),"")</f>
        <v/>
      </c>
      <c r="N42" s="50" t="str">
        <f t="array" aca="1" ref="N42" ca="1">IFERROR(INDEX(Unidades[selectorSubSeccion],SMALL(IF(N$1=Unidades[selectorSeccion],MATCH(ROW(Unidades[selectorSeccion]),ROW(Unidades[selectorSeccion]))),ROW(M41))),"")</f>
        <v/>
      </c>
      <c r="O42" s="50" t="str">
        <f t="array" aca="1" ref="O42" ca="1">IFERROR(INDEX(Unidades[selectorSubSeccion],SMALL(IF(O$1=Unidades[selectorSeccion],MATCH(ROW(Unidades[selectorSeccion]),ROW(Unidades[selectorSeccion]))),ROW(N41))),"")</f>
        <v/>
      </c>
      <c r="P42" s="50" t="str">
        <f t="array" aca="1" ref="P42" ca="1">IFERROR(INDEX(Unidades[selectorSubSeccion],SMALL(IF(P$1=Unidades[selectorSeccion],MATCH(ROW(Unidades[selectorSeccion]),ROW(Unidades[selectorSeccion]))),ROW(O41))),"")</f>
        <v/>
      </c>
      <c r="Q42" s="50" t="str">
        <f t="array" aca="1" ref="Q42" ca="1">IFERROR(INDEX(Unidades[selectorSubSeccion],SMALL(IF(Q$1=Unidades[selectorSeccion],MATCH(ROW(Unidades[selectorSeccion]),ROW(Unidades[selectorSeccion]))),ROW(P41))),"")</f>
        <v/>
      </c>
      <c r="R42" s="50" t="str">
        <f t="array" aca="1" ref="R42" ca="1">IFERROR(INDEX(Unidades[selectorSubSeccion],SMALL(IF(R$1=Unidades[selectorSeccion],MATCH(ROW(Unidades[selectorSeccion]),ROW(Unidades[selectorSeccion]))),ROW(Q41))),"")</f>
        <v/>
      </c>
      <c r="S42" s="50" t="str">
        <f t="array" aca="1" ref="S42" ca="1">IFERROR(INDEX(Unidades[selectorSubSeccion],SMALL(IF(S$1=Unidades[selectorSeccion],MATCH(ROW(Unidades[selectorSeccion]),ROW(Unidades[selectorSeccion]))),ROW(R41))),"")</f>
        <v/>
      </c>
      <c r="T42" s="50" t="str">
        <f t="array" aca="1" ref="T42" ca="1">IFERROR(INDEX(Unidades[selectorSubSeccion],SMALL(IF(T$1=Unidades[selectorSeccion],MATCH(ROW(Unidades[selectorSeccion]),ROW(Unidades[selectorSeccion]))),ROW(S41))),"")</f>
        <v/>
      </c>
      <c r="U42" s="50" t="str">
        <f t="array" aca="1" ref="U42" ca="1">IFERROR(INDEX(Unidades[selectorSubSeccion],SMALL(IF(U$1=Unidades[selectorSeccion],MATCH(ROW(Unidades[selectorSeccion]),ROW(Unidades[selectorSeccion]))),ROW(T41))),"")</f>
        <v/>
      </c>
      <c r="V42" s="50" t="str">
        <f t="array" aca="1" ref="V42" ca="1">IFERROR(INDEX(Unidades[selectorSubSeccion],SMALL(IF(V$1=Unidades[selectorSeccion],MATCH(ROW(Unidades[selectorSeccion]),ROW(Unidades[selectorSeccion]))),ROW(U41))),"")</f>
        <v/>
      </c>
      <c r="W42" s="50" t="str">
        <f t="array" aca="1" ref="W42" ca="1">IFERROR(INDEX(Unidades[selectorSubSeccion],SMALL(IF(W$1=Unidades[selectorSeccion],MATCH(ROW(Unidades[selectorSeccion]),ROW(Unidades[selectorSeccion]))),ROW(V41))),"")</f>
        <v/>
      </c>
      <c r="X42" s="50" t="str">
        <f t="array" aca="1" ref="X42" ca="1">IFERROR(INDEX(Unidades[selectorSubSeccion],SMALL(IF(X$1=Unidades[selectorSeccion],MATCH(ROW(Unidades[selectorSeccion]),ROW(Unidades[selectorSeccion]))),ROW(W41))),"")</f>
        <v/>
      </c>
      <c r="Y42" s="50" t="str">
        <f t="array" aca="1" ref="Y42" ca="1">IFERROR(INDEX(Unidades[selectorSubSeccion],SMALL(IF(Y$1=Unidades[selectorSeccion],MATCH(ROW(Unidades[selectorSeccion]),ROW(Unidades[selectorSeccion]))),ROW(X41))),"")</f>
        <v/>
      </c>
      <c r="Z42" s="50" t="str">
        <f t="array" aca="1" ref="Z42" ca="1">IFERROR(INDEX(Unidades[selectorSubSeccion],SMALL(IF(Z$1=Unidades[selectorSeccion],MATCH(ROW(Unidades[selectorSeccion]),ROW(Unidades[selectorSeccion]))),ROW(Y41))),"")</f>
        <v/>
      </c>
      <c r="AA42" s="50" t="str">
        <f t="array" aca="1" ref="AA42" ca="1">IFERROR(INDEX(Unidades[selectorSubSeccion],SMALL(IF(AA$1=Unidades[selectorSeccion],MATCH(ROW(Unidades[selectorSeccion]),ROW(Unidades[selectorSeccion]))),ROW(Z41))),"")</f>
        <v/>
      </c>
      <c r="AB42" s="50" t="str">
        <f t="array" aca="1" ref="AB42" ca="1">IFERROR(INDEX(Unidades[selectorSubSeccion],SMALL(IF(AB$1=Unidades[selectorSeccion],MATCH(ROW(Unidades[selectorSeccion]),ROW(Unidades[selectorSeccion]))),ROW(AA41))),"")</f>
        <v/>
      </c>
      <c r="AC42" s="50" t="str">
        <f t="array" aca="1" ref="AC42" ca="1">IFERROR(INDEX(Unidades[selectorSubSeccion],SMALL(IF(AC$1=Unidades[selectorSeccion],MATCH(ROW(Unidades[selectorSeccion]),ROW(Unidades[selectorSeccion]))),ROW(AB41))),"")</f>
        <v/>
      </c>
      <c r="AD42" s="50" t="str">
        <f t="array" aca="1" ref="AD42" ca="1">IFERROR(INDEX(Unidades[selectorSubSeccion],SMALL(IF(AD$1=Unidades[selectorSeccion],MATCH(ROW(Unidades[selectorSeccion]),ROW(Unidades[selectorSeccion]))),ROW(AC41))),"")</f>
        <v/>
      </c>
      <c r="AE42" s="50" t="str">
        <f t="array" aca="1" ref="AE42" ca="1">IFERROR(INDEX(Unidades[selectorSubSeccion],SMALL(IF(AE$1=Unidades[selectorSeccion],MATCH(ROW(Unidades[selectorSeccion]),ROW(Unidades[selectorSeccion]))),ROW(AD41))),"")</f>
        <v/>
      </c>
      <c r="AF42" s="50" t="str">
        <f t="array" aca="1" ref="AF42" ca="1">IFERROR(INDEX(Unidades[selectorSubSeccion],SMALL(IF(AF$1=Unidades[selectorSeccion],MATCH(ROW(Unidades[selectorSeccion]),ROW(Unidades[selectorSeccion]))),ROW(AE41))),"")</f>
        <v/>
      </c>
      <c r="AG42" s="50" t="str">
        <f t="array" aca="1" ref="AG42" ca="1">IFERROR(INDEX(Unidades[selectorSubSeccion],SMALL(IF(AG$1=Unidades[selectorSeccion],MATCH(ROW(Unidades[selectorSeccion]),ROW(Unidades[selectorSeccion]))),ROW(AF41))),"")</f>
        <v/>
      </c>
    </row>
    <row r="43" spans="2:33" x14ac:dyDescent="0.3">
      <c r="B43" s="50" t="str">
        <f t="array" aca="1" ref="B43" ca="1">IFERROR(INDEX(Unidades[selectorSubSeccion],SMALL(IF(B$1=Unidades[selectorSeccion],MATCH(ROW(Unidades[selectorSeccion]),ROW(Unidades[selectorSeccion]))),ROW(A42))),"")</f>
        <v/>
      </c>
      <c r="C43" s="50" t="str">
        <f t="array" aca="1" ref="C43" ca="1">IFERROR(INDEX(Unidades[selectorSubSeccion],SMALL(IF(C$1=Unidades[selectorSeccion],MATCH(ROW(Unidades[selectorSeccion]),ROW(Unidades[selectorSeccion]))),ROW(B42))),"")</f>
        <v/>
      </c>
      <c r="D43" s="50" t="str">
        <f t="array" aca="1" ref="D43" ca="1">IFERROR(INDEX(Unidades[selectorSubSeccion],SMALL(IF(D$1=Unidades[selectorSeccion],MATCH(ROW(Unidades[selectorSeccion]),ROW(Unidades[selectorSeccion]))),ROW(C42))),"")</f>
        <v/>
      </c>
      <c r="E43" s="50" t="str">
        <f t="array" aca="1" ref="E43" ca="1">IFERROR(INDEX(Unidades[selectorSubSeccion],SMALL(IF(E$1=Unidades[selectorSeccion],MATCH(ROW(Unidades[selectorSeccion]),ROW(Unidades[selectorSeccion]))),ROW(D42))),"")</f>
        <v/>
      </c>
      <c r="F43" s="50" t="str">
        <f t="array" aca="1" ref="F43" ca="1">IFERROR(INDEX(Unidades[selectorSubSeccion],SMALL(IF(F$1=Unidades[selectorSeccion],MATCH(ROW(Unidades[selectorSeccion]),ROW(Unidades[selectorSeccion]))),ROW(E42))),"")</f>
        <v/>
      </c>
      <c r="G43" s="50" t="str">
        <f t="array" aca="1" ref="G43" ca="1">IFERROR(INDEX(Unidades[selectorSubSeccion],SMALL(IF(G$1=Unidades[selectorSeccion],MATCH(ROW(Unidades[selectorSeccion]),ROW(Unidades[selectorSeccion]))),ROW(F42))),"")</f>
        <v/>
      </c>
      <c r="H43" s="50" t="str">
        <f t="array" aca="1" ref="H43" ca="1">IFERROR(INDEX(Unidades[selectorSubSeccion],SMALL(IF(H$1=Unidades[selectorSeccion],MATCH(ROW(Unidades[selectorSeccion]),ROW(Unidades[selectorSeccion]))),ROW(G42))),"")</f>
        <v/>
      </c>
      <c r="I43" s="50" t="str">
        <f t="array" aca="1" ref="I43" ca="1">IFERROR(INDEX(Unidades[selectorSubSeccion],SMALL(IF(I$1=Unidades[selectorSeccion],MATCH(ROW(Unidades[selectorSeccion]),ROW(Unidades[selectorSeccion]))),ROW(H42))),"")</f>
        <v/>
      </c>
      <c r="J43" s="50" t="str">
        <f t="array" aca="1" ref="J43" ca="1">IFERROR(INDEX(Unidades[selectorSubSeccion],SMALL(IF(J$1=Unidades[selectorSeccion],MATCH(ROW(Unidades[selectorSeccion]),ROW(Unidades[selectorSeccion]))),ROW(I42))),"")</f>
        <v/>
      </c>
      <c r="K43" s="50" t="str">
        <f t="array" aca="1" ref="K43" ca="1">IFERROR(INDEX(Unidades[selectorSubSeccion],SMALL(IF(K$1=Unidades[selectorSeccion],MATCH(ROW(Unidades[selectorSeccion]),ROW(Unidades[selectorSeccion]))),ROW(J42))),"")</f>
        <v/>
      </c>
      <c r="L43" s="50" t="str">
        <f t="array" aca="1" ref="L43" ca="1">IFERROR(INDEX(Unidades[selectorSubSeccion],SMALL(IF(L$1=Unidades[selectorSeccion],MATCH(ROW(Unidades[selectorSeccion]),ROW(Unidades[selectorSeccion]))),ROW(K42))),"")</f>
        <v/>
      </c>
      <c r="M43" s="50" t="str">
        <f t="array" aca="1" ref="M43" ca="1">IFERROR(INDEX(Unidades[selectorSubSeccion],SMALL(IF(M$1=Unidades[selectorSeccion],MATCH(ROW(Unidades[selectorSeccion]),ROW(Unidades[selectorSeccion]))),ROW(L42))),"")</f>
        <v/>
      </c>
      <c r="N43" s="50" t="str">
        <f t="array" aca="1" ref="N43" ca="1">IFERROR(INDEX(Unidades[selectorSubSeccion],SMALL(IF(N$1=Unidades[selectorSeccion],MATCH(ROW(Unidades[selectorSeccion]),ROW(Unidades[selectorSeccion]))),ROW(M42))),"")</f>
        <v/>
      </c>
      <c r="O43" s="50" t="str">
        <f t="array" aca="1" ref="O43" ca="1">IFERROR(INDEX(Unidades[selectorSubSeccion],SMALL(IF(O$1=Unidades[selectorSeccion],MATCH(ROW(Unidades[selectorSeccion]),ROW(Unidades[selectorSeccion]))),ROW(N42))),"")</f>
        <v/>
      </c>
      <c r="P43" s="50" t="str">
        <f t="array" aca="1" ref="P43" ca="1">IFERROR(INDEX(Unidades[selectorSubSeccion],SMALL(IF(P$1=Unidades[selectorSeccion],MATCH(ROW(Unidades[selectorSeccion]),ROW(Unidades[selectorSeccion]))),ROW(O42))),"")</f>
        <v/>
      </c>
      <c r="Q43" s="50" t="str">
        <f t="array" aca="1" ref="Q43" ca="1">IFERROR(INDEX(Unidades[selectorSubSeccion],SMALL(IF(Q$1=Unidades[selectorSeccion],MATCH(ROW(Unidades[selectorSeccion]),ROW(Unidades[selectorSeccion]))),ROW(P42))),"")</f>
        <v/>
      </c>
      <c r="R43" s="50" t="str">
        <f t="array" aca="1" ref="R43" ca="1">IFERROR(INDEX(Unidades[selectorSubSeccion],SMALL(IF(R$1=Unidades[selectorSeccion],MATCH(ROW(Unidades[selectorSeccion]),ROW(Unidades[selectorSeccion]))),ROW(Q42))),"")</f>
        <v/>
      </c>
      <c r="S43" s="50" t="str">
        <f t="array" aca="1" ref="S43" ca="1">IFERROR(INDEX(Unidades[selectorSubSeccion],SMALL(IF(S$1=Unidades[selectorSeccion],MATCH(ROW(Unidades[selectorSeccion]),ROW(Unidades[selectorSeccion]))),ROW(R42))),"")</f>
        <v/>
      </c>
      <c r="T43" s="50" t="str">
        <f t="array" aca="1" ref="T43" ca="1">IFERROR(INDEX(Unidades[selectorSubSeccion],SMALL(IF(T$1=Unidades[selectorSeccion],MATCH(ROW(Unidades[selectorSeccion]),ROW(Unidades[selectorSeccion]))),ROW(S42))),"")</f>
        <v/>
      </c>
      <c r="U43" s="50" t="str">
        <f t="array" aca="1" ref="U43" ca="1">IFERROR(INDEX(Unidades[selectorSubSeccion],SMALL(IF(U$1=Unidades[selectorSeccion],MATCH(ROW(Unidades[selectorSeccion]),ROW(Unidades[selectorSeccion]))),ROW(T42))),"")</f>
        <v/>
      </c>
      <c r="V43" s="50" t="str">
        <f t="array" aca="1" ref="V43" ca="1">IFERROR(INDEX(Unidades[selectorSubSeccion],SMALL(IF(V$1=Unidades[selectorSeccion],MATCH(ROW(Unidades[selectorSeccion]),ROW(Unidades[selectorSeccion]))),ROW(U42))),"")</f>
        <v/>
      </c>
      <c r="W43" s="50" t="str">
        <f t="array" aca="1" ref="W43" ca="1">IFERROR(INDEX(Unidades[selectorSubSeccion],SMALL(IF(W$1=Unidades[selectorSeccion],MATCH(ROW(Unidades[selectorSeccion]),ROW(Unidades[selectorSeccion]))),ROW(V42))),"")</f>
        <v/>
      </c>
      <c r="X43" s="50" t="str">
        <f t="array" aca="1" ref="X43" ca="1">IFERROR(INDEX(Unidades[selectorSubSeccion],SMALL(IF(X$1=Unidades[selectorSeccion],MATCH(ROW(Unidades[selectorSeccion]),ROW(Unidades[selectorSeccion]))),ROW(W42))),"")</f>
        <v/>
      </c>
      <c r="Y43" s="50" t="str">
        <f t="array" aca="1" ref="Y43" ca="1">IFERROR(INDEX(Unidades[selectorSubSeccion],SMALL(IF(Y$1=Unidades[selectorSeccion],MATCH(ROW(Unidades[selectorSeccion]),ROW(Unidades[selectorSeccion]))),ROW(X42))),"")</f>
        <v/>
      </c>
      <c r="Z43" s="50" t="str">
        <f t="array" aca="1" ref="Z43" ca="1">IFERROR(INDEX(Unidades[selectorSubSeccion],SMALL(IF(Z$1=Unidades[selectorSeccion],MATCH(ROW(Unidades[selectorSeccion]),ROW(Unidades[selectorSeccion]))),ROW(Y42))),"")</f>
        <v/>
      </c>
      <c r="AA43" s="50" t="str">
        <f t="array" aca="1" ref="AA43" ca="1">IFERROR(INDEX(Unidades[selectorSubSeccion],SMALL(IF(AA$1=Unidades[selectorSeccion],MATCH(ROW(Unidades[selectorSeccion]),ROW(Unidades[selectorSeccion]))),ROW(Z42))),"")</f>
        <v/>
      </c>
      <c r="AB43" s="50" t="str">
        <f t="array" aca="1" ref="AB43" ca="1">IFERROR(INDEX(Unidades[selectorSubSeccion],SMALL(IF(AB$1=Unidades[selectorSeccion],MATCH(ROW(Unidades[selectorSeccion]),ROW(Unidades[selectorSeccion]))),ROW(AA42))),"")</f>
        <v/>
      </c>
      <c r="AC43" s="50" t="str">
        <f t="array" aca="1" ref="AC43" ca="1">IFERROR(INDEX(Unidades[selectorSubSeccion],SMALL(IF(AC$1=Unidades[selectorSeccion],MATCH(ROW(Unidades[selectorSeccion]),ROW(Unidades[selectorSeccion]))),ROW(AB42))),"")</f>
        <v/>
      </c>
      <c r="AD43" s="50" t="str">
        <f t="array" aca="1" ref="AD43" ca="1">IFERROR(INDEX(Unidades[selectorSubSeccion],SMALL(IF(AD$1=Unidades[selectorSeccion],MATCH(ROW(Unidades[selectorSeccion]),ROW(Unidades[selectorSeccion]))),ROW(AC42))),"")</f>
        <v/>
      </c>
      <c r="AE43" s="50" t="str">
        <f t="array" aca="1" ref="AE43" ca="1">IFERROR(INDEX(Unidades[selectorSubSeccion],SMALL(IF(AE$1=Unidades[selectorSeccion],MATCH(ROW(Unidades[selectorSeccion]),ROW(Unidades[selectorSeccion]))),ROW(AD42))),"")</f>
        <v/>
      </c>
      <c r="AF43" s="50" t="str">
        <f t="array" aca="1" ref="AF43" ca="1">IFERROR(INDEX(Unidades[selectorSubSeccion],SMALL(IF(AF$1=Unidades[selectorSeccion],MATCH(ROW(Unidades[selectorSeccion]),ROW(Unidades[selectorSeccion]))),ROW(AE42))),"")</f>
        <v/>
      </c>
      <c r="AG43" s="50" t="str">
        <f t="array" aca="1" ref="AG43" ca="1">IFERROR(INDEX(Unidades[selectorSubSeccion],SMALL(IF(AG$1=Unidades[selectorSeccion],MATCH(ROW(Unidades[selectorSeccion]),ROW(Unidades[selectorSeccion]))),ROW(AF42))),"")</f>
        <v/>
      </c>
    </row>
    <row r="44" spans="2:33" x14ac:dyDescent="0.3">
      <c r="B44" s="50" t="str">
        <f t="array" aca="1" ref="B44" ca="1">IFERROR(INDEX(Unidades[selectorSubSeccion],SMALL(IF(B$1=Unidades[selectorSeccion],MATCH(ROW(Unidades[selectorSeccion]),ROW(Unidades[selectorSeccion]))),ROW(A43))),"")</f>
        <v/>
      </c>
      <c r="C44" s="50" t="str">
        <f t="array" aca="1" ref="C44" ca="1">IFERROR(INDEX(Unidades[selectorSubSeccion],SMALL(IF(C$1=Unidades[selectorSeccion],MATCH(ROW(Unidades[selectorSeccion]),ROW(Unidades[selectorSeccion]))),ROW(B43))),"")</f>
        <v/>
      </c>
      <c r="D44" s="50" t="str">
        <f t="array" aca="1" ref="D44" ca="1">IFERROR(INDEX(Unidades[selectorSubSeccion],SMALL(IF(D$1=Unidades[selectorSeccion],MATCH(ROW(Unidades[selectorSeccion]),ROW(Unidades[selectorSeccion]))),ROW(C43))),"")</f>
        <v/>
      </c>
      <c r="E44" s="50" t="str">
        <f t="array" aca="1" ref="E44" ca="1">IFERROR(INDEX(Unidades[selectorSubSeccion],SMALL(IF(E$1=Unidades[selectorSeccion],MATCH(ROW(Unidades[selectorSeccion]),ROW(Unidades[selectorSeccion]))),ROW(D43))),"")</f>
        <v/>
      </c>
      <c r="F44" s="50" t="str">
        <f t="array" aca="1" ref="F44" ca="1">IFERROR(INDEX(Unidades[selectorSubSeccion],SMALL(IF(F$1=Unidades[selectorSeccion],MATCH(ROW(Unidades[selectorSeccion]),ROW(Unidades[selectorSeccion]))),ROW(E43))),"")</f>
        <v/>
      </c>
      <c r="G44" s="50" t="str">
        <f t="array" aca="1" ref="G44" ca="1">IFERROR(INDEX(Unidades[selectorSubSeccion],SMALL(IF(G$1=Unidades[selectorSeccion],MATCH(ROW(Unidades[selectorSeccion]),ROW(Unidades[selectorSeccion]))),ROW(F43))),"")</f>
        <v/>
      </c>
      <c r="H44" s="50" t="str">
        <f t="array" aca="1" ref="H44" ca="1">IFERROR(INDEX(Unidades[selectorSubSeccion],SMALL(IF(H$1=Unidades[selectorSeccion],MATCH(ROW(Unidades[selectorSeccion]),ROW(Unidades[selectorSeccion]))),ROW(G43))),"")</f>
        <v/>
      </c>
      <c r="I44" s="50" t="str">
        <f t="array" aca="1" ref="I44" ca="1">IFERROR(INDEX(Unidades[selectorSubSeccion],SMALL(IF(I$1=Unidades[selectorSeccion],MATCH(ROW(Unidades[selectorSeccion]),ROW(Unidades[selectorSeccion]))),ROW(H43))),"")</f>
        <v/>
      </c>
      <c r="J44" s="50" t="str">
        <f t="array" aca="1" ref="J44" ca="1">IFERROR(INDEX(Unidades[selectorSubSeccion],SMALL(IF(J$1=Unidades[selectorSeccion],MATCH(ROW(Unidades[selectorSeccion]),ROW(Unidades[selectorSeccion]))),ROW(I43))),"")</f>
        <v/>
      </c>
      <c r="K44" s="50" t="str">
        <f t="array" aca="1" ref="K44" ca="1">IFERROR(INDEX(Unidades[selectorSubSeccion],SMALL(IF(K$1=Unidades[selectorSeccion],MATCH(ROW(Unidades[selectorSeccion]),ROW(Unidades[selectorSeccion]))),ROW(J43))),"")</f>
        <v/>
      </c>
      <c r="L44" s="50" t="str">
        <f t="array" aca="1" ref="L44" ca="1">IFERROR(INDEX(Unidades[selectorSubSeccion],SMALL(IF(L$1=Unidades[selectorSeccion],MATCH(ROW(Unidades[selectorSeccion]),ROW(Unidades[selectorSeccion]))),ROW(K43))),"")</f>
        <v/>
      </c>
      <c r="M44" s="50" t="str">
        <f t="array" aca="1" ref="M44" ca="1">IFERROR(INDEX(Unidades[selectorSubSeccion],SMALL(IF(M$1=Unidades[selectorSeccion],MATCH(ROW(Unidades[selectorSeccion]),ROW(Unidades[selectorSeccion]))),ROW(L43))),"")</f>
        <v/>
      </c>
      <c r="N44" s="50" t="str">
        <f t="array" aca="1" ref="N44" ca="1">IFERROR(INDEX(Unidades[selectorSubSeccion],SMALL(IF(N$1=Unidades[selectorSeccion],MATCH(ROW(Unidades[selectorSeccion]),ROW(Unidades[selectorSeccion]))),ROW(M43))),"")</f>
        <v/>
      </c>
      <c r="O44" s="50" t="str">
        <f t="array" aca="1" ref="O44" ca="1">IFERROR(INDEX(Unidades[selectorSubSeccion],SMALL(IF(O$1=Unidades[selectorSeccion],MATCH(ROW(Unidades[selectorSeccion]),ROW(Unidades[selectorSeccion]))),ROW(N43))),"")</f>
        <v/>
      </c>
      <c r="P44" s="50" t="str">
        <f t="array" aca="1" ref="P44" ca="1">IFERROR(INDEX(Unidades[selectorSubSeccion],SMALL(IF(P$1=Unidades[selectorSeccion],MATCH(ROW(Unidades[selectorSeccion]),ROW(Unidades[selectorSeccion]))),ROW(O43))),"")</f>
        <v/>
      </c>
      <c r="Q44" s="50" t="str">
        <f t="array" aca="1" ref="Q44" ca="1">IFERROR(INDEX(Unidades[selectorSubSeccion],SMALL(IF(Q$1=Unidades[selectorSeccion],MATCH(ROW(Unidades[selectorSeccion]),ROW(Unidades[selectorSeccion]))),ROW(P43))),"")</f>
        <v/>
      </c>
      <c r="R44" s="50" t="str">
        <f t="array" aca="1" ref="R44" ca="1">IFERROR(INDEX(Unidades[selectorSubSeccion],SMALL(IF(R$1=Unidades[selectorSeccion],MATCH(ROW(Unidades[selectorSeccion]),ROW(Unidades[selectorSeccion]))),ROW(Q43))),"")</f>
        <v/>
      </c>
      <c r="S44" s="50" t="str">
        <f t="array" aca="1" ref="S44" ca="1">IFERROR(INDEX(Unidades[selectorSubSeccion],SMALL(IF(S$1=Unidades[selectorSeccion],MATCH(ROW(Unidades[selectorSeccion]),ROW(Unidades[selectorSeccion]))),ROW(R43))),"")</f>
        <v/>
      </c>
      <c r="T44" s="50" t="str">
        <f t="array" aca="1" ref="T44" ca="1">IFERROR(INDEX(Unidades[selectorSubSeccion],SMALL(IF(T$1=Unidades[selectorSeccion],MATCH(ROW(Unidades[selectorSeccion]),ROW(Unidades[selectorSeccion]))),ROW(S43))),"")</f>
        <v/>
      </c>
      <c r="U44" s="50" t="str">
        <f t="array" aca="1" ref="U44" ca="1">IFERROR(INDEX(Unidades[selectorSubSeccion],SMALL(IF(U$1=Unidades[selectorSeccion],MATCH(ROW(Unidades[selectorSeccion]),ROW(Unidades[selectorSeccion]))),ROW(T43))),"")</f>
        <v/>
      </c>
      <c r="V44" s="50" t="str">
        <f t="array" aca="1" ref="V44" ca="1">IFERROR(INDEX(Unidades[selectorSubSeccion],SMALL(IF(V$1=Unidades[selectorSeccion],MATCH(ROW(Unidades[selectorSeccion]),ROW(Unidades[selectorSeccion]))),ROW(U43))),"")</f>
        <v/>
      </c>
      <c r="W44" s="50" t="str">
        <f t="array" aca="1" ref="W44" ca="1">IFERROR(INDEX(Unidades[selectorSubSeccion],SMALL(IF(W$1=Unidades[selectorSeccion],MATCH(ROW(Unidades[selectorSeccion]),ROW(Unidades[selectorSeccion]))),ROW(V43))),"")</f>
        <v/>
      </c>
      <c r="X44" s="50" t="str">
        <f t="array" aca="1" ref="X44" ca="1">IFERROR(INDEX(Unidades[selectorSubSeccion],SMALL(IF(X$1=Unidades[selectorSeccion],MATCH(ROW(Unidades[selectorSeccion]),ROW(Unidades[selectorSeccion]))),ROW(W43))),"")</f>
        <v/>
      </c>
      <c r="Y44" s="50" t="str">
        <f t="array" aca="1" ref="Y44" ca="1">IFERROR(INDEX(Unidades[selectorSubSeccion],SMALL(IF(Y$1=Unidades[selectorSeccion],MATCH(ROW(Unidades[selectorSeccion]),ROW(Unidades[selectorSeccion]))),ROW(X43))),"")</f>
        <v/>
      </c>
      <c r="Z44" s="50" t="str">
        <f t="array" aca="1" ref="Z44" ca="1">IFERROR(INDEX(Unidades[selectorSubSeccion],SMALL(IF(Z$1=Unidades[selectorSeccion],MATCH(ROW(Unidades[selectorSeccion]),ROW(Unidades[selectorSeccion]))),ROW(Y43))),"")</f>
        <v/>
      </c>
      <c r="AA44" s="50" t="str">
        <f t="array" aca="1" ref="AA44" ca="1">IFERROR(INDEX(Unidades[selectorSubSeccion],SMALL(IF(AA$1=Unidades[selectorSeccion],MATCH(ROW(Unidades[selectorSeccion]),ROW(Unidades[selectorSeccion]))),ROW(Z43))),"")</f>
        <v/>
      </c>
      <c r="AB44" s="50" t="str">
        <f t="array" aca="1" ref="AB44" ca="1">IFERROR(INDEX(Unidades[selectorSubSeccion],SMALL(IF(AB$1=Unidades[selectorSeccion],MATCH(ROW(Unidades[selectorSeccion]),ROW(Unidades[selectorSeccion]))),ROW(AA43))),"")</f>
        <v/>
      </c>
      <c r="AC44" s="50" t="str">
        <f t="array" aca="1" ref="AC44" ca="1">IFERROR(INDEX(Unidades[selectorSubSeccion],SMALL(IF(AC$1=Unidades[selectorSeccion],MATCH(ROW(Unidades[selectorSeccion]),ROW(Unidades[selectorSeccion]))),ROW(AB43))),"")</f>
        <v/>
      </c>
      <c r="AD44" s="50" t="str">
        <f t="array" aca="1" ref="AD44" ca="1">IFERROR(INDEX(Unidades[selectorSubSeccion],SMALL(IF(AD$1=Unidades[selectorSeccion],MATCH(ROW(Unidades[selectorSeccion]),ROW(Unidades[selectorSeccion]))),ROW(AC43))),"")</f>
        <v/>
      </c>
      <c r="AE44" s="50" t="str">
        <f t="array" aca="1" ref="AE44" ca="1">IFERROR(INDEX(Unidades[selectorSubSeccion],SMALL(IF(AE$1=Unidades[selectorSeccion],MATCH(ROW(Unidades[selectorSeccion]),ROW(Unidades[selectorSeccion]))),ROW(AD43))),"")</f>
        <v/>
      </c>
      <c r="AF44" s="50" t="str">
        <f t="array" aca="1" ref="AF44" ca="1">IFERROR(INDEX(Unidades[selectorSubSeccion],SMALL(IF(AF$1=Unidades[selectorSeccion],MATCH(ROW(Unidades[selectorSeccion]),ROW(Unidades[selectorSeccion]))),ROW(AE43))),"")</f>
        <v/>
      </c>
      <c r="AG44" s="50" t="str">
        <f t="array" aca="1" ref="AG44" ca="1">IFERROR(INDEX(Unidades[selectorSubSeccion],SMALL(IF(AG$1=Unidades[selectorSeccion],MATCH(ROW(Unidades[selectorSeccion]),ROW(Unidades[selectorSeccion]))),ROW(AF43))),"")</f>
        <v/>
      </c>
    </row>
    <row r="45" spans="2:33" x14ac:dyDescent="0.3">
      <c r="B45" s="50" t="str">
        <f t="array" aca="1" ref="B45" ca="1">IFERROR(INDEX(Unidades[selectorSubSeccion],SMALL(IF(B$1=Unidades[selectorSeccion],MATCH(ROW(Unidades[selectorSeccion]),ROW(Unidades[selectorSeccion]))),ROW(A44))),"")</f>
        <v/>
      </c>
      <c r="C45" s="50" t="str">
        <f t="array" aca="1" ref="C45" ca="1">IFERROR(INDEX(Unidades[selectorSubSeccion],SMALL(IF(C$1=Unidades[selectorSeccion],MATCH(ROW(Unidades[selectorSeccion]),ROW(Unidades[selectorSeccion]))),ROW(B44))),"")</f>
        <v/>
      </c>
      <c r="D45" s="50" t="str">
        <f t="array" aca="1" ref="D45" ca="1">IFERROR(INDEX(Unidades[selectorSubSeccion],SMALL(IF(D$1=Unidades[selectorSeccion],MATCH(ROW(Unidades[selectorSeccion]),ROW(Unidades[selectorSeccion]))),ROW(C44))),"")</f>
        <v/>
      </c>
      <c r="E45" s="50" t="str">
        <f t="array" aca="1" ref="E45" ca="1">IFERROR(INDEX(Unidades[selectorSubSeccion],SMALL(IF(E$1=Unidades[selectorSeccion],MATCH(ROW(Unidades[selectorSeccion]),ROW(Unidades[selectorSeccion]))),ROW(D44))),"")</f>
        <v/>
      </c>
      <c r="F45" s="50" t="str">
        <f t="array" aca="1" ref="F45" ca="1">IFERROR(INDEX(Unidades[selectorSubSeccion],SMALL(IF(F$1=Unidades[selectorSeccion],MATCH(ROW(Unidades[selectorSeccion]),ROW(Unidades[selectorSeccion]))),ROW(E44))),"")</f>
        <v/>
      </c>
      <c r="G45" s="50" t="str">
        <f t="array" aca="1" ref="G45" ca="1">IFERROR(INDEX(Unidades[selectorSubSeccion],SMALL(IF(G$1=Unidades[selectorSeccion],MATCH(ROW(Unidades[selectorSeccion]),ROW(Unidades[selectorSeccion]))),ROW(F44))),"")</f>
        <v/>
      </c>
      <c r="H45" s="50" t="str">
        <f t="array" aca="1" ref="H45" ca="1">IFERROR(INDEX(Unidades[selectorSubSeccion],SMALL(IF(H$1=Unidades[selectorSeccion],MATCH(ROW(Unidades[selectorSeccion]),ROW(Unidades[selectorSeccion]))),ROW(G44))),"")</f>
        <v/>
      </c>
      <c r="I45" s="50" t="str">
        <f t="array" aca="1" ref="I45" ca="1">IFERROR(INDEX(Unidades[selectorSubSeccion],SMALL(IF(I$1=Unidades[selectorSeccion],MATCH(ROW(Unidades[selectorSeccion]),ROW(Unidades[selectorSeccion]))),ROW(H44))),"")</f>
        <v/>
      </c>
      <c r="J45" s="50" t="str">
        <f t="array" aca="1" ref="J45" ca="1">IFERROR(INDEX(Unidades[selectorSubSeccion],SMALL(IF(J$1=Unidades[selectorSeccion],MATCH(ROW(Unidades[selectorSeccion]),ROW(Unidades[selectorSeccion]))),ROW(I44))),"")</f>
        <v/>
      </c>
      <c r="K45" s="50" t="str">
        <f t="array" aca="1" ref="K45" ca="1">IFERROR(INDEX(Unidades[selectorSubSeccion],SMALL(IF(K$1=Unidades[selectorSeccion],MATCH(ROW(Unidades[selectorSeccion]),ROW(Unidades[selectorSeccion]))),ROW(J44))),"")</f>
        <v/>
      </c>
      <c r="L45" s="50" t="str">
        <f t="array" aca="1" ref="L45" ca="1">IFERROR(INDEX(Unidades[selectorSubSeccion],SMALL(IF(L$1=Unidades[selectorSeccion],MATCH(ROW(Unidades[selectorSeccion]),ROW(Unidades[selectorSeccion]))),ROW(K44))),"")</f>
        <v/>
      </c>
      <c r="M45" s="50" t="str">
        <f t="array" aca="1" ref="M45" ca="1">IFERROR(INDEX(Unidades[selectorSubSeccion],SMALL(IF(M$1=Unidades[selectorSeccion],MATCH(ROW(Unidades[selectorSeccion]),ROW(Unidades[selectorSeccion]))),ROW(L44))),"")</f>
        <v/>
      </c>
      <c r="N45" s="50" t="str">
        <f t="array" aca="1" ref="N45" ca="1">IFERROR(INDEX(Unidades[selectorSubSeccion],SMALL(IF(N$1=Unidades[selectorSeccion],MATCH(ROW(Unidades[selectorSeccion]),ROW(Unidades[selectorSeccion]))),ROW(M44))),"")</f>
        <v/>
      </c>
      <c r="O45" s="50" t="str">
        <f t="array" aca="1" ref="O45" ca="1">IFERROR(INDEX(Unidades[selectorSubSeccion],SMALL(IF(O$1=Unidades[selectorSeccion],MATCH(ROW(Unidades[selectorSeccion]),ROW(Unidades[selectorSeccion]))),ROW(N44))),"")</f>
        <v/>
      </c>
      <c r="P45" s="50" t="str">
        <f t="array" aca="1" ref="P45" ca="1">IFERROR(INDEX(Unidades[selectorSubSeccion],SMALL(IF(P$1=Unidades[selectorSeccion],MATCH(ROW(Unidades[selectorSeccion]),ROW(Unidades[selectorSeccion]))),ROW(O44))),"")</f>
        <v/>
      </c>
      <c r="Q45" s="50" t="str">
        <f t="array" aca="1" ref="Q45" ca="1">IFERROR(INDEX(Unidades[selectorSubSeccion],SMALL(IF(Q$1=Unidades[selectorSeccion],MATCH(ROW(Unidades[selectorSeccion]),ROW(Unidades[selectorSeccion]))),ROW(P44))),"")</f>
        <v/>
      </c>
      <c r="R45" s="50" t="str">
        <f t="array" aca="1" ref="R45" ca="1">IFERROR(INDEX(Unidades[selectorSubSeccion],SMALL(IF(R$1=Unidades[selectorSeccion],MATCH(ROW(Unidades[selectorSeccion]),ROW(Unidades[selectorSeccion]))),ROW(Q44))),"")</f>
        <v/>
      </c>
      <c r="S45" s="50" t="str">
        <f t="array" aca="1" ref="S45" ca="1">IFERROR(INDEX(Unidades[selectorSubSeccion],SMALL(IF(S$1=Unidades[selectorSeccion],MATCH(ROW(Unidades[selectorSeccion]),ROW(Unidades[selectorSeccion]))),ROW(R44))),"")</f>
        <v/>
      </c>
      <c r="T45" s="50" t="str">
        <f t="array" aca="1" ref="T45" ca="1">IFERROR(INDEX(Unidades[selectorSubSeccion],SMALL(IF(T$1=Unidades[selectorSeccion],MATCH(ROW(Unidades[selectorSeccion]),ROW(Unidades[selectorSeccion]))),ROW(S44))),"")</f>
        <v/>
      </c>
      <c r="U45" s="50" t="str">
        <f t="array" aca="1" ref="U45" ca="1">IFERROR(INDEX(Unidades[selectorSubSeccion],SMALL(IF(U$1=Unidades[selectorSeccion],MATCH(ROW(Unidades[selectorSeccion]),ROW(Unidades[selectorSeccion]))),ROW(T44))),"")</f>
        <v/>
      </c>
      <c r="V45" s="50" t="str">
        <f t="array" aca="1" ref="V45" ca="1">IFERROR(INDEX(Unidades[selectorSubSeccion],SMALL(IF(V$1=Unidades[selectorSeccion],MATCH(ROW(Unidades[selectorSeccion]),ROW(Unidades[selectorSeccion]))),ROW(U44))),"")</f>
        <v/>
      </c>
      <c r="W45" s="50" t="str">
        <f t="array" aca="1" ref="W45" ca="1">IFERROR(INDEX(Unidades[selectorSubSeccion],SMALL(IF(W$1=Unidades[selectorSeccion],MATCH(ROW(Unidades[selectorSeccion]),ROW(Unidades[selectorSeccion]))),ROW(V44))),"")</f>
        <v/>
      </c>
      <c r="X45" s="50" t="str">
        <f t="array" aca="1" ref="X45" ca="1">IFERROR(INDEX(Unidades[selectorSubSeccion],SMALL(IF(X$1=Unidades[selectorSeccion],MATCH(ROW(Unidades[selectorSeccion]),ROW(Unidades[selectorSeccion]))),ROW(W44))),"")</f>
        <v/>
      </c>
      <c r="Y45" s="50" t="str">
        <f t="array" aca="1" ref="Y45" ca="1">IFERROR(INDEX(Unidades[selectorSubSeccion],SMALL(IF(Y$1=Unidades[selectorSeccion],MATCH(ROW(Unidades[selectorSeccion]),ROW(Unidades[selectorSeccion]))),ROW(X44))),"")</f>
        <v/>
      </c>
      <c r="Z45" s="50" t="str">
        <f t="array" aca="1" ref="Z45" ca="1">IFERROR(INDEX(Unidades[selectorSubSeccion],SMALL(IF(Z$1=Unidades[selectorSeccion],MATCH(ROW(Unidades[selectorSeccion]),ROW(Unidades[selectorSeccion]))),ROW(Y44))),"")</f>
        <v/>
      </c>
      <c r="AA45" s="50" t="str">
        <f t="array" aca="1" ref="AA45" ca="1">IFERROR(INDEX(Unidades[selectorSubSeccion],SMALL(IF(AA$1=Unidades[selectorSeccion],MATCH(ROW(Unidades[selectorSeccion]),ROW(Unidades[selectorSeccion]))),ROW(Z44))),"")</f>
        <v/>
      </c>
      <c r="AB45" s="50" t="str">
        <f t="array" aca="1" ref="AB45" ca="1">IFERROR(INDEX(Unidades[selectorSubSeccion],SMALL(IF(AB$1=Unidades[selectorSeccion],MATCH(ROW(Unidades[selectorSeccion]),ROW(Unidades[selectorSeccion]))),ROW(AA44))),"")</f>
        <v/>
      </c>
      <c r="AC45" s="50" t="str">
        <f t="array" aca="1" ref="AC45" ca="1">IFERROR(INDEX(Unidades[selectorSubSeccion],SMALL(IF(AC$1=Unidades[selectorSeccion],MATCH(ROW(Unidades[selectorSeccion]),ROW(Unidades[selectorSeccion]))),ROW(AB44))),"")</f>
        <v/>
      </c>
      <c r="AD45" s="50" t="str">
        <f t="array" aca="1" ref="AD45" ca="1">IFERROR(INDEX(Unidades[selectorSubSeccion],SMALL(IF(AD$1=Unidades[selectorSeccion],MATCH(ROW(Unidades[selectorSeccion]),ROW(Unidades[selectorSeccion]))),ROW(AC44))),"")</f>
        <v/>
      </c>
      <c r="AE45" s="50" t="str">
        <f t="array" aca="1" ref="AE45" ca="1">IFERROR(INDEX(Unidades[selectorSubSeccion],SMALL(IF(AE$1=Unidades[selectorSeccion],MATCH(ROW(Unidades[selectorSeccion]),ROW(Unidades[selectorSeccion]))),ROW(AD44))),"")</f>
        <v/>
      </c>
      <c r="AF45" s="50" t="str">
        <f t="array" aca="1" ref="AF45" ca="1">IFERROR(INDEX(Unidades[selectorSubSeccion],SMALL(IF(AF$1=Unidades[selectorSeccion],MATCH(ROW(Unidades[selectorSeccion]),ROW(Unidades[selectorSeccion]))),ROW(AE44))),"")</f>
        <v/>
      </c>
      <c r="AG45" s="50" t="str">
        <f t="array" aca="1" ref="AG45" ca="1">IFERROR(INDEX(Unidades[selectorSubSeccion],SMALL(IF(AG$1=Unidades[selectorSeccion],MATCH(ROW(Unidades[selectorSeccion]),ROW(Unidades[selectorSeccion]))),ROW(AF44))),"")</f>
        <v/>
      </c>
    </row>
    <row r="46" spans="2:33" x14ac:dyDescent="0.3">
      <c r="B46" s="50" t="str">
        <f t="array" aca="1" ref="B46" ca="1">IFERROR(INDEX(Unidades[selectorSubSeccion],SMALL(IF(B$1=Unidades[selectorSeccion],MATCH(ROW(Unidades[selectorSeccion]),ROW(Unidades[selectorSeccion]))),ROW(A45))),"")</f>
        <v/>
      </c>
      <c r="C46" s="50" t="str">
        <f t="array" aca="1" ref="C46" ca="1">IFERROR(INDEX(Unidades[selectorSubSeccion],SMALL(IF(C$1=Unidades[selectorSeccion],MATCH(ROW(Unidades[selectorSeccion]),ROW(Unidades[selectorSeccion]))),ROW(B45))),"")</f>
        <v/>
      </c>
      <c r="D46" s="50" t="str">
        <f t="array" aca="1" ref="D46" ca="1">IFERROR(INDEX(Unidades[selectorSubSeccion],SMALL(IF(D$1=Unidades[selectorSeccion],MATCH(ROW(Unidades[selectorSeccion]),ROW(Unidades[selectorSeccion]))),ROW(C45))),"")</f>
        <v/>
      </c>
      <c r="E46" s="50" t="str">
        <f t="array" aca="1" ref="E46" ca="1">IFERROR(INDEX(Unidades[selectorSubSeccion],SMALL(IF(E$1=Unidades[selectorSeccion],MATCH(ROW(Unidades[selectorSeccion]),ROW(Unidades[selectorSeccion]))),ROW(D45))),"")</f>
        <v/>
      </c>
      <c r="F46" s="50" t="str">
        <f t="array" aca="1" ref="F46" ca="1">IFERROR(INDEX(Unidades[selectorSubSeccion],SMALL(IF(F$1=Unidades[selectorSeccion],MATCH(ROW(Unidades[selectorSeccion]),ROW(Unidades[selectorSeccion]))),ROW(E45))),"")</f>
        <v/>
      </c>
      <c r="G46" s="50" t="str">
        <f t="array" aca="1" ref="G46" ca="1">IFERROR(INDEX(Unidades[selectorSubSeccion],SMALL(IF(G$1=Unidades[selectorSeccion],MATCH(ROW(Unidades[selectorSeccion]),ROW(Unidades[selectorSeccion]))),ROW(F45))),"")</f>
        <v/>
      </c>
      <c r="H46" s="50" t="str">
        <f t="array" aca="1" ref="H46" ca="1">IFERROR(INDEX(Unidades[selectorSubSeccion],SMALL(IF(H$1=Unidades[selectorSeccion],MATCH(ROW(Unidades[selectorSeccion]),ROW(Unidades[selectorSeccion]))),ROW(G45))),"")</f>
        <v/>
      </c>
      <c r="I46" s="50" t="str">
        <f t="array" aca="1" ref="I46" ca="1">IFERROR(INDEX(Unidades[selectorSubSeccion],SMALL(IF(I$1=Unidades[selectorSeccion],MATCH(ROW(Unidades[selectorSeccion]),ROW(Unidades[selectorSeccion]))),ROW(H45))),"")</f>
        <v/>
      </c>
      <c r="J46" s="50" t="str">
        <f t="array" aca="1" ref="J46" ca="1">IFERROR(INDEX(Unidades[selectorSubSeccion],SMALL(IF(J$1=Unidades[selectorSeccion],MATCH(ROW(Unidades[selectorSeccion]),ROW(Unidades[selectorSeccion]))),ROW(I45))),"")</f>
        <v/>
      </c>
      <c r="K46" s="50" t="str">
        <f t="array" aca="1" ref="K46" ca="1">IFERROR(INDEX(Unidades[selectorSubSeccion],SMALL(IF(K$1=Unidades[selectorSeccion],MATCH(ROW(Unidades[selectorSeccion]),ROW(Unidades[selectorSeccion]))),ROW(J45))),"")</f>
        <v/>
      </c>
      <c r="L46" s="50" t="str">
        <f t="array" aca="1" ref="L46" ca="1">IFERROR(INDEX(Unidades[selectorSubSeccion],SMALL(IF(L$1=Unidades[selectorSeccion],MATCH(ROW(Unidades[selectorSeccion]),ROW(Unidades[selectorSeccion]))),ROW(K45))),"")</f>
        <v/>
      </c>
      <c r="M46" s="50" t="str">
        <f t="array" aca="1" ref="M46" ca="1">IFERROR(INDEX(Unidades[selectorSubSeccion],SMALL(IF(M$1=Unidades[selectorSeccion],MATCH(ROW(Unidades[selectorSeccion]),ROW(Unidades[selectorSeccion]))),ROW(L45))),"")</f>
        <v/>
      </c>
      <c r="N46" s="50" t="str">
        <f t="array" aca="1" ref="N46" ca="1">IFERROR(INDEX(Unidades[selectorSubSeccion],SMALL(IF(N$1=Unidades[selectorSeccion],MATCH(ROW(Unidades[selectorSeccion]),ROW(Unidades[selectorSeccion]))),ROW(M45))),"")</f>
        <v/>
      </c>
      <c r="O46" s="50" t="str">
        <f t="array" aca="1" ref="O46" ca="1">IFERROR(INDEX(Unidades[selectorSubSeccion],SMALL(IF(O$1=Unidades[selectorSeccion],MATCH(ROW(Unidades[selectorSeccion]),ROW(Unidades[selectorSeccion]))),ROW(N45))),"")</f>
        <v/>
      </c>
      <c r="P46" s="50" t="str">
        <f t="array" aca="1" ref="P46" ca="1">IFERROR(INDEX(Unidades[selectorSubSeccion],SMALL(IF(P$1=Unidades[selectorSeccion],MATCH(ROW(Unidades[selectorSeccion]),ROW(Unidades[selectorSeccion]))),ROW(O45))),"")</f>
        <v/>
      </c>
      <c r="Q46" s="50" t="str">
        <f t="array" aca="1" ref="Q46" ca="1">IFERROR(INDEX(Unidades[selectorSubSeccion],SMALL(IF(Q$1=Unidades[selectorSeccion],MATCH(ROW(Unidades[selectorSeccion]),ROW(Unidades[selectorSeccion]))),ROW(P45))),"")</f>
        <v/>
      </c>
      <c r="R46" s="50" t="str">
        <f t="array" aca="1" ref="R46" ca="1">IFERROR(INDEX(Unidades[selectorSubSeccion],SMALL(IF(R$1=Unidades[selectorSeccion],MATCH(ROW(Unidades[selectorSeccion]),ROW(Unidades[selectorSeccion]))),ROW(Q45))),"")</f>
        <v/>
      </c>
      <c r="S46" s="50" t="str">
        <f t="array" aca="1" ref="S46" ca="1">IFERROR(INDEX(Unidades[selectorSubSeccion],SMALL(IF(S$1=Unidades[selectorSeccion],MATCH(ROW(Unidades[selectorSeccion]),ROW(Unidades[selectorSeccion]))),ROW(R45))),"")</f>
        <v/>
      </c>
      <c r="T46" s="50" t="str">
        <f t="array" aca="1" ref="T46" ca="1">IFERROR(INDEX(Unidades[selectorSubSeccion],SMALL(IF(T$1=Unidades[selectorSeccion],MATCH(ROW(Unidades[selectorSeccion]),ROW(Unidades[selectorSeccion]))),ROW(S45))),"")</f>
        <v/>
      </c>
      <c r="U46" s="50" t="str">
        <f t="array" aca="1" ref="U46" ca="1">IFERROR(INDEX(Unidades[selectorSubSeccion],SMALL(IF(U$1=Unidades[selectorSeccion],MATCH(ROW(Unidades[selectorSeccion]),ROW(Unidades[selectorSeccion]))),ROW(T45))),"")</f>
        <v/>
      </c>
      <c r="V46" s="50" t="str">
        <f t="array" aca="1" ref="V46" ca="1">IFERROR(INDEX(Unidades[selectorSubSeccion],SMALL(IF(V$1=Unidades[selectorSeccion],MATCH(ROW(Unidades[selectorSeccion]),ROW(Unidades[selectorSeccion]))),ROW(U45))),"")</f>
        <v/>
      </c>
      <c r="W46" s="50" t="str">
        <f t="array" aca="1" ref="W46" ca="1">IFERROR(INDEX(Unidades[selectorSubSeccion],SMALL(IF(W$1=Unidades[selectorSeccion],MATCH(ROW(Unidades[selectorSeccion]),ROW(Unidades[selectorSeccion]))),ROW(V45))),"")</f>
        <v/>
      </c>
      <c r="X46" s="50" t="str">
        <f t="array" aca="1" ref="X46" ca="1">IFERROR(INDEX(Unidades[selectorSubSeccion],SMALL(IF(X$1=Unidades[selectorSeccion],MATCH(ROW(Unidades[selectorSeccion]),ROW(Unidades[selectorSeccion]))),ROW(W45))),"")</f>
        <v/>
      </c>
      <c r="Y46" s="50" t="str">
        <f t="array" aca="1" ref="Y46" ca="1">IFERROR(INDEX(Unidades[selectorSubSeccion],SMALL(IF(Y$1=Unidades[selectorSeccion],MATCH(ROW(Unidades[selectorSeccion]),ROW(Unidades[selectorSeccion]))),ROW(X45))),"")</f>
        <v/>
      </c>
      <c r="Z46" s="50" t="str">
        <f t="array" aca="1" ref="Z46" ca="1">IFERROR(INDEX(Unidades[selectorSubSeccion],SMALL(IF(Z$1=Unidades[selectorSeccion],MATCH(ROW(Unidades[selectorSeccion]),ROW(Unidades[selectorSeccion]))),ROW(Y45))),"")</f>
        <v/>
      </c>
      <c r="AA46" s="50" t="str">
        <f t="array" aca="1" ref="AA46" ca="1">IFERROR(INDEX(Unidades[selectorSubSeccion],SMALL(IF(AA$1=Unidades[selectorSeccion],MATCH(ROW(Unidades[selectorSeccion]),ROW(Unidades[selectorSeccion]))),ROW(Z45))),"")</f>
        <v/>
      </c>
      <c r="AB46" s="50" t="str">
        <f t="array" aca="1" ref="AB46" ca="1">IFERROR(INDEX(Unidades[selectorSubSeccion],SMALL(IF(AB$1=Unidades[selectorSeccion],MATCH(ROW(Unidades[selectorSeccion]),ROW(Unidades[selectorSeccion]))),ROW(AA45))),"")</f>
        <v/>
      </c>
      <c r="AC46" s="50" t="str">
        <f t="array" aca="1" ref="AC46" ca="1">IFERROR(INDEX(Unidades[selectorSubSeccion],SMALL(IF(AC$1=Unidades[selectorSeccion],MATCH(ROW(Unidades[selectorSeccion]),ROW(Unidades[selectorSeccion]))),ROW(AB45))),"")</f>
        <v/>
      </c>
      <c r="AD46" s="50" t="str">
        <f t="array" aca="1" ref="AD46" ca="1">IFERROR(INDEX(Unidades[selectorSubSeccion],SMALL(IF(AD$1=Unidades[selectorSeccion],MATCH(ROW(Unidades[selectorSeccion]),ROW(Unidades[selectorSeccion]))),ROW(AC45))),"")</f>
        <v/>
      </c>
      <c r="AE46" s="50" t="str">
        <f t="array" aca="1" ref="AE46" ca="1">IFERROR(INDEX(Unidades[selectorSubSeccion],SMALL(IF(AE$1=Unidades[selectorSeccion],MATCH(ROW(Unidades[selectorSeccion]),ROW(Unidades[selectorSeccion]))),ROW(AD45))),"")</f>
        <v/>
      </c>
      <c r="AF46" s="50" t="str">
        <f t="array" aca="1" ref="AF46" ca="1">IFERROR(INDEX(Unidades[selectorSubSeccion],SMALL(IF(AF$1=Unidades[selectorSeccion],MATCH(ROW(Unidades[selectorSeccion]),ROW(Unidades[selectorSeccion]))),ROW(AE45))),"")</f>
        <v/>
      </c>
      <c r="AG46" s="50" t="str">
        <f t="array" aca="1" ref="AG46" ca="1">IFERROR(INDEX(Unidades[selectorSubSeccion],SMALL(IF(AG$1=Unidades[selectorSeccion],MATCH(ROW(Unidades[selectorSeccion]),ROW(Unidades[selectorSeccion]))),ROW(AF45))),"")</f>
        <v/>
      </c>
    </row>
    <row r="47" spans="2:33" x14ac:dyDescent="0.3">
      <c r="B47" s="50" t="str">
        <f t="array" aca="1" ref="B47" ca="1">IFERROR(INDEX(Unidades[selectorSubSeccion],SMALL(IF(B$1=Unidades[selectorSeccion],MATCH(ROW(Unidades[selectorSeccion]),ROW(Unidades[selectorSeccion]))),ROW(A46))),"")</f>
        <v/>
      </c>
      <c r="C47" s="50" t="str">
        <f t="array" aca="1" ref="C47" ca="1">IFERROR(INDEX(Unidades[selectorSubSeccion],SMALL(IF(C$1=Unidades[selectorSeccion],MATCH(ROW(Unidades[selectorSeccion]),ROW(Unidades[selectorSeccion]))),ROW(B46))),"")</f>
        <v/>
      </c>
      <c r="D47" s="50" t="str">
        <f t="array" aca="1" ref="D47" ca="1">IFERROR(INDEX(Unidades[selectorSubSeccion],SMALL(IF(D$1=Unidades[selectorSeccion],MATCH(ROW(Unidades[selectorSeccion]),ROW(Unidades[selectorSeccion]))),ROW(C46))),"")</f>
        <v/>
      </c>
      <c r="E47" s="50" t="str">
        <f t="array" aca="1" ref="E47" ca="1">IFERROR(INDEX(Unidades[selectorSubSeccion],SMALL(IF(E$1=Unidades[selectorSeccion],MATCH(ROW(Unidades[selectorSeccion]),ROW(Unidades[selectorSeccion]))),ROW(D46))),"")</f>
        <v/>
      </c>
      <c r="F47" s="50" t="str">
        <f t="array" aca="1" ref="F47" ca="1">IFERROR(INDEX(Unidades[selectorSubSeccion],SMALL(IF(F$1=Unidades[selectorSeccion],MATCH(ROW(Unidades[selectorSeccion]),ROW(Unidades[selectorSeccion]))),ROW(E46))),"")</f>
        <v/>
      </c>
      <c r="G47" s="50" t="str">
        <f t="array" aca="1" ref="G47" ca="1">IFERROR(INDEX(Unidades[selectorSubSeccion],SMALL(IF(G$1=Unidades[selectorSeccion],MATCH(ROW(Unidades[selectorSeccion]),ROW(Unidades[selectorSeccion]))),ROW(F46))),"")</f>
        <v/>
      </c>
      <c r="H47" s="50" t="str">
        <f t="array" aca="1" ref="H47" ca="1">IFERROR(INDEX(Unidades[selectorSubSeccion],SMALL(IF(H$1=Unidades[selectorSeccion],MATCH(ROW(Unidades[selectorSeccion]),ROW(Unidades[selectorSeccion]))),ROW(G46))),"")</f>
        <v/>
      </c>
      <c r="I47" s="50" t="str">
        <f t="array" aca="1" ref="I47" ca="1">IFERROR(INDEX(Unidades[selectorSubSeccion],SMALL(IF(I$1=Unidades[selectorSeccion],MATCH(ROW(Unidades[selectorSeccion]),ROW(Unidades[selectorSeccion]))),ROW(H46))),"")</f>
        <v/>
      </c>
      <c r="J47" s="50" t="str">
        <f t="array" aca="1" ref="J47" ca="1">IFERROR(INDEX(Unidades[selectorSubSeccion],SMALL(IF(J$1=Unidades[selectorSeccion],MATCH(ROW(Unidades[selectorSeccion]),ROW(Unidades[selectorSeccion]))),ROW(I46))),"")</f>
        <v/>
      </c>
      <c r="K47" s="50" t="str">
        <f t="array" aca="1" ref="K47" ca="1">IFERROR(INDEX(Unidades[selectorSubSeccion],SMALL(IF(K$1=Unidades[selectorSeccion],MATCH(ROW(Unidades[selectorSeccion]),ROW(Unidades[selectorSeccion]))),ROW(J46))),"")</f>
        <v/>
      </c>
      <c r="L47" s="50" t="str">
        <f t="array" aca="1" ref="L47" ca="1">IFERROR(INDEX(Unidades[selectorSubSeccion],SMALL(IF(L$1=Unidades[selectorSeccion],MATCH(ROW(Unidades[selectorSeccion]),ROW(Unidades[selectorSeccion]))),ROW(K46))),"")</f>
        <v/>
      </c>
      <c r="M47" s="50" t="str">
        <f t="array" aca="1" ref="M47" ca="1">IFERROR(INDEX(Unidades[selectorSubSeccion],SMALL(IF(M$1=Unidades[selectorSeccion],MATCH(ROW(Unidades[selectorSeccion]),ROW(Unidades[selectorSeccion]))),ROW(L46))),"")</f>
        <v/>
      </c>
      <c r="N47" s="50" t="str">
        <f t="array" aca="1" ref="N47" ca="1">IFERROR(INDEX(Unidades[selectorSubSeccion],SMALL(IF(N$1=Unidades[selectorSeccion],MATCH(ROW(Unidades[selectorSeccion]),ROW(Unidades[selectorSeccion]))),ROW(M46))),"")</f>
        <v/>
      </c>
      <c r="O47" s="50" t="str">
        <f t="array" aca="1" ref="O47" ca="1">IFERROR(INDEX(Unidades[selectorSubSeccion],SMALL(IF(O$1=Unidades[selectorSeccion],MATCH(ROW(Unidades[selectorSeccion]),ROW(Unidades[selectorSeccion]))),ROW(N46))),"")</f>
        <v/>
      </c>
      <c r="P47" s="50" t="str">
        <f t="array" aca="1" ref="P47" ca="1">IFERROR(INDEX(Unidades[selectorSubSeccion],SMALL(IF(P$1=Unidades[selectorSeccion],MATCH(ROW(Unidades[selectorSeccion]),ROW(Unidades[selectorSeccion]))),ROW(O46))),"")</f>
        <v/>
      </c>
      <c r="Q47" s="50" t="str">
        <f t="array" aca="1" ref="Q47" ca="1">IFERROR(INDEX(Unidades[selectorSubSeccion],SMALL(IF(Q$1=Unidades[selectorSeccion],MATCH(ROW(Unidades[selectorSeccion]),ROW(Unidades[selectorSeccion]))),ROW(P46))),"")</f>
        <v/>
      </c>
      <c r="R47" s="50" t="str">
        <f t="array" aca="1" ref="R47" ca="1">IFERROR(INDEX(Unidades[selectorSubSeccion],SMALL(IF(R$1=Unidades[selectorSeccion],MATCH(ROW(Unidades[selectorSeccion]),ROW(Unidades[selectorSeccion]))),ROW(Q46))),"")</f>
        <v/>
      </c>
      <c r="S47" s="50" t="str">
        <f t="array" aca="1" ref="S47" ca="1">IFERROR(INDEX(Unidades[selectorSubSeccion],SMALL(IF(S$1=Unidades[selectorSeccion],MATCH(ROW(Unidades[selectorSeccion]),ROW(Unidades[selectorSeccion]))),ROW(R46))),"")</f>
        <v/>
      </c>
      <c r="T47" s="50" t="str">
        <f t="array" aca="1" ref="T47" ca="1">IFERROR(INDEX(Unidades[selectorSubSeccion],SMALL(IF(T$1=Unidades[selectorSeccion],MATCH(ROW(Unidades[selectorSeccion]),ROW(Unidades[selectorSeccion]))),ROW(S46))),"")</f>
        <v/>
      </c>
      <c r="U47" s="50" t="str">
        <f t="array" aca="1" ref="U47" ca="1">IFERROR(INDEX(Unidades[selectorSubSeccion],SMALL(IF(U$1=Unidades[selectorSeccion],MATCH(ROW(Unidades[selectorSeccion]),ROW(Unidades[selectorSeccion]))),ROW(T46))),"")</f>
        <v/>
      </c>
      <c r="V47" s="50" t="str">
        <f t="array" aca="1" ref="V47" ca="1">IFERROR(INDEX(Unidades[selectorSubSeccion],SMALL(IF(V$1=Unidades[selectorSeccion],MATCH(ROW(Unidades[selectorSeccion]),ROW(Unidades[selectorSeccion]))),ROW(U46))),"")</f>
        <v/>
      </c>
      <c r="W47" s="50" t="str">
        <f t="array" aca="1" ref="W47" ca="1">IFERROR(INDEX(Unidades[selectorSubSeccion],SMALL(IF(W$1=Unidades[selectorSeccion],MATCH(ROW(Unidades[selectorSeccion]),ROW(Unidades[selectorSeccion]))),ROW(V46))),"")</f>
        <v/>
      </c>
      <c r="X47" s="50" t="str">
        <f t="array" aca="1" ref="X47" ca="1">IFERROR(INDEX(Unidades[selectorSubSeccion],SMALL(IF(X$1=Unidades[selectorSeccion],MATCH(ROW(Unidades[selectorSeccion]),ROW(Unidades[selectorSeccion]))),ROW(W46))),"")</f>
        <v/>
      </c>
      <c r="Y47" s="50" t="str">
        <f t="array" aca="1" ref="Y47" ca="1">IFERROR(INDEX(Unidades[selectorSubSeccion],SMALL(IF(Y$1=Unidades[selectorSeccion],MATCH(ROW(Unidades[selectorSeccion]),ROW(Unidades[selectorSeccion]))),ROW(X46))),"")</f>
        <v/>
      </c>
      <c r="Z47" s="50" t="str">
        <f t="array" aca="1" ref="Z47" ca="1">IFERROR(INDEX(Unidades[selectorSubSeccion],SMALL(IF(Z$1=Unidades[selectorSeccion],MATCH(ROW(Unidades[selectorSeccion]),ROW(Unidades[selectorSeccion]))),ROW(Y46))),"")</f>
        <v/>
      </c>
      <c r="AA47" s="50" t="str">
        <f t="array" aca="1" ref="AA47" ca="1">IFERROR(INDEX(Unidades[selectorSubSeccion],SMALL(IF(AA$1=Unidades[selectorSeccion],MATCH(ROW(Unidades[selectorSeccion]),ROW(Unidades[selectorSeccion]))),ROW(Z46))),"")</f>
        <v/>
      </c>
      <c r="AB47" s="50" t="str">
        <f t="array" aca="1" ref="AB47" ca="1">IFERROR(INDEX(Unidades[selectorSubSeccion],SMALL(IF(AB$1=Unidades[selectorSeccion],MATCH(ROW(Unidades[selectorSeccion]),ROW(Unidades[selectorSeccion]))),ROW(AA46))),"")</f>
        <v/>
      </c>
      <c r="AC47" s="50" t="str">
        <f t="array" aca="1" ref="AC47" ca="1">IFERROR(INDEX(Unidades[selectorSubSeccion],SMALL(IF(AC$1=Unidades[selectorSeccion],MATCH(ROW(Unidades[selectorSeccion]),ROW(Unidades[selectorSeccion]))),ROW(AB46))),"")</f>
        <v/>
      </c>
      <c r="AD47" s="50" t="str">
        <f t="array" aca="1" ref="AD47" ca="1">IFERROR(INDEX(Unidades[selectorSubSeccion],SMALL(IF(AD$1=Unidades[selectorSeccion],MATCH(ROW(Unidades[selectorSeccion]),ROW(Unidades[selectorSeccion]))),ROW(AC46))),"")</f>
        <v/>
      </c>
      <c r="AE47" s="50" t="str">
        <f t="array" aca="1" ref="AE47" ca="1">IFERROR(INDEX(Unidades[selectorSubSeccion],SMALL(IF(AE$1=Unidades[selectorSeccion],MATCH(ROW(Unidades[selectorSeccion]),ROW(Unidades[selectorSeccion]))),ROW(AD46))),"")</f>
        <v/>
      </c>
      <c r="AF47" s="50" t="str">
        <f t="array" aca="1" ref="AF47" ca="1">IFERROR(INDEX(Unidades[selectorSubSeccion],SMALL(IF(AF$1=Unidades[selectorSeccion],MATCH(ROW(Unidades[selectorSeccion]),ROW(Unidades[selectorSeccion]))),ROW(AE46))),"")</f>
        <v/>
      </c>
      <c r="AG47" s="50" t="str">
        <f t="array" aca="1" ref="AG47" ca="1">IFERROR(INDEX(Unidades[selectorSubSeccion],SMALL(IF(AG$1=Unidades[selectorSeccion],MATCH(ROW(Unidades[selectorSeccion]),ROW(Unidades[selectorSeccion]))),ROW(AF46))),"")</f>
        <v/>
      </c>
    </row>
    <row r="48" spans="2:33" x14ac:dyDescent="0.3">
      <c r="B48" s="50" t="str">
        <f t="array" aca="1" ref="B48" ca="1">IFERROR(INDEX(Unidades[selectorSubSeccion],SMALL(IF(B$1=Unidades[selectorSeccion],MATCH(ROW(Unidades[selectorSeccion]),ROW(Unidades[selectorSeccion]))),ROW(A47))),"")</f>
        <v/>
      </c>
      <c r="C48" s="50" t="str">
        <f t="array" aca="1" ref="C48" ca="1">IFERROR(INDEX(Unidades[selectorSubSeccion],SMALL(IF(C$1=Unidades[selectorSeccion],MATCH(ROW(Unidades[selectorSeccion]),ROW(Unidades[selectorSeccion]))),ROW(B47))),"")</f>
        <v/>
      </c>
      <c r="D48" s="50" t="str">
        <f t="array" aca="1" ref="D48" ca="1">IFERROR(INDEX(Unidades[selectorSubSeccion],SMALL(IF(D$1=Unidades[selectorSeccion],MATCH(ROW(Unidades[selectorSeccion]),ROW(Unidades[selectorSeccion]))),ROW(C47))),"")</f>
        <v/>
      </c>
      <c r="E48" s="50" t="str">
        <f t="array" aca="1" ref="E48" ca="1">IFERROR(INDEX(Unidades[selectorSubSeccion],SMALL(IF(E$1=Unidades[selectorSeccion],MATCH(ROW(Unidades[selectorSeccion]),ROW(Unidades[selectorSeccion]))),ROW(D47))),"")</f>
        <v/>
      </c>
      <c r="F48" s="50" t="str">
        <f t="array" aca="1" ref="F48" ca="1">IFERROR(INDEX(Unidades[selectorSubSeccion],SMALL(IF(F$1=Unidades[selectorSeccion],MATCH(ROW(Unidades[selectorSeccion]),ROW(Unidades[selectorSeccion]))),ROW(E47))),"")</f>
        <v/>
      </c>
      <c r="G48" s="50" t="str">
        <f t="array" aca="1" ref="G48" ca="1">IFERROR(INDEX(Unidades[selectorSubSeccion],SMALL(IF(G$1=Unidades[selectorSeccion],MATCH(ROW(Unidades[selectorSeccion]),ROW(Unidades[selectorSeccion]))),ROW(F47))),"")</f>
        <v/>
      </c>
      <c r="H48" s="50" t="str">
        <f t="array" aca="1" ref="H48" ca="1">IFERROR(INDEX(Unidades[selectorSubSeccion],SMALL(IF(H$1=Unidades[selectorSeccion],MATCH(ROW(Unidades[selectorSeccion]),ROW(Unidades[selectorSeccion]))),ROW(G47))),"")</f>
        <v/>
      </c>
      <c r="I48" s="50" t="str">
        <f t="array" aca="1" ref="I48" ca="1">IFERROR(INDEX(Unidades[selectorSubSeccion],SMALL(IF(I$1=Unidades[selectorSeccion],MATCH(ROW(Unidades[selectorSeccion]),ROW(Unidades[selectorSeccion]))),ROW(H47))),"")</f>
        <v/>
      </c>
      <c r="J48" s="50" t="str">
        <f t="array" aca="1" ref="J48" ca="1">IFERROR(INDEX(Unidades[selectorSubSeccion],SMALL(IF(J$1=Unidades[selectorSeccion],MATCH(ROW(Unidades[selectorSeccion]),ROW(Unidades[selectorSeccion]))),ROW(I47))),"")</f>
        <v/>
      </c>
      <c r="K48" s="50" t="str">
        <f t="array" aca="1" ref="K48" ca="1">IFERROR(INDEX(Unidades[selectorSubSeccion],SMALL(IF(K$1=Unidades[selectorSeccion],MATCH(ROW(Unidades[selectorSeccion]),ROW(Unidades[selectorSeccion]))),ROW(J47))),"")</f>
        <v/>
      </c>
      <c r="L48" s="50" t="str">
        <f t="array" aca="1" ref="L48" ca="1">IFERROR(INDEX(Unidades[selectorSubSeccion],SMALL(IF(L$1=Unidades[selectorSeccion],MATCH(ROW(Unidades[selectorSeccion]),ROW(Unidades[selectorSeccion]))),ROW(K47))),"")</f>
        <v/>
      </c>
      <c r="M48" s="50" t="str">
        <f t="array" aca="1" ref="M48" ca="1">IFERROR(INDEX(Unidades[selectorSubSeccion],SMALL(IF(M$1=Unidades[selectorSeccion],MATCH(ROW(Unidades[selectorSeccion]),ROW(Unidades[selectorSeccion]))),ROW(L47))),"")</f>
        <v/>
      </c>
      <c r="N48" s="50" t="str">
        <f t="array" aca="1" ref="N48" ca="1">IFERROR(INDEX(Unidades[selectorSubSeccion],SMALL(IF(N$1=Unidades[selectorSeccion],MATCH(ROW(Unidades[selectorSeccion]),ROW(Unidades[selectorSeccion]))),ROW(M47))),"")</f>
        <v/>
      </c>
      <c r="O48" s="50" t="str">
        <f t="array" aca="1" ref="O48" ca="1">IFERROR(INDEX(Unidades[selectorSubSeccion],SMALL(IF(O$1=Unidades[selectorSeccion],MATCH(ROW(Unidades[selectorSeccion]),ROW(Unidades[selectorSeccion]))),ROW(N47))),"")</f>
        <v/>
      </c>
      <c r="P48" s="50" t="str">
        <f t="array" aca="1" ref="P48" ca="1">IFERROR(INDEX(Unidades[selectorSubSeccion],SMALL(IF(P$1=Unidades[selectorSeccion],MATCH(ROW(Unidades[selectorSeccion]),ROW(Unidades[selectorSeccion]))),ROW(O47))),"")</f>
        <v/>
      </c>
      <c r="Q48" s="50" t="str">
        <f t="array" aca="1" ref="Q48" ca="1">IFERROR(INDEX(Unidades[selectorSubSeccion],SMALL(IF(Q$1=Unidades[selectorSeccion],MATCH(ROW(Unidades[selectorSeccion]),ROW(Unidades[selectorSeccion]))),ROW(P47))),"")</f>
        <v/>
      </c>
      <c r="R48" s="50" t="str">
        <f t="array" aca="1" ref="R48" ca="1">IFERROR(INDEX(Unidades[selectorSubSeccion],SMALL(IF(R$1=Unidades[selectorSeccion],MATCH(ROW(Unidades[selectorSeccion]),ROW(Unidades[selectorSeccion]))),ROW(Q47))),"")</f>
        <v/>
      </c>
      <c r="S48" s="50" t="str">
        <f t="array" aca="1" ref="S48" ca="1">IFERROR(INDEX(Unidades[selectorSubSeccion],SMALL(IF(S$1=Unidades[selectorSeccion],MATCH(ROW(Unidades[selectorSeccion]),ROW(Unidades[selectorSeccion]))),ROW(R47))),"")</f>
        <v/>
      </c>
      <c r="T48" s="50" t="str">
        <f t="array" aca="1" ref="T48" ca="1">IFERROR(INDEX(Unidades[selectorSubSeccion],SMALL(IF(T$1=Unidades[selectorSeccion],MATCH(ROW(Unidades[selectorSeccion]),ROW(Unidades[selectorSeccion]))),ROW(S47))),"")</f>
        <v/>
      </c>
      <c r="U48" s="50" t="str">
        <f t="array" aca="1" ref="U48" ca="1">IFERROR(INDEX(Unidades[selectorSubSeccion],SMALL(IF(U$1=Unidades[selectorSeccion],MATCH(ROW(Unidades[selectorSeccion]),ROW(Unidades[selectorSeccion]))),ROW(T47))),"")</f>
        <v/>
      </c>
      <c r="V48" s="50" t="str">
        <f t="array" aca="1" ref="V48" ca="1">IFERROR(INDEX(Unidades[selectorSubSeccion],SMALL(IF(V$1=Unidades[selectorSeccion],MATCH(ROW(Unidades[selectorSeccion]),ROW(Unidades[selectorSeccion]))),ROW(U47))),"")</f>
        <v/>
      </c>
      <c r="W48" s="50" t="str">
        <f t="array" aca="1" ref="W48" ca="1">IFERROR(INDEX(Unidades[selectorSubSeccion],SMALL(IF(W$1=Unidades[selectorSeccion],MATCH(ROW(Unidades[selectorSeccion]),ROW(Unidades[selectorSeccion]))),ROW(V47))),"")</f>
        <v/>
      </c>
      <c r="X48" s="50" t="str">
        <f t="array" aca="1" ref="X48" ca="1">IFERROR(INDEX(Unidades[selectorSubSeccion],SMALL(IF(X$1=Unidades[selectorSeccion],MATCH(ROW(Unidades[selectorSeccion]),ROW(Unidades[selectorSeccion]))),ROW(W47))),"")</f>
        <v/>
      </c>
      <c r="Y48" s="50" t="str">
        <f t="array" aca="1" ref="Y48" ca="1">IFERROR(INDEX(Unidades[selectorSubSeccion],SMALL(IF(Y$1=Unidades[selectorSeccion],MATCH(ROW(Unidades[selectorSeccion]),ROW(Unidades[selectorSeccion]))),ROW(X47))),"")</f>
        <v/>
      </c>
      <c r="Z48" s="50" t="str">
        <f t="array" aca="1" ref="Z48" ca="1">IFERROR(INDEX(Unidades[selectorSubSeccion],SMALL(IF(Z$1=Unidades[selectorSeccion],MATCH(ROW(Unidades[selectorSeccion]),ROW(Unidades[selectorSeccion]))),ROW(Y47))),"")</f>
        <v/>
      </c>
      <c r="AA48" s="50" t="str">
        <f t="array" aca="1" ref="AA48" ca="1">IFERROR(INDEX(Unidades[selectorSubSeccion],SMALL(IF(AA$1=Unidades[selectorSeccion],MATCH(ROW(Unidades[selectorSeccion]),ROW(Unidades[selectorSeccion]))),ROW(Z47))),"")</f>
        <v/>
      </c>
      <c r="AB48" s="50" t="str">
        <f t="array" aca="1" ref="AB48" ca="1">IFERROR(INDEX(Unidades[selectorSubSeccion],SMALL(IF(AB$1=Unidades[selectorSeccion],MATCH(ROW(Unidades[selectorSeccion]),ROW(Unidades[selectorSeccion]))),ROW(AA47))),"")</f>
        <v/>
      </c>
      <c r="AC48" s="50" t="str">
        <f t="array" aca="1" ref="AC48" ca="1">IFERROR(INDEX(Unidades[selectorSubSeccion],SMALL(IF(AC$1=Unidades[selectorSeccion],MATCH(ROW(Unidades[selectorSeccion]),ROW(Unidades[selectorSeccion]))),ROW(AB47))),"")</f>
        <v/>
      </c>
      <c r="AD48" s="50" t="str">
        <f t="array" aca="1" ref="AD48" ca="1">IFERROR(INDEX(Unidades[selectorSubSeccion],SMALL(IF(AD$1=Unidades[selectorSeccion],MATCH(ROW(Unidades[selectorSeccion]),ROW(Unidades[selectorSeccion]))),ROW(AC47))),"")</f>
        <v/>
      </c>
      <c r="AE48" s="50" t="str">
        <f t="array" aca="1" ref="AE48" ca="1">IFERROR(INDEX(Unidades[selectorSubSeccion],SMALL(IF(AE$1=Unidades[selectorSeccion],MATCH(ROW(Unidades[selectorSeccion]),ROW(Unidades[selectorSeccion]))),ROW(AD47))),"")</f>
        <v/>
      </c>
      <c r="AF48" s="50" t="str">
        <f t="array" aca="1" ref="AF48" ca="1">IFERROR(INDEX(Unidades[selectorSubSeccion],SMALL(IF(AF$1=Unidades[selectorSeccion],MATCH(ROW(Unidades[selectorSeccion]),ROW(Unidades[selectorSeccion]))),ROW(AE47))),"")</f>
        <v/>
      </c>
      <c r="AG48" s="50" t="str">
        <f t="array" aca="1" ref="AG48" ca="1">IFERROR(INDEX(Unidades[selectorSubSeccion],SMALL(IF(AG$1=Unidades[selectorSeccion],MATCH(ROW(Unidades[selectorSeccion]),ROW(Unidades[selectorSeccion]))),ROW(AF47))),"")</f>
        <v/>
      </c>
    </row>
    <row r="49" spans="2:33" x14ac:dyDescent="0.3">
      <c r="B49" s="50" t="str">
        <f t="array" aca="1" ref="B49" ca="1">IFERROR(INDEX(Unidades[selectorSubSeccion],SMALL(IF(B$1=Unidades[selectorSeccion],MATCH(ROW(Unidades[selectorSeccion]),ROW(Unidades[selectorSeccion]))),ROW(A48))),"")</f>
        <v/>
      </c>
      <c r="C49" s="50" t="str">
        <f t="array" aca="1" ref="C49" ca="1">IFERROR(INDEX(Unidades[selectorSubSeccion],SMALL(IF(C$1=Unidades[selectorSeccion],MATCH(ROW(Unidades[selectorSeccion]),ROW(Unidades[selectorSeccion]))),ROW(B48))),"")</f>
        <v/>
      </c>
      <c r="D49" s="50" t="str">
        <f t="array" aca="1" ref="D49" ca="1">IFERROR(INDEX(Unidades[selectorSubSeccion],SMALL(IF(D$1=Unidades[selectorSeccion],MATCH(ROW(Unidades[selectorSeccion]),ROW(Unidades[selectorSeccion]))),ROW(C48))),"")</f>
        <v/>
      </c>
      <c r="E49" s="50" t="str">
        <f t="array" aca="1" ref="E49" ca="1">IFERROR(INDEX(Unidades[selectorSubSeccion],SMALL(IF(E$1=Unidades[selectorSeccion],MATCH(ROW(Unidades[selectorSeccion]),ROW(Unidades[selectorSeccion]))),ROW(D48))),"")</f>
        <v/>
      </c>
      <c r="F49" s="50" t="str">
        <f t="array" aca="1" ref="F49" ca="1">IFERROR(INDEX(Unidades[selectorSubSeccion],SMALL(IF(F$1=Unidades[selectorSeccion],MATCH(ROW(Unidades[selectorSeccion]),ROW(Unidades[selectorSeccion]))),ROW(E48))),"")</f>
        <v/>
      </c>
      <c r="G49" s="50" t="str">
        <f t="array" aca="1" ref="G49" ca="1">IFERROR(INDEX(Unidades[selectorSubSeccion],SMALL(IF(G$1=Unidades[selectorSeccion],MATCH(ROW(Unidades[selectorSeccion]),ROW(Unidades[selectorSeccion]))),ROW(F48))),"")</f>
        <v/>
      </c>
      <c r="H49" s="50" t="str">
        <f t="array" aca="1" ref="H49" ca="1">IFERROR(INDEX(Unidades[selectorSubSeccion],SMALL(IF(H$1=Unidades[selectorSeccion],MATCH(ROW(Unidades[selectorSeccion]),ROW(Unidades[selectorSeccion]))),ROW(G48))),"")</f>
        <v/>
      </c>
      <c r="I49" s="50" t="str">
        <f t="array" aca="1" ref="I49" ca="1">IFERROR(INDEX(Unidades[selectorSubSeccion],SMALL(IF(I$1=Unidades[selectorSeccion],MATCH(ROW(Unidades[selectorSeccion]),ROW(Unidades[selectorSeccion]))),ROW(H48))),"")</f>
        <v/>
      </c>
      <c r="J49" s="50" t="str">
        <f t="array" aca="1" ref="J49" ca="1">IFERROR(INDEX(Unidades[selectorSubSeccion],SMALL(IF(J$1=Unidades[selectorSeccion],MATCH(ROW(Unidades[selectorSeccion]),ROW(Unidades[selectorSeccion]))),ROW(I48))),"")</f>
        <v/>
      </c>
      <c r="K49" s="50" t="str">
        <f t="array" aca="1" ref="K49" ca="1">IFERROR(INDEX(Unidades[selectorSubSeccion],SMALL(IF(K$1=Unidades[selectorSeccion],MATCH(ROW(Unidades[selectorSeccion]),ROW(Unidades[selectorSeccion]))),ROW(J48))),"")</f>
        <v/>
      </c>
      <c r="L49" s="50" t="str">
        <f t="array" aca="1" ref="L49" ca="1">IFERROR(INDEX(Unidades[selectorSubSeccion],SMALL(IF(L$1=Unidades[selectorSeccion],MATCH(ROW(Unidades[selectorSeccion]),ROW(Unidades[selectorSeccion]))),ROW(K48))),"")</f>
        <v/>
      </c>
      <c r="M49" s="50" t="str">
        <f t="array" aca="1" ref="M49" ca="1">IFERROR(INDEX(Unidades[selectorSubSeccion],SMALL(IF(M$1=Unidades[selectorSeccion],MATCH(ROW(Unidades[selectorSeccion]),ROW(Unidades[selectorSeccion]))),ROW(L48))),"")</f>
        <v/>
      </c>
      <c r="N49" s="50" t="str">
        <f t="array" aca="1" ref="N49" ca="1">IFERROR(INDEX(Unidades[selectorSubSeccion],SMALL(IF(N$1=Unidades[selectorSeccion],MATCH(ROW(Unidades[selectorSeccion]),ROW(Unidades[selectorSeccion]))),ROW(M48))),"")</f>
        <v/>
      </c>
      <c r="O49" s="50" t="str">
        <f t="array" aca="1" ref="O49" ca="1">IFERROR(INDEX(Unidades[selectorSubSeccion],SMALL(IF(O$1=Unidades[selectorSeccion],MATCH(ROW(Unidades[selectorSeccion]),ROW(Unidades[selectorSeccion]))),ROW(N48))),"")</f>
        <v/>
      </c>
      <c r="P49" s="50" t="str">
        <f t="array" aca="1" ref="P49" ca="1">IFERROR(INDEX(Unidades[selectorSubSeccion],SMALL(IF(P$1=Unidades[selectorSeccion],MATCH(ROW(Unidades[selectorSeccion]),ROW(Unidades[selectorSeccion]))),ROW(O48))),"")</f>
        <v/>
      </c>
      <c r="Q49" s="50" t="str">
        <f t="array" aca="1" ref="Q49" ca="1">IFERROR(INDEX(Unidades[selectorSubSeccion],SMALL(IF(Q$1=Unidades[selectorSeccion],MATCH(ROW(Unidades[selectorSeccion]),ROW(Unidades[selectorSeccion]))),ROW(P48))),"")</f>
        <v/>
      </c>
      <c r="R49" s="50" t="str">
        <f t="array" aca="1" ref="R49" ca="1">IFERROR(INDEX(Unidades[selectorSubSeccion],SMALL(IF(R$1=Unidades[selectorSeccion],MATCH(ROW(Unidades[selectorSeccion]),ROW(Unidades[selectorSeccion]))),ROW(Q48))),"")</f>
        <v/>
      </c>
      <c r="S49" s="50" t="str">
        <f t="array" aca="1" ref="S49" ca="1">IFERROR(INDEX(Unidades[selectorSubSeccion],SMALL(IF(S$1=Unidades[selectorSeccion],MATCH(ROW(Unidades[selectorSeccion]),ROW(Unidades[selectorSeccion]))),ROW(R48))),"")</f>
        <v/>
      </c>
      <c r="T49" s="50" t="str">
        <f t="array" aca="1" ref="T49" ca="1">IFERROR(INDEX(Unidades[selectorSubSeccion],SMALL(IF(T$1=Unidades[selectorSeccion],MATCH(ROW(Unidades[selectorSeccion]),ROW(Unidades[selectorSeccion]))),ROW(S48))),"")</f>
        <v/>
      </c>
      <c r="U49" s="50" t="str">
        <f t="array" aca="1" ref="U49" ca="1">IFERROR(INDEX(Unidades[selectorSubSeccion],SMALL(IF(U$1=Unidades[selectorSeccion],MATCH(ROW(Unidades[selectorSeccion]),ROW(Unidades[selectorSeccion]))),ROW(T48))),"")</f>
        <v/>
      </c>
      <c r="V49" s="50" t="str">
        <f t="array" aca="1" ref="V49" ca="1">IFERROR(INDEX(Unidades[selectorSubSeccion],SMALL(IF(V$1=Unidades[selectorSeccion],MATCH(ROW(Unidades[selectorSeccion]),ROW(Unidades[selectorSeccion]))),ROW(U48))),"")</f>
        <v/>
      </c>
      <c r="W49" s="50" t="str">
        <f t="array" aca="1" ref="W49" ca="1">IFERROR(INDEX(Unidades[selectorSubSeccion],SMALL(IF(W$1=Unidades[selectorSeccion],MATCH(ROW(Unidades[selectorSeccion]),ROW(Unidades[selectorSeccion]))),ROW(V48))),"")</f>
        <v/>
      </c>
      <c r="X49" s="50" t="str">
        <f t="array" aca="1" ref="X49" ca="1">IFERROR(INDEX(Unidades[selectorSubSeccion],SMALL(IF(X$1=Unidades[selectorSeccion],MATCH(ROW(Unidades[selectorSeccion]),ROW(Unidades[selectorSeccion]))),ROW(W48))),"")</f>
        <v/>
      </c>
      <c r="Y49" s="50" t="str">
        <f t="array" aca="1" ref="Y49" ca="1">IFERROR(INDEX(Unidades[selectorSubSeccion],SMALL(IF(Y$1=Unidades[selectorSeccion],MATCH(ROW(Unidades[selectorSeccion]),ROW(Unidades[selectorSeccion]))),ROW(X48))),"")</f>
        <v/>
      </c>
      <c r="Z49" s="50" t="str">
        <f t="array" aca="1" ref="Z49" ca="1">IFERROR(INDEX(Unidades[selectorSubSeccion],SMALL(IF(Z$1=Unidades[selectorSeccion],MATCH(ROW(Unidades[selectorSeccion]),ROW(Unidades[selectorSeccion]))),ROW(Y48))),"")</f>
        <v/>
      </c>
      <c r="AA49" s="50" t="str">
        <f t="array" aca="1" ref="AA49" ca="1">IFERROR(INDEX(Unidades[selectorSubSeccion],SMALL(IF(AA$1=Unidades[selectorSeccion],MATCH(ROW(Unidades[selectorSeccion]),ROW(Unidades[selectorSeccion]))),ROW(Z48))),"")</f>
        <v/>
      </c>
      <c r="AB49" s="50" t="str">
        <f t="array" aca="1" ref="AB49" ca="1">IFERROR(INDEX(Unidades[selectorSubSeccion],SMALL(IF(AB$1=Unidades[selectorSeccion],MATCH(ROW(Unidades[selectorSeccion]),ROW(Unidades[selectorSeccion]))),ROW(AA48))),"")</f>
        <v/>
      </c>
      <c r="AC49" s="50" t="str">
        <f t="array" aca="1" ref="AC49" ca="1">IFERROR(INDEX(Unidades[selectorSubSeccion],SMALL(IF(AC$1=Unidades[selectorSeccion],MATCH(ROW(Unidades[selectorSeccion]),ROW(Unidades[selectorSeccion]))),ROW(AB48))),"")</f>
        <v/>
      </c>
      <c r="AD49" s="50" t="str">
        <f t="array" aca="1" ref="AD49" ca="1">IFERROR(INDEX(Unidades[selectorSubSeccion],SMALL(IF(AD$1=Unidades[selectorSeccion],MATCH(ROW(Unidades[selectorSeccion]),ROW(Unidades[selectorSeccion]))),ROW(AC48))),"")</f>
        <v/>
      </c>
      <c r="AE49" s="50" t="str">
        <f t="array" aca="1" ref="AE49" ca="1">IFERROR(INDEX(Unidades[selectorSubSeccion],SMALL(IF(AE$1=Unidades[selectorSeccion],MATCH(ROW(Unidades[selectorSeccion]),ROW(Unidades[selectorSeccion]))),ROW(AD48))),"")</f>
        <v/>
      </c>
      <c r="AF49" s="50" t="str">
        <f t="array" aca="1" ref="AF49" ca="1">IFERROR(INDEX(Unidades[selectorSubSeccion],SMALL(IF(AF$1=Unidades[selectorSeccion],MATCH(ROW(Unidades[selectorSeccion]),ROW(Unidades[selectorSeccion]))),ROW(AE48))),"")</f>
        <v/>
      </c>
      <c r="AG49" s="50" t="str">
        <f t="array" aca="1" ref="AG49" ca="1">IFERROR(INDEX(Unidades[selectorSubSeccion],SMALL(IF(AG$1=Unidades[selectorSeccion],MATCH(ROW(Unidades[selectorSeccion]),ROW(Unidades[selectorSeccion]))),ROW(AF48))),"")</f>
        <v/>
      </c>
    </row>
    <row r="50" spans="2:33" x14ac:dyDescent="0.3">
      <c r="B50" s="50" t="str">
        <f t="array" aca="1" ref="B50" ca="1">IFERROR(INDEX(Unidades[selectorSubSeccion],SMALL(IF(B$1=Unidades[selectorSeccion],MATCH(ROW(Unidades[selectorSeccion]),ROW(Unidades[selectorSeccion]))),ROW(A49))),"")</f>
        <v/>
      </c>
      <c r="C50" s="50" t="str">
        <f t="array" aca="1" ref="C50" ca="1">IFERROR(INDEX(Unidades[selectorSubSeccion],SMALL(IF(C$1=Unidades[selectorSeccion],MATCH(ROW(Unidades[selectorSeccion]),ROW(Unidades[selectorSeccion]))),ROW(B49))),"")</f>
        <v/>
      </c>
      <c r="D50" s="50" t="str">
        <f t="array" aca="1" ref="D50" ca="1">IFERROR(INDEX(Unidades[selectorSubSeccion],SMALL(IF(D$1=Unidades[selectorSeccion],MATCH(ROW(Unidades[selectorSeccion]),ROW(Unidades[selectorSeccion]))),ROW(C49))),"")</f>
        <v/>
      </c>
      <c r="E50" s="50" t="str">
        <f t="array" aca="1" ref="E50" ca="1">IFERROR(INDEX(Unidades[selectorSubSeccion],SMALL(IF(E$1=Unidades[selectorSeccion],MATCH(ROW(Unidades[selectorSeccion]),ROW(Unidades[selectorSeccion]))),ROW(D49))),"")</f>
        <v/>
      </c>
      <c r="F50" s="50" t="str">
        <f t="array" aca="1" ref="F50" ca="1">IFERROR(INDEX(Unidades[selectorSubSeccion],SMALL(IF(F$1=Unidades[selectorSeccion],MATCH(ROW(Unidades[selectorSeccion]),ROW(Unidades[selectorSeccion]))),ROW(E49))),"")</f>
        <v/>
      </c>
      <c r="G50" s="50" t="str">
        <f t="array" aca="1" ref="G50" ca="1">IFERROR(INDEX(Unidades[selectorSubSeccion],SMALL(IF(G$1=Unidades[selectorSeccion],MATCH(ROW(Unidades[selectorSeccion]),ROW(Unidades[selectorSeccion]))),ROW(F49))),"")</f>
        <v/>
      </c>
      <c r="H50" s="50" t="str">
        <f t="array" aca="1" ref="H50" ca="1">IFERROR(INDEX(Unidades[selectorSubSeccion],SMALL(IF(H$1=Unidades[selectorSeccion],MATCH(ROW(Unidades[selectorSeccion]),ROW(Unidades[selectorSeccion]))),ROW(G49))),"")</f>
        <v/>
      </c>
      <c r="I50" s="50" t="str">
        <f t="array" aca="1" ref="I50" ca="1">IFERROR(INDEX(Unidades[selectorSubSeccion],SMALL(IF(I$1=Unidades[selectorSeccion],MATCH(ROW(Unidades[selectorSeccion]),ROW(Unidades[selectorSeccion]))),ROW(H49))),"")</f>
        <v/>
      </c>
      <c r="J50" s="50" t="str">
        <f t="array" aca="1" ref="J50" ca="1">IFERROR(INDEX(Unidades[selectorSubSeccion],SMALL(IF(J$1=Unidades[selectorSeccion],MATCH(ROW(Unidades[selectorSeccion]),ROW(Unidades[selectorSeccion]))),ROW(I49))),"")</f>
        <v/>
      </c>
      <c r="K50" s="50" t="str">
        <f t="array" aca="1" ref="K50" ca="1">IFERROR(INDEX(Unidades[selectorSubSeccion],SMALL(IF(K$1=Unidades[selectorSeccion],MATCH(ROW(Unidades[selectorSeccion]),ROW(Unidades[selectorSeccion]))),ROW(J49))),"")</f>
        <v/>
      </c>
      <c r="L50" s="50" t="str">
        <f t="array" aca="1" ref="L50" ca="1">IFERROR(INDEX(Unidades[selectorSubSeccion],SMALL(IF(L$1=Unidades[selectorSeccion],MATCH(ROW(Unidades[selectorSeccion]),ROW(Unidades[selectorSeccion]))),ROW(K49))),"")</f>
        <v/>
      </c>
      <c r="M50" s="50" t="str">
        <f t="array" aca="1" ref="M50" ca="1">IFERROR(INDEX(Unidades[selectorSubSeccion],SMALL(IF(M$1=Unidades[selectorSeccion],MATCH(ROW(Unidades[selectorSeccion]),ROW(Unidades[selectorSeccion]))),ROW(L49))),"")</f>
        <v/>
      </c>
      <c r="N50" s="50" t="str">
        <f t="array" aca="1" ref="N50" ca="1">IFERROR(INDEX(Unidades[selectorSubSeccion],SMALL(IF(N$1=Unidades[selectorSeccion],MATCH(ROW(Unidades[selectorSeccion]),ROW(Unidades[selectorSeccion]))),ROW(M49))),"")</f>
        <v/>
      </c>
      <c r="O50" s="50" t="str">
        <f t="array" aca="1" ref="O50" ca="1">IFERROR(INDEX(Unidades[selectorSubSeccion],SMALL(IF(O$1=Unidades[selectorSeccion],MATCH(ROW(Unidades[selectorSeccion]),ROW(Unidades[selectorSeccion]))),ROW(N49))),"")</f>
        <v/>
      </c>
      <c r="P50" s="50" t="str">
        <f t="array" aca="1" ref="P50" ca="1">IFERROR(INDEX(Unidades[selectorSubSeccion],SMALL(IF(P$1=Unidades[selectorSeccion],MATCH(ROW(Unidades[selectorSeccion]),ROW(Unidades[selectorSeccion]))),ROW(O49))),"")</f>
        <v/>
      </c>
      <c r="Q50" s="50" t="str">
        <f t="array" aca="1" ref="Q50" ca="1">IFERROR(INDEX(Unidades[selectorSubSeccion],SMALL(IF(Q$1=Unidades[selectorSeccion],MATCH(ROW(Unidades[selectorSeccion]),ROW(Unidades[selectorSeccion]))),ROW(P49))),"")</f>
        <v/>
      </c>
      <c r="R50" s="50" t="str">
        <f t="array" aca="1" ref="R50" ca="1">IFERROR(INDEX(Unidades[selectorSubSeccion],SMALL(IF(R$1=Unidades[selectorSeccion],MATCH(ROW(Unidades[selectorSeccion]),ROW(Unidades[selectorSeccion]))),ROW(Q49))),"")</f>
        <v/>
      </c>
      <c r="S50" s="50" t="str">
        <f t="array" aca="1" ref="S50" ca="1">IFERROR(INDEX(Unidades[selectorSubSeccion],SMALL(IF(S$1=Unidades[selectorSeccion],MATCH(ROW(Unidades[selectorSeccion]),ROW(Unidades[selectorSeccion]))),ROW(R49))),"")</f>
        <v/>
      </c>
      <c r="T50" s="50" t="str">
        <f t="array" aca="1" ref="T50" ca="1">IFERROR(INDEX(Unidades[selectorSubSeccion],SMALL(IF(T$1=Unidades[selectorSeccion],MATCH(ROW(Unidades[selectorSeccion]),ROW(Unidades[selectorSeccion]))),ROW(S49))),"")</f>
        <v/>
      </c>
      <c r="U50" s="50" t="str">
        <f t="array" aca="1" ref="U50" ca="1">IFERROR(INDEX(Unidades[selectorSubSeccion],SMALL(IF(U$1=Unidades[selectorSeccion],MATCH(ROW(Unidades[selectorSeccion]),ROW(Unidades[selectorSeccion]))),ROW(T49))),"")</f>
        <v/>
      </c>
      <c r="V50" s="50" t="str">
        <f t="array" aca="1" ref="V50" ca="1">IFERROR(INDEX(Unidades[selectorSubSeccion],SMALL(IF(V$1=Unidades[selectorSeccion],MATCH(ROW(Unidades[selectorSeccion]),ROW(Unidades[selectorSeccion]))),ROW(U49))),"")</f>
        <v/>
      </c>
      <c r="W50" s="50" t="str">
        <f t="array" aca="1" ref="W50" ca="1">IFERROR(INDEX(Unidades[selectorSubSeccion],SMALL(IF(W$1=Unidades[selectorSeccion],MATCH(ROW(Unidades[selectorSeccion]),ROW(Unidades[selectorSeccion]))),ROW(V49))),"")</f>
        <v/>
      </c>
      <c r="X50" s="50" t="str">
        <f t="array" aca="1" ref="X50" ca="1">IFERROR(INDEX(Unidades[selectorSubSeccion],SMALL(IF(X$1=Unidades[selectorSeccion],MATCH(ROW(Unidades[selectorSeccion]),ROW(Unidades[selectorSeccion]))),ROW(W49))),"")</f>
        <v/>
      </c>
      <c r="Y50" s="50" t="str">
        <f t="array" aca="1" ref="Y50" ca="1">IFERROR(INDEX(Unidades[selectorSubSeccion],SMALL(IF(Y$1=Unidades[selectorSeccion],MATCH(ROW(Unidades[selectorSeccion]),ROW(Unidades[selectorSeccion]))),ROW(X49))),"")</f>
        <v/>
      </c>
      <c r="Z50" s="50" t="str">
        <f t="array" aca="1" ref="Z50" ca="1">IFERROR(INDEX(Unidades[selectorSubSeccion],SMALL(IF(Z$1=Unidades[selectorSeccion],MATCH(ROW(Unidades[selectorSeccion]),ROW(Unidades[selectorSeccion]))),ROW(Y49))),"")</f>
        <v/>
      </c>
      <c r="AA50" s="50" t="str">
        <f t="array" aca="1" ref="AA50" ca="1">IFERROR(INDEX(Unidades[selectorSubSeccion],SMALL(IF(AA$1=Unidades[selectorSeccion],MATCH(ROW(Unidades[selectorSeccion]),ROW(Unidades[selectorSeccion]))),ROW(Z49))),"")</f>
        <v/>
      </c>
      <c r="AB50" s="50" t="str">
        <f t="array" aca="1" ref="AB50" ca="1">IFERROR(INDEX(Unidades[selectorSubSeccion],SMALL(IF(AB$1=Unidades[selectorSeccion],MATCH(ROW(Unidades[selectorSeccion]),ROW(Unidades[selectorSeccion]))),ROW(AA49))),"")</f>
        <v/>
      </c>
      <c r="AC50" s="50" t="str">
        <f t="array" aca="1" ref="AC50" ca="1">IFERROR(INDEX(Unidades[selectorSubSeccion],SMALL(IF(AC$1=Unidades[selectorSeccion],MATCH(ROW(Unidades[selectorSeccion]),ROW(Unidades[selectorSeccion]))),ROW(AB49))),"")</f>
        <v/>
      </c>
      <c r="AD50" s="50" t="str">
        <f t="array" aca="1" ref="AD50" ca="1">IFERROR(INDEX(Unidades[selectorSubSeccion],SMALL(IF(AD$1=Unidades[selectorSeccion],MATCH(ROW(Unidades[selectorSeccion]),ROW(Unidades[selectorSeccion]))),ROW(AC49))),"")</f>
        <v/>
      </c>
      <c r="AE50" s="50" t="str">
        <f t="array" aca="1" ref="AE50" ca="1">IFERROR(INDEX(Unidades[selectorSubSeccion],SMALL(IF(AE$1=Unidades[selectorSeccion],MATCH(ROW(Unidades[selectorSeccion]),ROW(Unidades[selectorSeccion]))),ROW(AD49))),"")</f>
        <v/>
      </c>
      <c r="AF50" s="50" t="str">
        <f t="array" aca="1" ref="AF50" ca="1">IFERROR(INDEX(Unidades[selectorSubSeccion],SMALL(IF(AF$1=Unidades[selectorSeccion],MATCH(ROW(Unidades[selectorSeccion]),ROW(Unidades[selectorSeccion]))),ROW(AE49))),"")</f>
        <v/>
      </c>
      <c r="AG50" s="50" t="str">
        <f t="array" aca="1" ref="AG50" ca="1">IFERROR(INDEX(Unidades[selectorSubSeccion],SMALL(IF(AG$1=Unidades[selectorSeccion],MATCH(ROW(Unidades[selectorSeccion]),ROW(Unidades[selectorSeccion]))),ROW(AF49))),"")</f>
        <v/>
      </c>
    </row>
  </sheetData>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4"/>
  <dimension ref="B1:EZ51"/>
  <sheetViews>
    <sheetView topLeftCell="B7" workbookViewId="0">
      <selection activeCell="D8" sqref="D8"/>
    </sheetView>
  </sheetViews>
  <sheetFormatPr baseColWidth="10" defaultColWidth="9.21875" defaultRowHeight="14.4" x14ac:dyDescent="0.3"/>
  <sheetData>
    <row r="1" spans="2:156" x14ac:dyDescent="0.3">
      <c r="B1" s="49" t="str">
        <f t="array" aca="1" ref="B1" ca="1">IFERROR(INDEX(Unidades[selectorSubSeccion],MATCH(0,COUNTIF($A$1:A1,Unidades[selectorSubSeccion]),0)),"")</f>
        <v>1:1:test de conocimiento</v>
      </c>
      <c r="C1" s="49" t="str">
        <f t="array" aca="1" ref="C1" ca="1">IFERROR(INDEX(Unidades[selectorSubSeccion],MATCH(0,COUNTIF($A$1:B1,Unidades[selectorSubSeccion]),0)),"")</f>
        <v>2:1:Introducción</v>
      </c>
      <c r="D1" s="49" t="str">
        <f t="array" aca="1" ref="D1" ca="1">IFERROR(INDEX(Unidades[selectorSubSeccion],MATCH(0,COUNTIF($A$1:C1,Unidades[selectorSubSeccion]),0)),"")</f>
        <v>2:2:Primeras lecciones</v>
      </c>
      <c r="E1" s="49" t="str">
        <f t="array" aca="1" ref="E1" ca="1">IFERROR(INDEX(Unidades[selectorSubSeccion],MATCH(0,COUNTIF($A$1:D1,Unidades[selectorSubSeccion]),0)),"")</f>
        <v>2:3:Importancia de la materia</v>
      </c>
      <c r="F1" s="49" t="str">
        <f t="array" aca="1" ref="F1" ca="1">IFERROR(INDEX(Unidades[selectorSubSeccion],MATCH(0,COUNTIF($A$1:E1,Unidades[selectorSubSeccion]),0)),"")</f>
        <v>2:4:Más datos</v>
      </c>
      <c r="G1" s="49" t="str">
        <f t="array" aca="1" ref="G1" ca="1">IFERROR(INDEX(Unidades[selectorSubSeccion],MATCH(0,COUNTIF($A$1:F1,Unidades[selectorSubSeccion]),0)),"")</f>
        <v>2:5:Exámen de módulo</v>
      </c>
      <c r="H1" s="49" t="str">
        <f t="array" aca="1" ref="H1" ca="1">IFERROR(INDEX(Unidades[selectorSubSeccion],MATCH(0,COUNTIF($A$1:G1,Unidades[selectorSubSeccion]),0)),"")</f>
        <v>3:1:Introducción</v>
      </c>
      <c r="I1" s="49" t="str">
        <f t="array" aca="1" ref="I1" ca="1">IFERROR(INDEX(Unidades[selectorSubSeccion],MATCH(0,COUNTIF($A$1:H1,Unidades[selectorSubSeccion]),0)),"")</f>
        <v>3:2:Temas relacionados</v>
      </c>
      <c r="J1" s="49" t="str">
        <f t="array" aca="1" ref="J1" ca="1">IFERROR(INDEX(Unidades[selectorSubSeccion],MATCH(0,COUNTIF($A$1:I1,Unidades[selectorSubSeccion]),0)),"")</f>
        <v>3:3:Ecuaciones básicas</v>
      </c>
      <c r="K1" s="49" t="str">
        <f t="array" aca="1" ref="K1" ca="1">IFERROR(INDEX(Unidades[selectorSubSeccion],MATCH(0,COUNTIF($A$1:J1,Unidades[selectorSubSeccion]),0)),"")</f>
        <v>3:4:Exámen de módulo</v>
      </c>
      <c r="L1" s="49" t="str">
        <f t="array" aca="1" ref="L1" ca="1">IFERROR(INDEX(Unidades[selectorSubSeccion],MATCH(0,COUNTIF($A$1:K1,Unidades[selectorSubSeccion]),0)),"")</f>
        <v>4:1:Exámen final</v>
      </c>
      <c r="M1" s="49" t="str">
        <f t="array" aca="1" ref="M1" ca="1">IFERROR(INDEX(Unidades[selectorSubSeccion],MATCH(0,COUNTIF($A$1:L1,Unidades[selectorSubSeccion]),0)),"")</f>
        <v/>
      </c>
      <c r="N1" s="49" t="str">
        <f t="array" aca="1" ref="N1" ca="1">IFERROR(INDEX(Unidades[selectorSubSeccion],MATCH(0,COUNTIF($A$1:M1,Unidades[selectorSubSeccion]),0)),"")</f>
        <v/>
      </c>
      <c r="O1" s="49" t="str">
        <f t="array" aca="1" ref="O1" ca="1">IFERROR(INDEX(Unidades[selectorSubSeccion],MATCH(0,COUNTIF($A$1:N1,Unidades[selectorSubSeccion]),0)),"")</f>
        <v/>
      </c>
      <c r="P1" s="49" t="str">
        <f t="array" aca="1" ref="P1" ca="1">IFERROR(INDEX(Unidades[selectorSubSeccion],MATCH(0,COUNTIF($A$1:O1,Unidades[selectorSubSeccion]),0)),"")</f>
        <v/>
      </c>
      <c r="Q1" s="49" t="str">
        <f t="array" aca="1" ref="Q1" ca="1">IFERROR(INDEX(Unidades[selectorSubSeccion],MATCH(0,COUNTIF($A$1:P1,Unidades[selectorSubSeccion]),0)),"")</f>
        <v/>
      </c>
      <c r="R1" s="49" t="str">
        <f t="array" aca="1" ref="R1" ca="1">IFERROR(INDEX(Unidades[selectorSubSeccion],MATCH(0,COUNTIF($A$1:Q1,Unidades[selectorSubSeccion]),0)),"")</f>
        <v/>
      </c>
      <c r="S1" s="49" t="str">
        <f t="array" aca="1" ref="S1" ca="1">IFERROR(INDEX(Unidades[selectorSubSeccion],MATCH(0,COUNTIF($A$1:R1,Unidades[selectorSubSeccion]),0)),"")</f>
        <v/>
      </c>
      <c r="T1" s="49" t="str">
        <f t="array" aca="1" ref="T1" ca="1">IFERROR(INDEX(Unidades[selectorSubSeccion],MATCH(0,COUNTIF($A$1:S1,Unidades[selectorSubSeccion]),0)),"")</f>
        <v/>
      </c>
      <c r="U1" s="49" t="str">
        <f t="array" aca="1" ref="U1" ca="1">IFERROR(INDEX(Unidades[selectorSubSeccion],MATCH(0,COUNTIF($A$1:T1,Unidades[selectorSubSeccion]),0)),"")</f>
        <v/>
      </c>
      <c r="V1" s="49" t="str">
        <f t="array" aca="1" ref="V1" ca="1">IFERROR(INDEX(Unidades[selectorSubSeccion],MATCH(0,COUNTIF($A$1:U1,Unidades[selectorSubSeccion]),0)),"")</f>
        <v/>
      </c>
      <c r="W1" s="49" t="str">
        <f t="array" aca="1" ref="W1" ca="1">IFERROR(INDEX(Unidades[selectorSubSeccion],MATCH(0,COUNTIF($A$1:V1,Unidades[selectorSubSeccion]),0)),"")</f>
        <v/>
      </c>
      <c r="X1" s="49" t="str">
        <f t="array" aca="1" ref="X1" ca="1">IFERROR(INDEX(Unidades[selectorSubSeccion],MATCH(0,COUNTIF($A$1:W1,Unidades[selectorSubSeccion]),0)),"")</f>
        <v/>
      </c>
      <c r="Y1" s="49" t="str">
        <f t="array" aca="1" ref="Y1" ca="1">IFERROR(INDEX(Unidades[selectorSubSeccion],MATCH(0,COUNTIF($A$1:X1,Unidades[selectorSubSeccion]),0)),"")</f>
        <v/>
      </c>
      <c r="Z1" s="49" t="str">
        <f t="array" aca="1" ref="Z1" ca="1">IFERROR(INDEX(Unidades[selectorSubSeccion],MATCH(0,COUNTIF($A$1:Y1,Unidades[selectorSubSeccion]),0)),"")</f>
        <v/>
      </c>
      <c r="AA1" s="49" t="str">
        <f t="array" aca="1" ref="AA1" ca="1">IFERROR(INDEX(Unidades[selectorSubSeccion],MATCH(0,COUNTIF($A$1:Z1,Unidades[selectorSubSeccion]),0)),"")</f>
        <v/>
      </c>
      <c r="AB1" s="49" t="str">
        <f t="array" aca="1" ref="AB1" ca="1">IFERROR(INDEX(Unidades[selectorSubSeccion],MATCH(0,COUNTIF($A$1:AA1,Unidades[selectorSubSeccion]),0)),"")</f>
        <v/>
      </c>
      <c r="AC1" s="49" t="str">
        <f t="array" aca="1" ref="AC1" ca="1">IFERROR(INDEX(Unidades[selectorSubSeccion],MATCH(0,COUNTIF($A$1:AB1,Unidades[selectorSubSeccion]),0)),"")</f>
        <v/>
      </c>
      <c r="AD1" s="49" t="str">
        <f t="array" aca="1" ref="AD1" ca="1">IFERROR(INDEX(Unidades[selectorSubSeccion],MATCH(0,COUNTIF($A$1:AC1,Unidades[selectorSubSeccion]),0)),"")</f>
        <v/>
      </c>
      <c r="AE1" s="49" t="str">
        <f t="array" aca="1" ref="AE1" ca="1">IFERROR(INDEX(Unidades[selectorSubSeccion],MATCH(0,COUNTIF($A$1:AD1,Unidades[selectorSubSeccion]),0)),"")</f>
        <v/>
      </c>
      <c r="AF1" s="49" t="str">
        <f t="array" aca="1" ref="AF1" ca="1">IFERROR(INDEX(Unidades[selectorSubSeccion],MATCH(0,COUNTIF($A$1:AE1,Unidades[selectorSubSeccion]),0)),"")</f>
        <v/>
      </c>
      <c r="AG1" s="49" t="str">
        <f t="array" aca="1" ref="AG1" ca="1">IFERROR(INDEX(Unidades[selectorSubSeccion],MATCH(0,COUNTIF($A$1:AF1,Unidades[selectorSubSeccion]),0)),"")</f>
        <v/>
      </c>
      <c r="AH1" s="49" t="str">
        <f t="array" aca="1" ref="AH1" ca="1">IFERROR(INDEX(Unidades[selectorSubSeccion],MATCH(0,COUNTIF($A$1:AG1,Unidades[selectorSubSeccion]),0)),"")</f>
        <v/>
      </c>
      <c r="AI1" s="49" t="str">
        <f t="array" aca="1" ref="AI1" ca="1">IFERROR(INDEX(Unidades[selectorSubSeccion],MATCH(0,COUNTIF($A$1:AH1,Unidades[selectorSubSeccion]),0)),"")</f>
        <v/>
      </c>
      <c r="AJ1" s="49" t="str">
        <f t="array" aca="1" ref="AJ1" ca="1">IFERROR(INDEX(Unidades[selectorSubSeccion],MATCH(0,COUNTIF($A$1:AI1,Unidades[selectorSubSeccion]),0)),"")</f>
        <v/>
      </c>
      <c r="AK1" s="49" t="str">
        <f t="array" aca="1" ref="AK1" ca="1">IFERROR(INDEX(Unidades[selectorSubSeccion],MATCH(0,COUNTIF($A$1:AJ1,Unidades[selectorSubSeccion]),0)),"")</f>
        <v/>
      </c>
      <c r="AL1" s="49" t="str">
        <f t="array" aca="1" ref="AL1" ca="1">IFERROR(INDEX(Unidades[selectorSubSeccion],MATCH(0,COUNTIF($A$1:AK1,Unidades[selectorSubSeccion]),0)),"")</f>
        <v/>
      </c>
      <c r="AM1" s="49" t="str">
        <f t="array" aca="1" ref="AM1" ca="1">IFERROR(INDEX(Unidades[selectorSubSeccion],MATCH(0,COUNTIF($A$1:AL1,Unidades[selectorSubSeccion]),0)),"")</f>
        <v/>
      </c>
      <c r="AN1" s="49" t="str">
        <f t="array" aca="1" ref="AN1" ca="1">IFERROR(INDEX(Unidades[selectorSubSeccion],MATCH(0,COUNTIF($A$1:AM1,Unidades[selectorSubSeccion]),0)),"")</f>
        <v/>
      </c>
      <c r="AO1" s="49" t="str">
        <f t="array" aca="1" ref="AO1" ca="1">IFERROR(INDEX(Unidades[selectorSubSeccion],MATCH(0,COUNTIF($A$1:AN1,Unidades[selectorSubSeccion]),0)),"")</f>
        <v/>
      </c>
      <c r="AP1" s="49" t="str">
        <f t="array" aca="1" ref="AP1" ca="1">IFERROR(INDEX(Unidades[selectorSubSeccion],MATCH(0,COUNTIF($A$1:AO1,Unidades[selectorSubSeccion]),0)),"")</f>
        <v/>
      </c>
      <c r="AQ1" s="49" t="str">
        <f t="array" aca="1" ref="AQ1" ca="1">IFERROR(INDEX(Unidades[selectorSubSeccion],MATCH(0,COUNTIF($A$1:AP1,Unidades[selectorSubSeccion]),0)),"")</f>
        <v/>
      </c>
      <c r="AR1" s="49" t="str">
        <f t="array" aca="1" ref="AR1" ca="1">IFERROR(INDEX(Unidades[selectorSubSeccion],MATCH(0,COUNTIF($A$1:AQ1,Unidades[selectorSubSeccion]),0)),"")</f>
        <v/>
      </c>
      <c r="AS1" s="49" t="str">
        <f t="array" aca="1" ref="AS1" ca="1">IFERROR(INDEX(Unidades[selectorSubSeccion],MATCH(0,COUNTIF($A$1:AR1,Unidades[selectorSubSeccion]),0)),"")</f>
        <v/>
      </c>
      <c r="AT1" s="49" t="str">
        <f t="array" aca="1" ref="AT1" ca="1">IFERROR(INDEX(Unidades[selectorSubSeccion],MATCH(0,COUNTIF($A$1:AS1,Unidades[selectorSubSeccion]),0)),"")</f>
        <v/>
      </c>
      <c r="AU1" s="49" t="str">
        <f t="array" aca="1" ref="AU1" ca="1">IFERROR(INDEX(Unidades[selectorSubSeccion],MATCH(0,COUNTIF($A$1:AT1,Unidades[selectorSubSeccion]),0)),"")</f>
        <v/>
      </c>
      <c r="AV1" s="49" t="str">
        <f t="array" aca="1" ref="AV1" ca="1">IFERROR(INDEX(Unidades[selectorSubSeccion],MATCH(0,COUNTIF($A$1:AU1,Unidades[selectorSubSeccion]),0)),"")</f>
        <v/>
      </c>
      <c r="AW1" s="49" t="str">
        <f t="array" aca="1" ref="AW1" ca="1">IFERROR(INDEX(Unidades[selectorSubSeccion],MATCH(0,COUNTIF($A$1:AV1,Unidades[selectorSubSeccion]),0)),"")</f>
        <v/>
      </c>
      <c r="AX1" s="49" t="str">
        <f t="array" aca="1" ref="AX1" ca="1">IFERROR(INDEX(Unidades[selectorSubSeccion],MATCH(0,COUNTIF($A$1:AW1,Unidades[selectorSubSeccion]),0)),"")</f>
        <v/>
      </c>
      <c r="AY1" s="49" t="str">
        <f t="array" aca="1" ref="AY1" ca="1">IFERROR(INDEX(Unidades[selectorSubSeccion],MATCH(0,COUNTIF($A$1:AX1,Unidades[selectorSubSeccion]),0)),"")</f>
        <v/>
      </c>
      <c r="AZ1" s="49" t="str">
        <f t="array" aca="1" ref="AZ1" ca="1">IFERROR(INDEX(Unidades[selectorSubSeccion],MATCH(0,COUNTIF($A$1:AY1,Unidades[selectorSubSeccion]),0)),"")</f>
        <v/>
      </c>
      <c r="BA1" s="49" t="str">
        <f t="array" aca="1" ref="BA1" ca="1">IFERROR(INDEX(Unidades[selectorSubSeccion],MATCH(0,COUNTIF($A$1:AZ1,Unidades[selectorSubSeccion]),0)),"")</f>
        <v/>
      </c>
      <c r="BB1" s="49" t="str">
        <f t="array" aca="1" ref="BB1" ca="1">IFERROR(INDEX(Unidades[selectorSubSeccion],MATCH(0,COUNTIF($A$1:BA1,Unidades[selectorSubSeccion]),0)),"")</f>
        <v/>
      </c>
      <c r="BC1" s="49" t="str">
        <f t="array" aca="1" ref="BC1" ca="1">IFERROR(INDEX(Unidades[selectorSubSeccion],MATCH(0,COUNTIF($A$1:BB1,Unidades[selectorSubSeccion]),0)),"")</f>
        <v/>
      </c>
      <c r="BD1" s="49" t="str">
        <f t="array" aca="1" ref="BD1" ca="1">IFERROR(INDEX(Unidades[selectorSubSeccion],MATCH(0,COUNTIF($A$1:BC1,Unidades[selectorSubSeccion]),0)),"")</f>
        <v/>
      </c>
      <c r="BE1" s="49" t="str">
        <f t="array" aca="1" ref="BE1" ca="1">IFERROR(INDEX(Unidades[selectorSubSeccion],MATCH(0,COUNTIF($A$1:BD1,Unidades[selectorSubSeccion]),0)),"")</f>
        <v/>
      </c>
      <c r="BF1" s="49" t="str">
        <f t="array" aca="1" ref="BF1" ca="1">IFERROR(INDEX(Unidades[selectorSubSeccion],MATCH(0,COUNTIF($A$1:BE1,Unidades[selectorSubSeccion]),0)),"")</f>
        <v/>
      </c>
      <c r="BG1" s="49" t="str">
        <f t="array" aca="1" ref="BG1" ca="1">IFERROR(INDEX(Unidades[selectorSubSeccion],MATCH(0,COUNTIF($A$1:BF1,Unidades[selectorSubSeccion]),0)),"")</f>
        <v/>
      </c>
      <c r="BH1" s="49" t="str">
        <f t="array" aca="1" ref="BH1" ca="1">IFERROR(INDEX(Unidades[selectorSubSeccion],MATCH(0,COUNTIF($A$1:BG1,Unidades[selectorSubSeccion]),0)),"")</f>
        <v/>
      </c>
      <c r="BI1" s="49" t="str">
        <f t="array" aca="1" ref="BI1" ca="1">IFERROR(INDEX(Unidades[selectorSubSeccion],MATCH(0,COUNTIF($A$1:BH1,Unidades[selectorSubSeccion]),0)),"")</f>
        <v/>
      </c>
      <c r="BJ1" s="49" t="str">
        <f t="array" aca="1" ref="BJ1" ca="1">IFERROR(INDEX(Unidades[selectorSubSeccion],MATCH(0,COUNTIF($A$1:BI1,Unidades[selectorSubSeccion]),0)),"")</f>
        <v/>
      </c>
      <c r="BK1" s="49" t="str">
        <f t="array" aca="1" ref="BK1" ca="1">IFERROR(INDEX(Unidades[selectorSubSeccion],MATCH(0,COUNTIF($A$1:BJ1,Unidades[selectorSubSeccion]),0)),"")</f>
        <v/>
      </c>
      <c r="BL1" s="49" t="str">
        <f t="array" aca="1" ref="BL1" ca="1">IFERROR(INDEX(Unidades[selectorSubSeccion],MATCH(0,COUNTIF($A$1:BK1,Unidades[selectorSubSeccion]),0)),"")</f>
        <v/>
      </c>
      <c r="BM1" s="49" t="str">
        <f t="array" aca="1" ref="BM1" ca="1">IFERROR(INDEX(Unidades[selectorSubSeccion],MATCH(0,COUNTIF($A$1:BL1,Unidades[selectorSubSeccion]),0)),"")</f>
        <v/>
      </c>
      <c r="BN1" s="49" t="str">
        <f t="array" aca="1" ref="BN1" ca="1">IFERROR(INDEX(Unidades[selectorSubSeccion],MATCH(0,COUNTIF($A$1:BM1,Unidades[selectorSubSeccion]),0)),"")</f>
        <v/>
      </c>
      <c r="BO1" s="49" t="str">
        <f t="array" aca="1" ref="BO1" ca="1">IFERROR(INDEX(Unidades[selectorSubSeccion],MATCH(0,COUNTIF($A$1:BN1,Unidades[selectorSubSeccion]),0)),"")</f>
        <v/>
      </c>
      <c r="BP1" s="49" t="str">
        <f t="array" aca="1" ref="BP1" ca="1">IFERROR(INDEX(Unidades[selectorSubSeccion],MATCH(0,COUNTIF($A$1:BO1,Unidades[selectorSubSeccion]),0)),"")</f>
        <v/>
      </c>
      <c r="BQ1" s="49" t="str">
        <f t="array" aca="1" ref="BQ1" ca="1">IFERROR(INDEX(Unidades[selectorSubSeccion],MATCH(0,COUNTIF($A$1:BP1,Unidades[selectorSubSeccion]),0)),"")</f>
        <v/>
      </c>
      <c r="BR1" s="49" t="str">
        <f t="array" aca="1" ref="BR1" ca="1">IFERROR(INDEX(Unidades[selectorSubSeccion],MATCH(0,COUNTIF($A$1:BQ1,Unidades[selectorSubSeccion]),0)),"")</f>
        <v/>
      </c>
      <c r="BS1" s="49" t="str">
        <f t="array" aca="1" ref="BS1" ca="1">IFERROR(INDEX(Unidades[selectorSubSeccion],MATCH(0,COUNTIF($A$1:BR1,Unidades[selectorSubSeccion]),0)),"")</f>
        <v/>
      </c>
      <c r="BT1" s="49" t="str">
        <f t="array" aca="1" ref="BT1" ca="1">IFERROR(INDEX(Unidades[selectorSubSeccion],MATCH(0,COUNTIF($A$1:BS1,Unidades[selectorSubSeccion]),0)),"")</f>
        <v/>
      </c>
      <c r="BU1" s="49" t="str">
        <f t="array" aca="1" ref="BU1" ca="1">IFERROR(INDEX(Unidades[selectorSubSeccion],MATCH(0,COUNTIF($A$1:BT1,Unidades[selectorSubSeccion]),0)),"")</f>
        <v/>
      </c>
      <c r="BV1" s="49" t="str">
        <f t="array" aca="1" ref="BV1" ca="1">IFERROR(INDEX(Unidades[selectorSubSeccion],MATCH(0,COUNTIF($A$1:BU1,Unidades[selectorSubSeccion]),0)),"")</f>
        <v/>
      </c>
      <c r="BW1" s="49" t="str">
        <f t="array" aca="1" ref="BW1" ca="1">IFERROR(INDEX(Unidades[selectorSubSeccion],MATCH(0,COUNTIF($A$1:BV1,Unidades[selectorSubSeccion]),0)),"")</f>
        <v/>
      </c>
      <c r="BX1" s="49" t="str">
        <f t="array" aca="1" ref="BX1" ca="1">IFERROR(INDEX(Unidades[selectorSubSeccion],MATCH(0,COUNTIF($A$1:BW1,Unidades[selectorSubSeccion]),0)),"")</f>
        <v/>
      </c>
      <c r="BY1" s="49" t="str">
        <f t="array" aca="1" ref="BY1" ca="1">IFERROR(INDEX(Unidades[selectorSubSeccion],MATCH(0,COUNTIF($A$1:BX1,Unidades[selectorSubSeccion]),0)),"")</f>
        <v/>
      </c>
      <c r="BZ1" s="49" t="str">
        <f t="array" aca="1" ref="BZ1" ca="1">IFERROR(INDEX(Unidades[selectorSubSeccion],MATCH(0,COUNTIF($A$1:BY1,Unidades[selectorSubSeccion]),0)),"")</f>
        <v/>
      </c>
      <c r="CA1" s="49" t="str">
        <f t="array" aca="1" ref="CA1" ca="1">IFERROR(INDEX(Unidades[selectorSubSeccion],MATCH(0,COUNTIF($A$1:BZ1,Unidades[selectorSubSeccion]),0)),"")</f>
        <v/>
      </c>
      <c r="CB1" s="49" t="str">
        <f t="array" aca="1" ref="CB1" ca="1">IFERROR(INDEX(Unidades[selectorSubSeccion],MATCH(0,COUNTIF($A$1:CA1,Unidades[selectorSubSeccion]),0)),"")</f>
        <v/>
      </c>
      <c r="CC1" s="49" t="str">
        <f t="array" aca="1" ref="CC1" ca="1">IFERROR(INDEX(Unidades[selectorSubSeccion],MATCH(0,COUNTIF($A$1:CB1,Unidades[selectorSubSeccion]),0)),"")</f>
        <v/>
      </c>
      <c r="CD1" s="49" t="str">
        <f t="array" aca="1" ref="CD1" ca="1">IFERROR(INDEX(Unidades[selectorSubSeccion],MATCH(0,COUNTIF($A$1:CC1,Unidades[selectorSubSeccion]),0)),"")</f>
        <v/>
      </c>
      <c r="CE1" s="49" t="str">
        <f t="array" aca="1" ref="CE1" ca="1">IFERROR(INDEX(Unidades[selectorSubSeccion],MATCH(0,COUNTIF($A$1:CD1,Unidades[selectorSubSeccion]),0)),"")</f>
        <v/>
      </c>
      <c r="CF1" s="49" t="str">
        <f t="array" aca="1" ref="CF1" ca="1">IFERROR(INDEX(Unidades[selectorSubSeccion],MATCH(0,COUNTIF($A$1:CE1,Unidades[selectorSubSeccion]),0)),"")</f>
        <v/>
      </c>
      <c r="CG1" s="49" t="str">
        <f t="array" aca="1" ref="CG1" ca="1">IFERROR(INDEX(Unidades[selectorSubSeccion],MATCH(0,COUNTIF($A$1:CF1,Unidades[selectorSubSeccion]),0)),"")</f>
        <v/>
      </c>
      <c r="CH1" s="49" t="str">
        <f t="array" aca="1" ref="CH1" ca="1">IFERROR(INDEX(Unidades[selectorSubSeccion],MATCH(0,COUNTIF($A$1:CG1,Unidades[selectorSubSeccion]),0)),"")</f>
        <v/>
      </c>
      <c r="CI1" s="49" t="str">
        <f t="array" aca="1" ref="CI1" ca="1">IFERROR(INDEX(Unidades[selectorSubSeccion],MATCH(0,COUNTIF($A$1:CH1,Unidades[selectorSubSeccion]),0)),"")</f>
        <v/>
      </c>
      <c r="CJ1" s="49" t="str">
        <f t="array" aca="1" ref="CJ1" ca="1">IFERROR(INDEX(Unidades[selectorSubSeccion],MATCH(0,COUNTIF($A$1:CI1,Unidades[selectorSubSeccion]),0)),"")</f>
        <v/>
      </c>
      <c r="CK1" s="49" t="str">
        <f t="array" aca="1" ref="CK1" ca="1">IFERROR(INDEX(Unidades[selectorSubSeccion],MATCH(0,COUNTIF($A$1:CJ1,Unidades[selectorSubSeccion]),0)),"")</f>
        <v/>
      </c>
      <c r="CL1" s="49" t="str">
        <f t="array" aca="1" ref="CL1" ca="1">IFERROR(INDEX(Unidades[selectorSubSeccion],MATCH(0,COUNTIF($A$1:CK1,Unidades[selectorSubSeccion]),0)),"")</f>
        <v/>
      </c>
      <c r="CM1" s="49" t="str">
        <f t="array" aca="1" ref="CM1" ca="1">IFERROR(INDEX(Unidades[selectorSubSeccion],MATCH(0,COUNTIF($A$1:CL1,Unidades[selectorSubSeccion]),0)),"")</f>
        <v/>
      </c>
      <c r="CN1" s="49" t="str">
        <f t="array" aca="1" ref="CN1" ca="1">IFERROR(INDEX(Unidades[selectorSubSeccion],MATCH(0,COUNTIF($A$1:CM1,Unidades[selectorSubSeccion]),0)),"")</f>
        <v/>
      </c>
      <c r="CO1" s="49" t="str">
        <f t="array" aca="1" ref="CO1" ca="1">IFERROR(INDEX(Unidades[selectorSubSeccion],MATCH(0,COUNTIF($A$1:CN1,Unidades[selectorSubSeccion]),0)),"")</f>
        <v/>
      </c>
      <c r="CP1" s="49" t="str">
        <f t="array" aca="1" ref="CP1" ca="1">IFERROR(INDEX(Unidades[selectorSubSeccion],MATCH(0,COUNTIF($A$1:CO1,Unidades[selectorSubSeccion]),0)),"")</f>
        <v/>
      </c>
      <c r="CQ1" s="49" t="str">
        <f t="array" aca="1" ref="CQ1" ca="1">IFERROR(INDEX(Unidades[selectorSubSeccion],MATCH(0,COUNTIF($A$1:CP1,Unidades[selectorSubSeccion]),0)),"")</f>
        <v/>
      </c>
      <c r="CR1" s="49" t="str">
        <f t="array" aca="1" ref="CR1" ca="1">IFERROR(INDEX(Unidades[selectorSubSeccion],MATCH(0,COUNTIF($A$1:CQ1,Unidades[selectorSubSeccion]),0)),"")</f>
        <v/>
      </c>
      <c r="CS1" s="49" t="str">
        <f t="array" aca="1" ref="CS1" ca="1">IFERROR(INDEX(Unidades[selectorSubSeccion],MATCH(0,COUNTIF($A$1:CR1,Unidades[selectorSubSeccion]),0)),"")</f>
        <v/>
      </c>
      <c r="CT1" s="49" t="str">
        <f t="array" aca="1" ref="CT1" ca="1">IFERROR(INDEX(Unidades[selectorSubSeccion],MATCH(0,COUNTIF($A$1:CS1,Unidades[selectorSubSeccion]),0)),"")</f>
        <v/>
      </c>
      <c r="CU1" s="49" t="str">
        <f t="array" aca="1" ref="CU1" ca="1">IFERROR(INDEX(Unidades[selectorSubSeccion],MATCH(0,COUNTIF($A$1:CT1,Unidades[selectorSubSeccion]),0)),"")</f>
        <v/>
      </c>
      <c r="CV1" s="49" t="str">
        <f t="array" aca="1" ref="CV1" ca="1">IFERROR(INDEX(Unidades[selectorSubSeccion],MATCH(0,COUNTIF($A$1:CU1,Unidades[selectorSubSeccion]),0)),"")</f>
        <v/>
      </c>
      <c r="CW1" s="49" t="str">
        <f t="array" aca="1" ref="CW1" ca="1">IFERROR(INDEX(Unidades[selectorSubSeccion],MATCH(0,COUNTIF($A$1:CV1,Unidades[selectorSubSeccion]),0)),"")</f>
        <v/>
      </c>
      <c r="CX1" s="49" t="str">
        <f t="array" aca="1" ref="CX1" ca="1">IFERROR(INDEX(Unidades[selectorSubSeccion],MATCH(0,COUNTIF($A$1:CW1,Unidades[selectorSubSeccion]),0)),"")</f>
        <v/>
      </c>
      <c r="CY1" s="49" t="str">
        <f t="array" aca="1" ref="CY1" ca="1">IFERROR(INDEX(Unidades[selectorSubSeccion],MATCH(0,COUNTIF($A$1:CX1,Unidades[selectorSubSeccion]),0)),"")</f>
        <v/>
      </c>
      <c r="CZ1" s="49" t="str">
        <f t="array" aca="1" ref="CZ1" ca="1">IFERROR(INDEX(Unidades[selectorSubSeccion],MATCH(0,COUNTIF($A$1:CY1,Unidades[selectorSubSeccion]),0)),"")</f>
        <v/>
      </c>
      <c r="DA1" s="49" t="str">
        <f t="array" aca="1" ref="DA1" ca="1">IFERROR(INDEX(Unidades[selectorSubSeccion],MATCH(0,COUNTIF($A$1:CZ1,Unidades[selectorSubSeccion]),0)),"")</f>
        <v/>
      </c>
      <c r="DB1" s="49" t="str">
        <f t="array" aca="1" ref="DB1" ca="1">IFERROR(INDEX(Unidades[selectorSubSeccion],MATCH(0,COUNTIF($A$1:DA1,Unidades[selectorSubSeccion]),0)),"")</f>
        <v/>
      </c>
      <c r="DC1" s="49" t="str">
        <f t="array" aca="1" ref="DC1" ca="1">IFERROR(INDEX(Unidades[selectorSubSeccion],MATCH(0,COUNTIF($A$1:DB1,Unidades[selectorSubSeccion]),0)),"")</f>
        <v/>
      </c>
      <c r="DD1" s="49" t="str">
        <f t="array" aca="1" ref="DD1" ca="1">IFERROR(INDEX(Unidades[selectorSubSeccion],MATCH(0,COUNTIF($A$1:DC1,Unidades[selectorSubSeccion]),0)),"")</f>
        <v/>
      </c>
      <c r="DE1" s="49" t="str">
        <f t="array" aca="1" ref="DE1" ca="1">IFERROR(INDEX(Unidades[selectorSubSeccion],MATCH(0,COUNTIF($A$1:DD1,Unidades[selectorSubSeccion]),0)),"")</f>
        <v/>
      </c>
      <c r="DF1" s="49" t="str">
        <f t="array" aca="1" ref="DF1" ca="1">IFERROR(INDEX(Unidades[selectorSubSeccion],MATCH(0,COUNTIF($A$1:DE1,Unidades[selectorSubSeccion]),0)),"")</f>
        <v/>
      </c>
      <c r="DG1" s="49" t="str">
        <f t="array" aca="1" ref="DG1" ca="1">IFERROR(INDEX(Unidades[selectorSubSeccion],MATCH(0,COUNTIF($A$1:DF1,Unidades[selectorSubSeccion]),0)),"")</f>
        <v/>
      </c>
      <c r="DH1" s="49" t="str">
        <f t="array" aca="1" ref="DH1" ca="1">IFERROR(INDEX(Unidades[selectorSubSeccion],MATCH(0,COUNTIF($A$1:DG1,Unidades[selectorSubSeccion]),0)),"")</f>
        <v/>
      </c>
      <c r="DI1" s="49" t="str">
        <f t="array" aca="1" ref="DI1" ca="1">IFERROR(INDEX(Unidades[selectorSubSeccion],MATCH(0,COUNTIF($A$1:DH1,Unidades[selectorSubSeccion]),0)),"")</f>
        <v/>
      </c>
      <c r="DJ1" s="49" t="str">
        <f t="array" aca="1" ref="DJ1" ca="1">IFERROR(INDEX(Unidades[selectorSubSeccion],MATCH(0,COUNTIF($A$1:DI1,Unidades[selectorSubSeccion]),0)),"")</f>
        <v/>
      </c>
      <c r="DK1" s="49" t="str">
        <f t="array" aca="1" ref="DK1" ca="1">IFERROR(INDEX(Unidades[selectorSubSeccion],MATCH(0,COUNTIF($A$1:DJ1,Unidades[selectorSubSeccion]),0)),"")</f>
        <v/>
      </c>
      <c r="DL1" s="49" t="str">
        <f t="array" aca="1" ref="DL1" ca="1">IFERROR(INDEX(Unidades[selectorSubSeccion],MATCH(0,COUNTIF($A$1:DK1,Unidades[selectorSubSeccion]),0)),"")</f>
        <v/>
      </c>
      <c r="DM1" s="49" t="str">
        <f t="array" aca="1" ref="DM1" ca="1">IFERROR(INDEX(Unidades[selectorSubSeccion],MATCH(0,COUNTIF($A$1:DL1,Unidades[selectorSubSeccion]),0)),"")</f>
        <v/>
      </c>
      <c r="DN1" s="49" t="str">
        <f t="array" aca="1" ref="DN1" ca="1">IFERROR(INDEX(Unidades[selectorSubSeccion],MATCH(0,COUNTIF($A$1:DM1,Unidades[selectorSubSeccion]),0)),"")</f>
        <v/>
      </c>
      <c r="DO1" s="49" t="str">
        <f t="array" aca="1" ref="DO1" ca="1">IFERROR(INDEX(Unidades[selectorSubSeccion],MATCH(0,COUNTIF($A$1:DN1,Unidades[selectorSubSeccion]),0)),"")</f>
        <v/>
      </c>
      <c r="DP1" s="49" t="str">
        <f t="array" aca="1" ref="DP1" ca="1">IFERROR(INDEX(Unidades[selectorSubSeccion],MATCH(0,COUNTIF($A$1:DO1,Unidades[selectorSubSeccion]),0)),"")</f>
        <v/>
      </c>
      <c r="DQ1" s="49" t="str">
        <f t="array" aca="1" ref="DQ1" ca="1">IFERROR(INDEX(Unidades[selectorSubSeccion],MATCH(0,COUNTIF($A$1:DP1,Unidades[selectorSubSeccion]),0)),"")</f>
        <v/>
      </c>
      <c r="DR1" s="49" t="str">
        <f t="array" aca="1" ref="DR1" ca="1">IFERROR(INDEX(Unidades[selectorSubSeccion],MATCH(0,COUNTIF($A$1:DQ1,Unidades[selectorSubSeccion]),0)),"")</f>
        <v/>
      </c>
      <c r="DS1" s="49" t="str">
        <f t="array" aca="1" ref="DS1" ca="1">IFERROR(INDEX(Unidades[selectorSubSeccion],MATCH(0,COUNTIF($A$1:DR1,Unidades[selectorSubSeccion]),0)),"")</f>
        <v/>
      </c>
      <c r="DT1" s="49" t="str">
        <f t="array" aca="1" ref="DT1" ca="1">IFERROR(INDEX(Unidades[selectorSubSeccion],MATCH(0,COUNTIF($A$1:DS1,Unidades[selectorSubSeccion]),0)),"")</f>
        <v/>
      </c>
      <c r="DU1" s="49" t="str">
        <f t="array" aca="1" ref="DU1" ca="1">IFERROR(INDEX(Unidades[selectorSubSeccion],MATCH(0,COUNTIF($A$1:DT1,Unidades[selectorSubSeccion]),0)),"")</f>
        <v/>
      </c>
      <c r="DV1" s="49" t="str">
        <f t="array" aca="1" ref="DV1" ca="1">IFERROR(INDEX(Unidades[selectorSubSeccion],MATCH(0,COUNTIF($A$1:DU1,Unidades[selectorSubSeccion]),0)),"")</f>
        <v/>
      </c>
      <c r="DW1" s="49" t="str">
        <f t="array" aca="1" ref="DW1" ca="1">IFERROR(INDEX(Unidades[selectorSubSeccion],MATCH(0,COUNTIF($A$1:DV1,Unidades[selectorSubSeccion]),0)),"")</f>
        <v/>
      </c>
      <c r="DX1" s="49" t="str">
        <f t="array" aca="1" ref="DX1" ca="1">IFERROR(INDEX(Unidades[selectorSubSeccion],MATCH(0,COUNTIF($A$1:DW1,Unidades[selectorSubSeccion]),0)),"")</f>
        <v/>
      </c>
      <c r="DY1" s="49" t="str">
        <f t="array" aca="1" ref="DY1" ca="1">IFERROR(INDEX(Unidades[selectorSubSeccion],MATCH(0,COUNTIF($A$1:DX1,Unidades[selectorSubSeccion]),0)),"")</f>
        <v/>
      </c>
      <c r="DZ1" s="49" t="str">
        <f t="array" aca="1" ref="DZ1" ca="1">IFERROR(INDEX(Unidades[selectorSubSeccion],MATCH(0,COUNTIF($A$1:DY1,Unidades[selectorSubSeccion]),0)),"")</f>
        <v/>
      </c>
      <c r="EA1" s="49" t="str">
        <f t="array" aca="1" ref="EA1" ca="1">IFERROR(INDEX(Unidades[selectorSubSeccion],MATCH(0,COUNTIF($A$1:DZ1,Unidades[selectorSubSeccion]),0)),"")</f>
        <v/>
      </c>
      <c r="EB1" s="49" t="str">
        <f t="array" aca="1" ref="EB1" ca="1">IFERROR(INDEX(Unidades[selectorSubSeccion],MATCH(0,COUNTIF($A$1:EA1,Unidades[selectorSubSeccion]),0)),"")</f>
        <v/>
      </c>
      <c r="EC1" s="49" t="str">
        <f t="array" aca="1" ref="EC1" ca="1">IFERROR(INDEX(Unidades[selectorSubSeccion],MATCH(0,COUNTIF($A$1:EB1,Unidades[selectorSubSeccion]),0)),"")</f>
        <v/>
      </c>
      <c r="ED1" s="49" t="str">
        <f t="array" aca="1" ref="ED1" ca="1">IFERROR(INDEX(Unidades[selectorSubSeccion],MATCH(0,COUNTIF($A$1:EC1,Unidades[selectorSubSeccion]),0)),"")</f>
        <v/>
      </c>
      <c r="EE1" s="49" t="str">
        <f t="array" aca="1" ref="EE1" ca="1">IFERROR(INDEX(Unidades[selectorSubSeccion],MATCH(0,COUNTIF($A$1:ED1,Unidades[selectorSubSeccion]),0)),"")</f>
        <v/>
      </c>
      <c r="EF1" s="49" t="str">
        <f t="array" aca="1" ref="EF1" ca="1">IFERROR(INDEX(Unidades[selectorSubSeccion],MATCH(0,COUNTIF($A$1:EE1,Unidades[selectorSubSeccion]),0)),"")</f>
        <v/>
      </c>
      <c r="EG1" s="49" t="str">
        <f t="array" aca="1" ref="EG1" ca="1">IFERROR(INDEX(Unidades[selectorSubSeccion],MATCH(0,COUNTIF($A$1:EF1,Unidades[selectorSubSeccion]),0)),"")</f>
        <v/>
      </c>
      <c r="EH1" s="49" t="str">
        <f t="array" aca="1" ref="EH1" ca="1">IFERROR(INDEX(Unidades[selectorSubSeccion],MATCH(0,COUNTIF($A$1:EG1,Unidades[selectorSubSeccion]),0)),"")</f>
        <v/>
      </c>
      <c r="EI1" s="49" t="str">
        <f t="array" aca="1" ref="EI1" ca="1">IFERROR(INDEX(Unidades[selectorSubSeccion],MATCH(0,COUNTIF($A$1:EH1,Unidades[selectorSubSeccion]),0)),"")</f>
        <v/>
      </c>
      <c r="EJ1" s="49" t="str">
        <f t="array" aca="1" ref="EJ1" ca="1">IFERROR(INDEX(Unidades[selectorSubSeccion],MATCH(0,COUNTIF($A$1:EI1,Unidades[selectorSubSeccion]),0)),"")</f>
        <v/>
      </c>
      <c r="EK1" s="49" t="str">
        <f t="array" aca="1" ref="EK1" ca="1">IFERROR(INDEX(Unidades[selectorSubSeccion],MATCH(0,COUNTIF($A$1:EJ1,Unidades[selectorSubSeccion]),0)),"")</f>
        <v/>
      </c>
      <c r="EL1" s="49" t="str">
        <f t="array" aca="1" ref="EL1" ca="1">IFERROR(INDEX(Unidades[selectorSubSeccion],MATCH(0,COUNTIF($A$1:EK1,Unidades[selectorSubSeccion]),0)),"")</f>
        <v/>
      </c>
      <c r="EM1" s="49" t="str">
        <f t="array" aca="1" ref="EM1" ca="1">IFERROR(INDEX(Unidades[selectorSubSeccion],MATCH(0,COUNTIF($A$1:EL1,Unidades[selectorSubSeccion]),0)),"")</f>
        <v/>
      </c>
      <c r="EN1" s="49" t="str">
        <f t="array" aca="1" ref="EN1" ca="1">IFERROR(INDEX(Unidades[selectorSubSeccion],MATCH(0,COUNTIF($A$1:EM1,Unidades[selectorSubSeccion]),0)),"")</f>
        <v/>
      </c>
      <c r="EO1" s="49" t="str">
        <f t="array" aca="1" ref="EO1" ca="1">IFERROR(INDEX(Unidades[selectorSubSeccion],MATCH(0,COUNTIF($A$1:EN1,Unidades[selectorSubSeccion]),0)),"")</f>
        <v/>
      </c>
      <c r="EP1" s="49" t="str">
        <f t="array" aca="1" ref="EP1" ca="1">IFERROR(INDEX(Unidades[selectorSubSeccion],MATCH(0,COUNTIF($A$1:EO1,Unidades[selectorSubSeccion]),0)),"")</f>
        <v/>
      </c>
      <c r="EQ1" s="49" t="str">
        <f t="array" aca="1" ref="EQ1" ca="1">IFERROR(INDEX(Unidades[selectorSubSeccion],MATCH(0,COUNTIF($A$1:EP1,Unidades[selectorSubSeccion]),0)),"")</f>
        <v/>
      </c>
      <c r="ER1" s="49" t="str">
        <f t="array" aca="1" ref="ER1" ca="1">IFERROR(INDEX(Unidades[selectorSubSeccion],MATCH(0,COUNTIF($A$1:EQ1,Unidades[selectorSubSeccion]),0)),"")</f>
        <v/>
      </c>
      <c r="ES1" s="49" t="str">
        <f t="array" aca="1" ref="ES1" ca="1">IFERROR(INDEX(Unidades[selectorSubSeccion],MATCH(0,COUNTIF($A$1:ER1,Unidades[selectorSubSeccion]),0)),"")</f>
        <v/>
      </c>
      <c r="ET1" s="49" t="str">
        <f t="array" aca="1" ref="ET1" ca="1">IFERROR(INDEX(Unidades[selectorSubSeccion],MATCH(0,COUNTIF($A$1:ES1,Unidades[selectorSubSeccion]),0)),"")</f>
        <v/>
      </c>
      <c r="EU1" s="49" t="str">
        <f t="array" aca="1" ref="EU1" ca="1">IFERROR(INDEX(Unidades[selectorSubSeccion],MATCH(0,COUNTIF($A$1:ET1,Unidades[selectorSubSeccion]),0)),"")</f>
        <v/>
      </c>
      <c r="EV1" s="49" t="str">
        <f t="array" aca="1" ref="EV1" ca="1">IFERROR(INDEX(Unidades[selectorSubSeccion],MATCH(0,COUNTIF($A$1:EU1,Unidades[selectorSubSeccion]),0)),"")</f>
        <v/>
      </c>
      <c r="EW1" s="49" t="str">
        <f t="array" aca="1" ref="EW1" ca="1">IFERROR(INDEX(Unidades[selectorSubSeccion],MATCH(0,COUNTIF($A$1:EV1,Unidades[selectorSubSeccion]),0)),"")</f>
        <v/>
      </c>
      <c r="EX1" s="49" t="str">
        <f t="array" aca="1" ref="EX1" ca="1">IFERROR(INDEX(Unidades[selectorSubSeccion],MATCH(0,COUNTIF($A$1:EW1,Unidades[selectorSubSeccion]),0)),"")</f>
        <v/>
      </c>
      <c r="EY1" s="49" t="str">
        <f t="array" aca="1" ref="EY1" ca="1">IFERROR(INDEX(Unidades[selectorSubSeccion],MATCH(0,COUNTIF($A$1:EX1,Unidades[selectorSubSeccion]),0)),"")</f>
        <v/>
      </c>
      <c r="EZ1" s="49" t="str">
        <f t="array" aca="1" ref="EZ1" ca="1">IFERROR(INDEX(Unidades[selectorSubSeccion],MATCH(0,COUNTIF($A$1:EY1,Unidades[selectorSubSeccion]),0)),"")</f>
        <v/>
      </c>
    </row>
    <row r="2" spans="2:156" x14ac:dyDescent="0.3">
      <c r="B2" s="51" t="str">
        <f t="array" aca="1" ref="B2" ca="1">IFERROR(INDEX(Leccion[selectorLeccion],SMALL(IF(B$1=Leccion[SubSección],MATCH(ROW(Leccion[SubSección]),ROW(Leccion[SubSección]))),ROW(A1))),"")</f>
        <v>1:1:1:test de conocimiento</v>
      </c>
      <c r="C2" s="51" t="str">
        <f t="array" aca="1" ref="C2" ca="1">IFERROR(INDEX(Leccion[selectorLeccion],SMALL(IF(C$1=Leccion[SubSección],MATCH(ROW(Leccion[SubSección]),ROW(Leccion[SubSección]))),ROW(B1))),"")</f>
        <v>2:1:1:Esta es la introducción</v>
      </c>
      <c r="D2" s="51" t="str">
        <f t="array" aca="1" ref="D2" ca="1">IFERROR(INDEX(Leccion[selectorLeccion],SMALL(IF(D$1=Leccion[SubSección],MATCH(ROW(Leccion[SubSección]),ROW(Leccion[SubSección]))),ROW(C1))),"")</f>
        <v>2:2:1:Esta es la primera lección</v>
      </c>
      <c r="E2" s="51" t="str">
        <f t="array" aca="1" ref="E2" ca="1">IFERROR(INDEX(Leccion[selectorLeccion],SMALL(IF(E$1=Leccion[SubSección],MATCH(ROW(Leccion[SubSección]),ROW(Leccion[SubSección]))),ROW(D1))),"")</f>
        <v>2:3:1:Lección sobre la importancia de la materia</v>
      </c>
      <c r="F2" s="51" t="str">
        <f t="array" aca="1" ref="F2" ca="1">IFERROR(INDEX(Leccion[selectorLeccion],SMALL(IF(F$1=Leccion[SubSección],MATCH(ROW(Leccion[SubSección]),ROW(Leccion[SubSección]))),ROW(E1))),"")</f>
        <v>2:4:1:Primera lección de la sección más datos</v>
      </c>
      <c r="G2" s="51" t="str">
        <f t="array" aca="1" ref="G2" ca="1">IFERROR(INDEX(Leccion[selectorLeccion],SMALL(IF(G$1=Leccion[SubSección],MATCH(ROW(Leccion[SubSección]),ROW(Leccion[SubSección]))),ROW(F1))),"")</f>
        <v>2:5:1:Examen del módulo 1</v>
      </c>
      <c r="H2" s="51" t="str">
        <f t="array" aca="1" ref="H2" ca="1">IFERROR(INDEX(Leccion[selectorLeccion],SMALL(IF(H$1=Leccion[SubSección],MATCH(ROW(Leccion[SubSección]),ROW(Leccion[SubSección]))),ROW(G1))),"")</f>
        <v>3:1:1:Lección de introducción al módulo 2</v>
      </c>
      <c r="I2" s="51" t="str">
        <f t="array" aca="1" ref="I2" ca="1">IFERROR(INDEX(Leccion[selectorLeccion],SMALL(IF(I$1=Leccion[SubSección],MATCH(ROW(Leccion[SubSección]),ROW(Leccion[SubSección]))),ROW(H1))),"")</f>
        <v>3:2:1:Lección sobre temas relacionados</v>
      </c>
      <c r="J2" s="51" t="str">
        <f t="array" aca="1" ref="J2" ca="1">IFERROR(INDEX(Leccion[selectorLeccion],SMALL(IF(J$1=Leccion[SubSección],MATCH(ROW(Leccion[SubSección]),ROW(Leccion[SubSección]))),ROW(I1))),"")</f>
        <v>3:3:1:Lección sobre las ecuaciones fundamentales</v>
      </c>
      <c r="K2" s="51" t="str">
        <f t="array" aca="1" ref="K2" ca="1">IFERROR(INDEX(Leccion[selectorLeccion],SMALL(IF(K$1=Leccion[SubSección],MATCH(ROW(Leccion[SubSección]),ROW(Leccion[SubSección]))),ROW(J1))),"")</f>
        <v>3:4:1:Examen del módulo 2</v>
      </c>
      <c r="L2" s="51" t="str">
        <f t="array" aca="1" ref="L2" ca="1">IFERROR(INDEX(Leccion[selectorLeccion],SMALL(IF(L$1=Leccion[SubSección],MATCH(ROW(Leccion[SubSección]),ROW(Leccion[SubSección]))),ROW(K1))),"")</f>
        <v>4:1:1:Examen final</v>
      </c>
      <c r="M2" s="51" t="str">
        <f t="array" aca="1" ref="M2" ca="1">IFERROR(INDEX(Leccion[selectorLeccion],SMALL(IF(M$1=Leccion[SubSección],MATCH(ROW(Leccion[SubSección]),ROW(Leccion[SubSección]))),ROW(L1))),"")</f>
        <v/>
      </c>
      <c r="N2" s="51" t="str">
        <f t="array" aca="1" ref="N2" ca="1">IFERROR(INDEX(Leccion[selectorLeccion],SMALL(IF(N$1=Leccion[SubSección],MATCH(ROW(Leccion[SubSección]),ROW(Leccion[SubSección]))),ROW(M1))),"")</f>
        <v/>
      </c>
      <c r="O2" s="51" t="str">
        <f t="array" aca="1" ref="O2" ca="1">IFERROR(INDEX(Leccion[selectorLeccion],SMALL(IF(O$1=Leccion[SubSección],MATCH(ROW(Leccion[SubSección]),ROW(Leccion[SubSección]))),ROW(N1))),"")</f>
        <v/>
      </c>
      <c r="P2" s="51" t="str">
        <f t="array" aca="1" ref="P2" ca="1">IFERROR(INDEX(Leccion[selectorLeccion],SMALL(IF(P$1=Leccion[SubSección],MATCH(ROW(Leccion[SubSección]),ROW(Leccion[SubSección]))),ROW(O1))),"")</f>
        <v/>
      </c>
      <c r="Q2" s="51" t="str">
        <f t="array" aca="1" ref="Q2" ca="1">IFERROR(INDEX(Leccion[selectorLeccion],SMALL(IF(Q$1=Leccion[SubSección],MATCH(ROW(Leccion[SubSección]),ROW(Leccion[SubSección]))),ROW(P1))),"")</f>
        <v/>
      </c>
      <c r="R2" s="51" t="str">
        <f t="array" aca="1" ref="R2" ca="1">IFERROR(INDEX(Leccion[selectorLeccion],SMALL(IF(R$1=Leccion[SubSección],MATCH(ROW(Leccion[SubSección]),ROW(Leccion[SubSección]))),ROW(Q1))),"")</f>
        <v/>
      </c>
      <c r="S2" s="51" t="str">
        <f t="array" aca="1" ref="S2" ca="1">IFERROR(INDEX(Leccion[selectorLeccion],SMALL(IF(S$1=Leccion[SubSección],MATCH(ROW(Leccion[SubSección]),ROW(Leccion[SubSección]))),ROW(R1))),"")</f>
        <v/>
      </c>
      <c r="T2" s="51" t="str">
        <f t="array" aca="1" ref="T2" ca="1">IFERROR(INDEX(Leccion[selectorLeccion],SMALL(IF(T$1=Leccion[SubSección],MATCH(ROW(Leccion[SubSección]),ROW(Leccion[SubSección]))),ROW(S1))),"")</f>
        <v/>
      </c>
      <c r="U2" s="51" t="str">
        <f t="array" aca="1" ref="U2" ca="1">IFERROR(INDEX(Leccion[selectorLeccion],SMALL(IF(U$1=Leccion[SubSección],MATCH(ROW(Leccion[SubSección]),ROW(Leccion[SubSección]))),ROW(T1))),"")</f>
        <v/>
      </c>
      <c r="V2" s="51" t="str">
        <f t="array" aca="1" ref="V2" ca="1">IFERROR(INDEX(Leccion[selectorLeccion],SMALL(IF(V$1=Leccion[SubSección],MATCH(ROW(Leccion[SubSección]),ROW(Leccion[SubSección]))),ROW(U1))),"")</f>
        <v/>
      </c>
      <c r="W2" s="51" t="str">
        <f t="array" aca="1" ref="W2" ca="1">IFERROR(INDEX(Leccion[selectorLeccion],SMALL(IF(W$1=Leccion[SubSección],MATCH(ROW(Leccion[SubSección]),ROW(Leccion[SubSección]))),ROW(V1))),"")</f>
        <v/>
      </c>
      <c r="X2" s="51" t="str">
        <f t="array" aca="1" ref="X2" ca="1">IFERROR(INDEX(Leccion[selectorLeccion],SMALL(IF(X$1=Leccion[SubSección],MATCH(ROW(Leccion[SubSección]),ROW(Leccion[SubSección]))),ROW(W1))),"")</f>
        <v/>
      </c>
      <c r="Y2" s="51" t="str">
        <f t="array" aca="1" ref="Y2" ca="1">IFERROR(INDEX(Leccion[selectorLeccion],SMALL(IF(Y$1=Leccion[SubSección],MATCH(ROW(Leccion[SubSección]),ROW(Leccion[SubSección]))),ROW(X1))),"")</f>
        <v/>
      </c>
      <c r="Z2" s="51" t="str">
        <f t="array" aca="1" ref="Z2" ca="1">IFERROR(INDEX(Leccion[selectorLeccion],SMALL(IF(Z$1=Leccion[SubSección],MATCH(ROW(Leccion[SubSección]),ROW(Leccion[SubSección]))),ROW(Y1))),"")</f>
        <v/>
      </c>
      <c r="AA2" s="51" t="str">
        <f t="array" aca="1" ref="AA2" ca="1">IFERROR(INDEX(Leccion[selectorLeccion],SMALL(IF(AA$1=Leccion[SubSección],MATCH(ROW(Leccion[SubSección]),ROW(Leccion[SubSección]))),ROW(Z1))),"")</f>
        <v/>
      </c>
      <c r="AB2" s="51" t="str">
        <f t="array" aca="1" ref="AB2" ca="1">IFERROR(INDEX(Leccion[selectorLeccion],SMALL(IF(AB$1=Leccion[SubSección],MATCH(ROW(Leccion[SubSección]),ROW(Leccion[SubSección]))),ROW(AA1))),"")</f>
        <v/>
      </c>
      <c r="AC2" s="51" t="str">
        <f t="array" aca="1" ref="AC2" ca="1">IFERROR(INDEX(Leccion[selectorLeccion],SMALL(IF(AC$1=Leccion[SubSección],MATCH(ROW(Leccion[SubSección]),ROW(Leccion[SubSección]))),ROW(AB1))),"")</f>
        <v/>
      </c>
      <c r="AD2" s="51" t="str">
        <f t="array" aca="1" ref="AD2" ca="1">IFERROR(INDEX(Leccion[selectorLeccion],SMALL(IF(AD$1=Leccion[SubSección],MATCH(ROW(Leccion[SubSección]),ROW(Leccion[SubSección]))),ROW(AC1))),"")</f>
        <v/>
      </c>
      <c r="AE2" s="51" t="str">
        <f t="array" aca="1" ref="AE2" ca="1">IFERROR(INDEX(Leccion[selectorLeccion],SMALL(IF(AE$1=Leccion[SubSección],MATCH(ROW(Leccion[SubSección]),ROW(Leccion[SubSección]))),ROW(AD1))),"")</f>
        <v/>
      </c>
      <c r="AF2" s="51" t="str">
        <f t="array" aca="1" ref="AF2" ca="1">IFERROR(INDEX(Leccion[selectorLeccion],SMALL(IF(AF$1=Leccion[SubSección],MATCH(ROW(Leccion[SubSección]),ROW(Leccion[SubSección]))),ROW(AE1))),"")</f>
        <v/>
      </c>
      <c r="AG2" s="51" t="str">
        <f t="array" aca="1" ref="AG2" ca="1">IFERROR(INDEX(Leccion[selectorLeccion],SMALL(IF(AG$1=Leccion[SubSección],MATCH(ROW(Leccion[SubSección]),ROW(Leccion[SubSección]))),ROW(AF1))),"")</f>
        <v/>
      </c>
      <c r="AH2" s="51" t="str">
        <f t="array" aca="1" ref="AH2" ca="1">IFERROR(INDEX(Leccion[selectorLeccion],SMALL(IF(AH$1=Leccion[SubSección],MATCH(ROW(Leccion[SubSección]),ROW(Leccion[SubSección]))),ROW(AG1))),"")</f>
        <v/>
      </c>
      <c r="AI2" s="51" t="str">
        <f t="array" aca="1" ref="AI2" ca="1">IFERROR(INDEX(Leccion[selectorLeccion],SMALL(IF(AI$1=Leccion[SubSección],MATCH(ROW(Leccion[SubSección]),ROW(Leccion[SubSección]))),ROW(AH1))),"")</f>
        <v/>
      </c>
      <c r="AJ2" s="51" t="str">
        <f t="array" aca="1" ref="AJ2" ca="1">IFERROR(INDEX(Leccion[selectorLeccion],SMALL(IF(AJ$1=Leccion[SubSección],MATCH(ROW(Leccion[SubSección]),ROW(Leccion[SubSección]))),ROW(AI1))),"")</f>
        <v/>
      </c>
      <c r="AK2" s="51" t="str">
        <f t="array" aca="1" ref="AK2" ca="1">IFERROR(INDEX(Leccion[selectorLeccion],SMALL(IF(AK$1=Leccion[SubSección],MATCH(ROW(Leccion[SubSección]),ROW(Leccion[SubSección]))),ROW(AJ1))),"")</f>
        <v/>
      </c>
      <c r="AL2" s="51" t="str">
        <f t="array" aca="1" ref="AL2" ca="1">IFERROR(INDEX(Leccion[selectorLeccion],SMALL(IF(AL$1=Leccion[SubSección],MATCH(ROW(Leccion[SubSección]),ROW(Leccion[SubSección]))),ROW(AK1))),"")</f>
        <v/>
      </c>
      <c r="AM2" s="51" t="str">
        <f t="array" aca="1" ref="AM2" ca="1">IFERROR(INDEX(Leccion[selectorLeccion],SMALL(IF(AM$1=Leccion[SubSección],MATCH(ROW(Leccion[SubSección]),ROW(Leccion[SubSección]))),ROW(AL1))),"")</f>
        <v/>
      </c>
      <c r="AN2" s="51" t="str">
        <f t="array" aca="1" ref="AN2" ca="1">IFERROR(INDEX(Leccion[selectorLeccion],SMALL(IF(AN$1=Leccion[SubSección],MATCH(ROW(Leccion[SubSección]),ROW(Leccion[SubSección]))),ROW(AM1))),"")</f>
        <v/>
      </c>
      <c r="AO2" s="51" t="str">
        <f t="array" aca="1" ref="AO2" ca="1">IFERROR(INDEX(Leccion[selectorLeccion],SMALL(IF(AO$1=Leccion[SubSección],MATCH(ROW(Leccion[SubSección]),ROW(Leccion[SubSección]))),ROW(AN1))),"")</f>
        <v/>
      </c>
      <c r="AP2" s="51" t="str">
        <f t="array" aca="1" ref="AP2" ca="1">IFERROR(INDEX(Leccion[selectorLeccion],SMALL(IF(AP$1=Leccion[SubSección],MATCH(ROW(Leccion[SubSección]),ROW(Leccion[SubSección]))),ROW(AO1))),"")</f>
        <v/>
      </c>
      <c r="AQ2" s="51" t="str">
        <f t="array" aca="1" ref="AQ2" ca="1">IFERROR(INDEX(Leccion[selectorLeccion],SMALL(IF(AQ$1=Leccion[SubSección],MATCH(ROW(Leccion[SubSección]),ROW(Leccion[SubSección]))),ROW(AP1))),"")</f>
        <v/>
      </c>
      <c r="AR2" s="51" t="str">
        <f t="array" aca="1" ref="AR2" ca="1">IFERROR(INDEX(Leccion[selectorLeccion],SMALL(IF(AR$1=Leccion[SubSección],MATCH(ROW(Leccion[SubSección]),ROW(Leccion[SubSección]))),ROW(AQ1))),"")</f>
        <v/>
      </c>
      <c r="AS2" s="51" t="str">
        <f t="array" aca="1" ref="AS2" ca="1">IFERROR(INDEX(Leccion[selectorLeccion],SMALL(IF(AS$1=Leccion[SubSección],MATCH(ROW(Leccion[SubSección]),ROW(Leccion[SubSección]))),ROW(AR1))),"")</f>
        <v/>
      </c>
      <c r="AT2" s="51" t="str">
        <f t="array" aca="1" ref="AT2" ca="1">IFERROR(INDEX(Leccion[selectorLeccion],SMALL(IF(AT$1=Leccion[SubSección],MATCH(ROW(Leccion[SubSección]),ROW(Leccion[SubSección]))),ROW(AS1))),"")</f>
        <v/>
      </c>
      <c r="AU2" s="51" t="str">
        <f t="array" aca="1" ref="AU2" ca="1">IFERROR(INDEX(Leccion[selectorLeccion],SMALL(IF(AU$1=Leccion[SubSección],MATCH(ROW(Leccion[SubSección]),ROW(Leccion[SubSección]))),ROW(AT1))),"")</f>
        <v/>
      </c>
      <c r="AV2" s="51" t="str">
        <f t="array" aca="1" ref="AV2" ca="1">IFERROR(INDEX(Leccion[selectorLeccion],SMALL(IF(AV$1=Leccion[SubSección],MATCH(ROW(Leccion[SubSección]),ROW(Leccion[SubSección]))),ROW(AU1))),"")</f>
        <v/>
      </c>
      <c r="AW2" s="51" t="str">
        <f t="array" aca="1" ref="AW2" ca="1">IFERROR(INDEX(Leccion[selectorLeccion],SMALL(IF(AW$1=Leccion[SubSección],MATCH(ROW(Leccion[SubSección]),ROW(Leccion[SubSección]))),ROW(AV1))),"")</f>
        <v/>
      </c>
      <c r="AX2" s="51" t="str">
        <f t="array" aca="1" ref="AX2" ca="1">IFERROR(INDEX(Leccion[selectorLeccion],SMALL(IF(AX$1=Leccion[SubSección],MATCH(ROW(Leccion[SubSección]),ROW(Leccion[SubSección]))),ROW(AW1))),"")</f>
        <v/>
      </c>
      <c r="AY2" s="51" t="str">
        <f t="array" aca="1" ref="AY2" ca="1">IFERROR(INDEX(Leccion[selectorLeccion],SMALL(IF(AY$1=Leccion[SubSección],MATCH(ROW(Leccion[SubSección]),ROW(Leccion[SubSección]))),ROW(AX1))),"")</f>
        <v/>
      </c>
      <c r="AZ2" s="51" t="str">
        <f t="array" aca="1" ref="AZ2" ca="1">IFERROR(INDEX(Leccion[selectorLeccion],SMALL(IF(AZ$1=Leccion[SubSección],MATCH(ROW(Leccion[SubSección]),ROW(Leccion[SubSección]))),ROW(AY1))),"")</f>
        <v/>
      </c>
      <c r="BA2" s="51" t="str">
        <f t="array" aca="1" ref="BA2" ca="1">IFERROR(INDEX(Leccion[selectorLeccion],SMALL(IF(BA$1=Leccion[SubSección],MATCH(ROW(Leccion[SubSección]),ROW(Leccion[SubSección]))),ROW(AZ1))),"")</f>
        <v/>
      </c>
      <c r="BB2" s="51" t="str">
        <f t="array" aca="1" ref="BB2" ca="1">IFERROR(INDEX(Leccion[selectorLeccion],SMALL(IF(BB$1=Leccion[SubSección],MATCH(ROW(Leccion[SubSección]),ROW(Leccion[SubSección]))),ROW(BA1))),"")</f>
        <v/>
      </c>
      <c r="BC2" s="51" t="str">
        <f t="array" aca="1" ref="BC2" ca="1">IFERROR(INDEX(Leccion[selectorLeccion],SMALL(IF(BC$1=Leccion[SubSección],MATCH(ROW(Leccion[SubSección]),ROW(Leccion[SubSección]))),ROW(BB1))),"")</f>
        <v/>
      </c>
      <c r="BD2" s="51" t="str">
        <f t="array" aca="1" ref="BD2" ca="1">IFERROR(INDEX(Leccion[selectorLeccion],SMALL(IF(BD$1=Leccion[SubSección],MATCH(ROW(Leccion[SubSección]),ROW(Leccion[SubSección]))),ROW(BC1))),"")</f>
        <v/>
      </c>
      <c r="BE2" s="51" t="str">
        <f t="array" aca="1" ref="BE2" ca="1">IFERROR(INDEX(Leccion[selectorLeccion],SMALL(IF(BE$1=Leccion[SubSección],MATCH(ROW(Leccion[SubSección]),ROW(Leccion[SubSección]))),ROW(BD1))),"")</f>
        <v/>
      </c>
      <c r="BF2" s="51" t="str">
        <f t="array" aca="1" ref="BF2" ca="1">IFERROR(INDEX(Leccion[selectorLeccion],SMALL(IF(BF$1=Leccion[SubSección],MATCH(ROW(Leccion[SubSección]),ROW(Leccion[SubSección]))),ROW(BE1))),"")</f>
        <v/>
      </c>
      <c r="BG2" s="51" t="str">
        <f t="array" aca="1" ref="BG2" ca="1">IFERROR(INDEX(Leccion[selectorLeccion],SMALL(IF(BG$1=Leccion[SubSección],MATCH(ROW(Leccion[SubSección]),ROW(Leccion[SubSección]))),ROW(BF1))),"")</f>
        <v/>
      </c>
      <c r="BH2" s="51" t="str">
        <f t="array" aca="1" ref="BH2" ca="1">IFERROR(INDEX(Leccion[selectorLeccion],SMALL(IF(BH$1=Leccion[SubSección],MATCH(ROW(Leccion[SubSección]),ROW(Leccion[SubSección]))),ROW(BG1))),"")</f>
        <v/>
      </c>
      <c r="BI2" s="51" t="str">
        <f t="array" aca="1" ref="BI2" ca="1">IFERROR(INDEX(Leccion[selectorLeccion],SMALL(IF(BI$1=Leccion[SubSección],MATCH(ROW(Leccion[SubSección]),ROW(Leccion[SubSección]))),ROW(BH1))),"")</f>
        <v/>
      </c>
      <c r="BJ2" s="51" t="str">
        <f t="array" aca="1" ref="BJ2" ca="1">IFERROR(INDEX(Leccion[selectorLeccion],SMALL(IF(BJ$1=Leccion[SubSección],MATCH(ROW(Leccion[SubSección]),ROW(Leccion[SubSección]))),ROW(BI1))),"")</f>
        <v/>
      </c>
      <c r="BK2" s="51" t="str">
        <f t="array" aca="1" ref="BK2" ca="1">IFERROR(INDEX(Leccion[selectorLeccion],SMALL(IF(BK$1=Leccion[SubSección],MATCH(ROW(Leccion[SubSección]),ROW(Leccion[SubSección]))),ROW(BJ1))),"")</f>
        <v/>
      </c>
      <c r="BL2" s="51" t="str">
        <f t="array" aca="1" ref="BL2" ca="1">IFERROR(INDEX(Leccion[selectorLeccion],SMALL(IF(BL$1=Leccion[SubSección],MATCH(ROW(Leccion[SubSección]),ROW(Leccion[SubSección]))),ROW(BK1))),"")</f>
        <v/>
      </c>
      <c r="BM2" s="51" t="str">
        <f t="array" aca="1" ref="BM2" ca="1">IFERROR(INDEX(Leccion[selectorLeccion],SMALL(IF(BM$1=Leccion[SubSección],MATCH(ROW(Leccion[SubSección]),ROW(Leccion[SubSección]))),ROW(BL1))),"")</f>
        <v/>
      </c>
      <c r="BN2" s="51" t="str">
        <f t="array" aca="1" ref="BN2" ca="1">IFERROR(INDEX(Leccion[selectorLeccion],SMALL(IF(BN$1=Leccion[SubSección],MATCH(ROW(Leccion[SubSección]),ROW(Leccion[SubSección]))),ROW(BM1))),"")</f>
        <v/>
      </c>
      <c r="BO2" s="51" t="str">
        <f t="array" aca="1" ref="BO2" ca="1">IFERROR(INDEX(Leccion[selectorLeccion],SMALL(IF(BO$1=Leccion[SubSección],MATCH(ROW(Leccion[SubSección]),ROW(Leccion[SubSección]))),ROW(BN1))),"")</f>
        <v/>
      </c>
      <c r="BP2" s="51" t="str">
        <f t="array" aca="1" ref="BP2" ca="1">IFERROR(INDEX(Leccion[selectorLeccion],SMALL(IF(BP$1=Leccion[SubSección],MATCH(ROW(Leccion[SubSección]),ROW(Leccion[SubSección]))),ROW(BO1))),"")</f>
        <v/>
      </c>
      <c r="BQ2" s="51" t="str">
        <f t="array" aca="1" ref="BQ2" ca="1">IFERROR(INDEX(Leccion[selectorLeccion],SMALL(IF(BQ$1=Leccion[SubSección],MATCH(ROW(Leccion[SubSección]),ROW(Leccion[SubSección]))),ROW(BP1))),"")</f>
        <v/>
      </c>
      <c r="BR2" s="51" t="str">
        <f t="array" aca="1" ref="BR2" ca="1">IFERROR(INDEX(Leccion[selectorLeccion],SMALL(IF(BR$1=Leccion[SubSección],MATCH(ROW(Leccion[SubSección]),ROW(Leccion[SubSección]))),ROW(BQ1))),"")</f>
        <v/>
      </c>
      <c r="BS2" s="51" t="str">
        <f t="array" aca="1" ref="BS2" ca="1">IFERROR(INDEX(Leccion[selectorLeccion],SMALL(IF(BS$1=Leccion[SubSección],MATCH(ROW(Leccion[SubSección]),ROW(Leccion[SubSección]))),ROW(BR1))),"")</f>
        <v/>
      </c>
      <c r="BT2" s="51" t="str">
        <f t="array" aca="1" ref="BT2" ca="1">IFERROR(INDEX(Leccion[selectorLeccion],SMALL(IF(BT$1=Leccion[SubSección],MATCH(ROW(Leccion[SubSección]),ROW(Leccion[SubSección]))),ROW(BS1))),"")</f>
        <v/>
      </c>
      <c r="BU2" s="51" t="str">
        <f t="array" aca="1" ref="BU2" ca="1">IFERROR(INDEX(Leccion[selectorLeccion],SMALL(IF(BU$1=Leccion[SubSección],MATCH(ROW(Leccion[SubSección]),ROW(Leccion[SubSección]))),ROW(BT1))),"")</f>
        <v/>
      </c>
      <c r="BV2" s="51" t="str">
        <f t="array" aca="1" ref="BV2" ca="1">IFERROR(INDEX(Leccion[selectorLeccion],SMALL(IF(BV$1=Leccion[SubSección],MATCH(ROW(Leccion[SubSección]),ROW(Leccion[SubSección]))),ROW(BU1))),"")</f>
        <v/>
      </c>
      <c r="BW2" s="51" t="str">
        <f t="array" aca="1" ref="BW2" ca="1">IFERROR(INDEX(Leccion[selectorLeccion],SMALL(IF(BW$1=Leccion[SubSección],MATCH(ROW(Leccion[SubSección]),ROW(Leccion[SubSección]))),ROW(BV1))),"")</f>
        <v/>
      </c>
      <c r="BX2" s="51" t="str">
        <f t="array" aca="1" ref="BX2" ca="1">IFERROR(INDEX(Leccion[selectorLeccion],SMALL(IF(BX$1=Leccion[SubSección],MATCH(ROW(Leccion[SubSección]),ROW(Leccion[SubSección]))),ROW(BW1))),"")</f>
        <v/>
      </c>
      <c r="BY2" s="51" t="str">
        <f t="array" aca="1" ref="BY2" ca="1">IFERROR(INDEX(Leccion[selectorLeccion],SMALL(IF(BY$1=Leccion[SubSección],MATCH(ROW(Leccion[SubSección]),ROW(Leccion[SubSección]))),ROW(BX1))),"")</f>
        <v/>
      </c>
      <c r="BZ2" s="51" t="str">
        <f t="array" aca="1" ref="BZ2" ca="1">IFERROR(INDEX(Leccion[selectorLeccion],SMALL(IF(BZ$1=Leccion[SubSección],MATCH(ROW(Leccion[SubSección]),ROW(Leccion[SubSección]))),ROW(BY1))),"")</f>
        <v/>
      </c>
      <c r="CA2" s="51" t="str">
        <f t="array" aca="1" ref="CA2" ca="1">IFERROR(INDEX(Leccion[selectorLeccion],SMALL(IF(CA$1=Leccion[SubSección],MATCH(ROW(Leccion[SubSección]),ROW(Leccion[SubSección]))),ROW(BZ1))),"")</f>
        <v/>
      </c>
      <c r="CB2" s="51" t="str">
        <f t="array" aca="1" ref="CB2" ca="1">IFERROR(INDEX(Leccion[selectorLeccion],SMALL(IF(CB$1=Leccion[SubSección],MATCH(ROW(Leccion[SubSección]),ROW(Leccion[SubSección]))),ROW(CA1))),"")</f>
        <v/>
      </c>
      <c r="CC2" s="51" t="str">
        <f t="array" aca="1" ref="CC2" ca="1">IFERROR(INDEX(Leccion[selectorLeccion],SMALL(IF(CC$1=Leccion[SubSección],MATCH(ROW(Leccion[SubSección]),ROW(Leccion[SubSección]))),ROW(CB1))),"")</f>
        <v/>
      </c>
      <c r="CD2" s="51" t="str">
        <f t="array" aca="1" ref="CD2" ca="1">IFERROR(INDEX(Leccion[selectorLeccion],SMALL(IF(CD$1=Leccion[SubSección],MATCH(ROW(Leccion[SubSección]),ROW(Leccion[SubSección]))),ROW(CC1))),"")</f>
        <v/>
      </c>
      <c r="CE2" s="51" t="str">
        <f t="array" aca="1" ref="CE2" ca="1">IFERROR(INDEX(Leccion[selectorLeccion],SMALL(IF(CE$1=Leccion[SubSección],MATCH(ROW(Leccion[SubSección]),ROW(Leccion[SubSección]))),ROW(CD1))),"")</f>
        <v/>
      </c>
      <c r="CF2" s="51" t="str">
        <f t="array" aca="1" ref="CF2" ca="1">IFERROR(INDEX(Leccion[selectorLeccion],SMALL(IF(CF$1=Leccion[SubSección],MATCH(ROW(Leccion[SubSección]),ROW(Leccion[SubSección]))),ROW(CE1))),"")</f>
        <v/>
      </c>
      <c r="CG2" s="51" t="str">
        <f t="array" aca="1" ref="CG2" ca="1">IFERROR(INDEX(Leccion[selectorLeccion],SMALL(IF(CG$1=Leccion[SubSección],MATCH(ROW(Leccion[SubSección]),ROW(Leccion[SubSección]))),ROW(CF1))),"")</f>
        <v/>
      </c>
      <c r="CH2" s="51" t="str">
        <f t="array" aca="1" ref="CH2" ca="1">IFERROR(INDEX(Leccion[selectorLeccion],SMALL(IF(CH$1=Leccion[SubSección],MATCH(ROW(Leccion[SubSección]),ROW(Leccion[SubSección]))),ROW(CG1))),"")</f>
        <v/>
      </c>
      <c r="CI2" s="51" t="str">
        <f t="array" aca="1" ref="CI2" ca="1">IFERROR(INDEX(Leccion[selectorLeccion],SMALL(IF(CI$1=Leccion[SubSección],MATCH(ROW(Leccion[SubSección]),ROW(Leccion[SubSección]))),ROW(CH1))),"")</f>
        <v/>
      </c>
      <c r="CJ2" s="51" t="str">
        <f t="array" aca="1" ref="CJ2" ca="1">IFERROR(INDEX(Leccion[selectorLeccion],SMALL(IF(CJ$1=Leccion[SubSección],MATCH(ROW(Leccion[SubSección]),ROW(Leccion[SubSección]))),ROW(CI1))),"")</f>
        <v/>
      </c>
      <c r="CK2" s="51" t="str">
        <f t="array" aca="1" ref="CK2" ca="1">IFERROR(INDEX(Leccion[selectorLeccion],SMALL(IF(CK$1=Leccion[SubSección],MATCH(ROW(Leccion[SubSección]),ROW(Leccion[SubSección]))),ROW(CJ1))),"")</f>
        <v/>
      </c>
      <c r="CL2" s="51" t="str">
        <f t="array" aca="1" ref="CL2" ca="1">IFERROR(INDEX(Leccion[selectorLeccion],SMALL(IF(CL$1=Leccion[SubSección],MATCH(ROW(Leccion[SubSección]),ROW(Leccion[SubSección]))),ROW(CK1))),"")</f>
        <v/>
      </c>
      <c r="CM2" s="51" t="str">
        <f t="array" aca="1" ref="CM2" ca="1">IFERROR(INDEX(Leccion[selectorLeccion],SMALL(IF(CM$1=Leccion[SubSección],MATCH(ROW(Leccion[SubSección]),ROW(Leccion[SubSección]))),ROW(CL1))),"")</f>
        <v/>
      </c>
      <c r="CN2" s="51" t="str">
        <f t="array" aca="1" ref="CN2" ca="1">IFERROR(INDEX(Leccion[selectorLeccion],SMALL(IF(CN$1=Leccion[SubSección],MATCH(ROW(Leccion[SubSección]),ROW(Leccion[SubSección]))),ROW(CM1))),"")</f>
        <v/>
      </c>
      <c r="CO2" s="51" t="str">
        <f t="array" aca="1" ref="CO2" ca="1">IFERROR(INDEX(Leccion[selectorLeccion],SMALL(IF(CO$1=Leccion[SubSección],MATCH(ROW(Leccion[SubSección]),ROW(Leccion[SubSección]))),ROW(CN1))),"")</f>
        <v/>
      </c>
      <c r="CP2" s="51" t="str">
        <f t="array" aca="1" ref="CP2" ca="1">IFERROR(INDEX(Leccion[selectorLeccion],SMALL(IF(CP$1=Leccion[SubSección],MATCH(ROW(Leccion[SubSección]),ROW(Leccion[SubSección]))),ROW(CO1))),"")</f>
        <v/>
      </c>
      <c r="CQ2" s="51" t="str">
        <f t="array" aca="1" ref="CQ2" ca="1">IFERROR(INDEX(Leccion[selectorLeccion],SMALL(IF(CQ$1=Leccion[SubSección],MATCH(ROW(Leccion[SubSección]),ROW(Leccion[SubSección]))),ROW(CP1))),"")</f>
        <v/>
      </c>
      <c r="CR2" s="51" t="str">
        <f t="array" aca="1" ref="CR2" ca="1">IFERROR(INDEX(Leccion[selectorLeccion],SMALL(IF(CR$1=Leccion[SubSección],MATCH(ROW(Leccion[SubSección]),ROW(Leccion[SubSección]))),ROW(CQ1))),"")</f>
        <v/>
      </c>
      <c r="CS2" s="51" t="str">
        <f t="array" aca="1" ref="CS2" ca="1">IFERROR(INDEX(Leccion[selectorLeccion],SMALL(IF(CS$1=Leccion[SubSección],MATCH(ROW(Leccion[SubSección]),ROW(Leccion[SubSección]))),ROW(CR1))),"")</f>
        <v/>
      </c>
      <c r="CT2" s="51" t="str">
        <f t="array" aca="1" ref="CT2" ca="1">IFERROR(INDEX(Leccion[selectorLeccion],SMALL(IF(CT$1=Leccion[SubSección],MATCH(ROW(Leccion[SubSección]),ROW(Leccion[SubSección]))),ROW(CS1))),"")</f>
        <v/>
      </c>
      <c r="CU2" s="51" t="str">
        <f t="array" aca="1" ref="CU2" ca="1">IFERROR(INDEX(Leccion[selectorLeccion],SMALL(IF(CU$1=Leccion[SubSección],MATCH(ROW(Leccion[SubSección]),ROW(Leccion[SubSección]))),ROW(CT1))),"")</f>
        <v/>
      </c>
      <c r="CV2" s="51" t="str">
        <f t="array" aca="1" ref="CV2" ca="1">IFERROR(INDEX(Leccion[selectorLeccion],SMALL(IF(CV$1=Leccion[SubSección],MATCH(ROW(Leccion[SubSección]),ROW(Leccion[SubSección]))),ROW(CU1))),"")</f>
        <v/>
      </c>
      <c r="CW2" s="51" t="str">
        <f t="array" aca="1" ref="CW2" ca="1">IFERROR(INDEX(Leccion[selectorLeccion],SMALL(IF(CW$1=Leccion[SubSección],MATCH(ROW(Leccion[SubSección]),ROW(Leccion[SubSección]))),ROW(CV1))),"")</f>
        <v/>
      </c>
      <c r="CX2" s="51" t="str">
        <f t="array" aca="1" ref="CX2" ca="1">IFERROR(INDEX(Leccion[selectorLeccion],SMALL(IF(CX$1=Leccion[SubSección],MATCH(ROW(Leccion[SubSección]),ROW(Leccion[SubSección]))),ROW(CW1))),"")</f>
        <v/>
      </c>
      <c r="CY2" s="51" t="str">
        <f t="array" aca="1" ref="CY2" ca="1">IFERROR(INDEX(Leccion[selectorLeccion],SMALL(IF(CY$1=Leccion[SubSección],MATCH(ROW(Leccion[SubSección]),ROW(Leccion[SubSección]))),ROW(CX1))),"")</f>
        <v/>
      </c>
      <c r="CZ2" s="51" t="str">
        <f t="array" aca="1" ref="CZ2" ca="1">IFERROR(INDEX(Leccion[selectorLeccion],SMALL(IF(CZ$1=Leccion[SubSección],MATCH(ROW(Leccion[SubSección]),ROW(Leccion[SubSección]))),ROW(CY1))),"")</f>
        <v/>
      </c>
      <c r="DA2" s="51" t="str">
        <f t="array" aca="1" ref="DA2" ca="1">IFERROR(INDEX(Leccion[selectorLeccion],SMALL(IF(DA$1=Leccion[SubSección],MATCH(ROW(Leccion[SubSección]),ROW(Leccion[SubSección]))),ROW(CZ1))),"")</f>
        <v/>
      </c>
      <c r="DB2" s="51" t="str">
        <f t="array" aca="1" ref="DB2" ca="1">IFERROR(INDEX(Leccion[selectorLeccion],SMALL(IF(DB$1=Leccion[SubSección],MATCH(ROW(Leccion[SubSección]),ROW(Leccion[SubSección]))),ROW(DA1))),"")</f>
        <v/>
      </c>
      <c r="DC2" s="51" t="str">
        <f t="array" aca="1" ref="DC2" ca="1">IFERROR(INDEX(Leccion[selectorLeccion],SMALL(IF(DC$1=Leccion[SubSección],MATCH(ROW(Leccion[SubSección]),ROW(Leccion[SubSección]))),ROW(DB1))),"")</f>
        <v/>
      </c>
      <c r="DD2" s="51" t="str">
        <f t="array" aca="1" ref="DD2" ca="1">IFERROR(INDEX(Leccion[selectorLeccion],SMALL(IF(DD$1=Leccion[SubSección],MATCH(ROW(Leccion[SubSección]),ROW(Leccion[SubSección]))),ROW(DC1))),"")</f>
        <v/>
      </c>
      <c r="DE2" s="51" t="str">
        <f t="array" aca="1" ref="DE2" ca="1">IFERROR(INDEX(Leccion[selectorLeccion],SMALL(IF(DE$1=Leccion[SubSección],MATCH(ROW(Leccion[SubSección]),ROW(Leccion[SubSección]))),ROW(DD1))),"")</f>
        <v/>
      </c>
      <c r="DF2" s="51" t="str">
        <f t="array" aca="1" ref="DF2" ca="1">IFERROR(INDEX(Leccion[selectorLeccion],SMALL(IF(DF$1=Leccion[SubSección],MATCH(ROW(Leccion[SubSección]),ROW(Leccion[SubSección]))),ROW(DE1))),"")</f>
        <v/>
      </c>
      <c r="DG2" s="51" t="str">
        <f t="array" aca="1" ref="DG2" ca="1">IFERROR(INDEX(Leccion[selectorLeccion],SMALL(IF(DG$1=Leccion[SubSección],MATCH(ROW(Leccion[SubSección]),ROW(Leccion[SubSección]))),ROW(DF1))),"")</f>
        <v/>
      </c>
      <c r="DH2" s="51" t="str">
        <f t="array" aca="1" ref="DH2" ca="1">IFERROR(INDEX(Leccion[selectorLeccion],SMALL(IF(DH$1=Leccion[SubSección],MATCH(ROW(Leccion[SubSección]),ROW(Leccion[SubSección]))),ROW(DG1))),"")</f>
        <v/>
      </c>
      <c r="DI2" s="51" t="str">
        <f t="array" aca="1" ref="DI2" ca="1">IFERROR(INDEX(Leccion[selectorLeccion],SMALL(IF(DI$1=Leccion[SubSección],MATCH(ROW(Leccion[SubSección]),ROW(Leccion[SubSección]))),ROW(DH1))),"")</f>
        <v/>
      </c>
      <c r="DJ2" s="51" t="str">
        <f t="array" aca="1" ref="DJ2" ca="1">IFERROR(INDEX(Leccion[selectorLeccion],SMALL(IF(DJ$1=Leccion[SubSección],MATCH(ROW(Leccion[SubSección]),ROW(Leccion[SubSección]))),ROW(DI1))),"")</f>
        <v/>
      </c>
      <c r="DK2" s="51" t="str">
        <f t="array" aca="1" ref="DK2" ca="1">IFERROR(INDEX(Leccion[selectorLeccion],SMALL(IF(DK$1=Leccion[SubSección],MATCH(ROW(Leccion[SubSección]),ROW(Leccion[SubSección]))),ROW(DJ1))),"")</f>
        <v/>
      </c>
      <c r="DL2" s="51" t="str">
        <f t="array" aca="1" ref="DL2" ca="1">IFERROR(INDEX(Leccion[selectorLeccion],SMALL(IF(DL$1=Leccion[SubSección],MATCH(ROW(Leccion[SubSección]),ROW(Leccion[SubSección]))),ROW(DK1))),"")</f>
        <v/>
      </c>
      <c r="DM2" s="51" t="str">
        <f t="array" aca="1" ref="DM2" ca="1">IFERROR(INDEX(Leccion[selectorLeccion],SMALL(IF(DM$1=Leccion[SubSección],MATCH(ROW(Leccion[SubSección]),ROW(Leccion[SubSección]))),ROW(DL1))),"")</f>
        <v/>
      </c>
      <c r="DN2" s="51" t="str">
        <f t="array" aca="1" ref="DN2" ca="1">IFERROR(INDEX(Leccion[selectorLeccion],SMALL(IF(DN$1=Leccion[SubSección],MATCH(ROW(Leccion[SubSección]),ROW(Leccion[SubSección]))),ROW(DM1))),"")</f>
        <v/>
      </c>
      <c r="DO2" s="51" t="str">
        <f t="array" aca="1" ref="DO2" ca="1">IFERROR(INDEX(Leccion[selectorLeccion],SMALL(IF(DO$1=Leccion[SubSección],MATCH(ROW(Leccion[SubSección]),ROW(Leccion[SubSección]))),ROW(DN1))),"")</f>
        <v/>
      </c>
      <c r="DP2" s="51" t="str">
        <f t="array" aca="1" ref="DP2" ca="1">IFERROR(INDEX(Leccion[selectorLeccion],SMALL(IF(DP$1=Leccion[SubSección],MATCH(ROW(Leccion[SubSección]),ROW(Leccion[SubSección]))),ROW(DO1))),"")</f>
        <v/>
      </c>
      <c r="DQ2" s="51" t="str">
        <f t="array" aca="1" ref="DQ2" ca="1">IFERROR(INDEX(Leccion[selectorLeccion],SMALL(IF(DQ$1=Leccion[SubSección],MATCH(ROW(Leccion[SubSección]),ROW(Leccion[SubSección]))),ROW(DP1))),"")</f>
        <v/>
      </c>
      <c r="DR2" s="51" t="str">
        <f t="array" aca="1" ref="DR2" ca="1">IFERROR(INDEX(Leccion[selectorLeccion],SMALL(IF(DR$1=Leccion[SubSección],MATCH(ROW(Leccion[SubSección]),ROW(Leccion[SubSección]))),ROW(DQ1))),"")</f>
        <v/>
      </c>
      <c r="DS2" s="51" t="str">
        <f t="array" aca="1" ref="DS2" ca="1">IFERROR(INDEX(Leccion[selectorLeccion],SMALL(IF(DS$1=Leccion[SubSección],MATCH(ROW(Leccion[SubSección]),ROW(Leccion[SubSección]))),ROW(DR1))),"")</f>
        <v/>
      </c>
      <c r="DT2" s="51" t="str">
        <f t="array" aca="1" ref="DT2" ca="1">IFERROR(INDEX(Leccion[selectorLeccion],SMALL(IF(DT$1=Leccion[SubSección],MATCH(ROW(Leccion[SubSección]),ROW(Leccion[SubSección]))),ROW(DS1))),"")</f>
        <v/>
      </c>
      <c r="DU2" s="51" t="str">
        <f t="array" aca="1" ref="DU2" ca="1">IFERROR(INDEX(Leccion[selectorLeccion],SMALL(IF(DU$1=Leccion[SubSección],MATCH(ROW(Leccion[SubSección]),ROW(Leccion[SubSección]))),ROW(DT1))),"")</f>
        <v/>
      </c>
      <c r="DV2" s="51" t="str">
        <f t="array" aca="1" ref="DV2" ca="1">IFERROR(INDEX(Leccion[selectorLeccion],SMALL(IF(DV$1=Leccion[SubSección],MATCH(ROW(Leccion[SubSección]),ROW(Leccion[SubSección]))),ROW(DU1))),"")</f>
        <v/>
      </c>
      <c r="DW2" s="51" t="str">
        <f t="array" aca="1" ref="DW2" ca="1">IFERROR(INDEX(Leccion[selectorLeccion],SMALL(IF(DW$1=Leccion[SubSección],MATCH(ROW(Leccion[SubSección]),ROW(Leccion[SubSección]))),ROW(DV1))),"")</f>
        <v/>
      </c>
      <c r="DX2" s="51" t="str">
        <f t="array" aca="1" ref="DX2" ca="1">IFERROR(INDEX(Leccion[selectorLeccion],SMALL(IF(DX$1=Leccion[SubSección],MATCH(ROW(Leccion[SubSección]),ROW(Leccion[SubSección]))),ROW(DW1))),"")</f>
        <v/>
      </c>
      <c r="DY2" s="51" t="str">
        <f t="array" aca="1" ref="DY2" ca="1">IFERROR(INDEX(Leccion[selectorLeccion],SMALL(IF(DY$1=Leccion[SubSección],MATCH(ROW(Leccion[SubSección]),ROW(Leccion[SubSección]))),ROW(DX1))),"")</f>
        <v/>
      </c>
      <c r="DZ2" s="51" t="str">
        <f t="array" aca="1" ref="DZ2" ca="1">IFERROR(INDEX(Leccion[selectorLeccion],SMALL(IF(DZ$1=Leccion[SubSección],MATCH(ROW(Leccion[SubSección]),ROW(Leccion[SubSección]))),ROW(DY1))),"")</f>
        <v/>
      </c>
      <c r="EA2" s="51" t="str">
        <f t="array" aca="1" ref="EA2" ca="1">IFERROR(INDEX(Leccion[selectorLeccion],SMALL(IF(EA$1=Leccion[SubSección],MATCH(ROW(Leccion[SubSección]),ROW(Leccion[SubSección]))),ROW(DZ1))),"")</f>
        <v/>
      </c>
      <c r="EB2" s="51" t="str">
        <f t="array" aca="1" ref="EB2" ca="1">IFERROR(INDEX(Leccion[selectorLeccion],SMALL(IF(EB$1=Leccion[SubSección],MATCH(ROW(Leccion[SubSección]),ROW(Leccion[SubSección]))),ROW(EA1))),"")</f>
        <v/>
      </c>
      <c r="EC2" s="51" t="str">
        <f t="array" aca="1" ref="EC2" ca="1">IFERROR(INDEX(Leccion[selectorLeccion],SMALL(IF(EC$1=Leccion[SubSección],MATCH(ROW(Leccion[SubSección]),ROW(Leccion[SubSección]))),ROW(EB1))),"")</f>
        <v/>
      </c>
      <c r="ED2" s="51" t="str">
        <f t="array" aca="1" ref="ED2" ca="1">IFERROR(INDEX(Leccion[selectorLeccion],SMALL(IF(ED$1=Leccion[SubSección],MATCH(ROW(Leccion[SubSección]),ROW(Leccion[SubSección]))),ROW(EC1))),"")</f>
        <v/>
      </c>
      <c r="EE2" s="51" t="str">
        <f t="array" aca="1" ref="EE2" ca="1">IFERROR(INDEX(Leccion[selectorLeccion],SMALL(IF(EE$1=Leccion[SubSección],MATCH(ROW(Leccion[SubSección]),ROW(Leccion[SubSección]))),ROW(ED1))),"")</f>
        <v/>
      </c>
      <c r="EF2" s="51" t="str">
        <f t="array" aca="1" ref="EF2" ca="1">IFERROR(INDEX(Leccion[selectorLeccion],SMALL(IF(EF$1=Leccion[SubSección],MATCH(ROW(Leccion[SubSección]),ROW(Leccion[SubSección]))),ROW(EE1))),"")</f>
        <v/>
      </c>
      <c r="EG2" s="51" t="str">
        <f t="array" aca="1" ref="EG2" ca="1">IFERROR(INDEX(Leccion[selectorLeccion],SMALL(IF(EG$1=Leccion[SubSección],MATCH(ROW(Leccion[SubSección]),ROW(Leccion[SubSección]))),ROW(EF1))),"")</f>
        <v/>
      </c>
      <c r="EH2" s="51" t="str">
        <f t="array" aca="1" ref="EH2" ca="1">IFERROR(INDEX(Leccion[selectorLeccion],SMALL(IF(EH$1=Leccion[SubSección],MATCH(ROW(Leccion[SubSección]),ROW(Leccion[SubSección]))),ROW(EG1))),"")</f>
        <v/>
      </c>
      <c r="EI2" s="51" t="str">
        <f t="array" aca="1" ref="EI2" ca="1">IFERROR(INDEX(Leccion[selectorLeccion],SMALL(IF(EI$1=Leccion[SubSección],MATCH(ROW(Leccion[SubSección]),ROW(Leccion[SubSección]))),ROW(EH1))),"")</f>
        <v/>
      </c>
      <c r="EJ2" s="51" t="str">
        <f t="array" aca="1" ref="EJ2" ca="1">IFERROR(INDEX(Leccion[selectorLeccion],SMALL(IF(EJ$1=Leccion[SubSección],MATCH(ROW(Leccion[SubSección]),ROW(Leccion[SubSección]))),ROW(EI1))),"")</f>
        <v/>
      </c>
      <c r="EK2" s="51" t="str">
        <f t="array" aca="1" ref="EK2" ca="1">IFERROR(INDEX(Leccion[selectorLeccion],SMALL(IF(EK$1=Leccion[SubSección],MATCH(ROW(Leccion[SubSección]),ROW(Leccion[SubSección]))),ROW(EJ1))),"")</f>
        <v/>
      </c>
      <c r="EL2" s="51" t="str">
        <f t="array" aca="1" ref="EL2" ca="1">IFERROR(INDEX(Leccion[selectorLeccion],SMALL(IF(EL$1=Leccion[SubSección],MATCH(ROW(Leccion[SubSección]),ROW(Leccion[SubSección]))),ROW(EK1))),"")</f>
        <v/>
      </c>
      <c r="EM2" s="51" t="str">
        <f t="array" aca="1" ref="EM2" ca="1">IFERROR(INDEX(Leccion[selectorLeccion],SMALL(IF(EM$1=Leccion[SubSección],MATCH(ROW(Leccion[SubSección]),ROW(Leccion[SubSección]))),ROW(EL1))),"")</f>
        <v/>
      </c>
      <c r="EN2" s="51" t="str">
        <f t="array" aca="1" ref="EN2" ca="1">IFERROR(INDEX(Leccion[selectorLeccion],SMALL(IF(EN$1=Leccion[SubSección],MATCH(ROW(Leccion[SubSección]),ROW(Leccion[SubSección]))),ROW(EM1))),"")</f>
        <v/>
      </c>
      <c r="EO2" s="51" t="str">
        <f t="array" aca="1" ref="EO2" ca="1">IFERROR(INDEX(Leccion[selectorLeccion],SMALL(IF(EO$1=Leccion[SubSección],MATCH(ROW(Leccion[SubSección]),ROW(Leccion[SubSección]))),ROW(EN1))),"")</f>
        <v/>
      </c>
      <c r="EP2" s="51" t="str">
        <f t="array" aca="1" ref="EP2" ca="1">IFERROR(INDEX(Leccion[selectorLeccion],SMALL(IF(EP$1=Leccion[SubSección],MATCH(ROW(Leccion[SubSección]),ROW(Leccion[SubSección]))),ROW(EO1))),"")</f>
        <v/>
      </c>
      <c r="EQ2" s="51" t="str">
        <f t="array" aca="1" ref="EQ2" ca="1">IFERROR(INDEX(Leccion[selectorLeccion],SMALL(IF(EQ$1=Leccion[SubSección],MATCH(ROW(Leccion[SubSección]),ROW(Leccion[SubSección]))),ROW(EP1))),"")</f>
        <v/>
      </c>
      <c r="ER2" s="51" t="str">
        <f t="array" aca="1" ref="ER2" ca="1">IFERROR(INDEX(Leccion[selectorLeccion],SMALL(IF(ER$1=Leccion[SubSección],MATCH(ROW(Leccion[SubSección]),ROW(Leccion[SubSección]))),ROW(EQ1))),"")</f>
        <v/>
      </c>
      <c r="ES2" s="51" t="str">
        <f t="array" aca="1" ref="ES2" ca="1">IFERROR(INDEX(Leccion[selectorLeccion],SMALL(IF(ES$1=Leccion[SubSección],MATCH(ROW(Leccion[SubSección]),ROW(Leccion[SubSección]))),ROW(ER1))),"")</f>
        <v/>
      </c>
      <c r="ET2" s="51" t="str">
        <f t="array" aca="1" ref="ET2" ca="1">IFERROR(INDEX(Leccion[selectorLeccion],SMALL(IF(ET$1=Leccion[SubSección],MATCH(ROW(Leccion[SubSección]),ROW(Leccion[SubSección]))),ROW(ES1))),"")</f>
        <v/>
      </c>
      <c r="EU2" s="51" t="str">
        <f t="array" aca="1" ref="EU2" ca="1">IFERROR(INDEX(Leccion[selectorLeccion],SMALL(IF(EU$1=Leccion[SubSección],MATCH(ROW(Leccion[SubSección]),ROW(Leccion[SubSección]))),ROW(ET1))),"")</f>
        <v/>
      </c>
      <c r="EV2" s="51" t="str">
        <f t="array" aca="1" ref="EV2" ca="1">IFERROR(INDEX(Leccion[selectorLeccion],SMALL(IF(EV$1=Leccion[SubSección],MATCH(ROW(Leccion[SubSección]),ROW(Leccion[SubSección]))),ROW(EU1))),"")</f>
        <v/>
      </c>
      <c r="EW2" s="51" t="str">
        <f t="array" aca="1" ref="EW2" ca="1">IFERROR(INDEX(Leccion[selectorLeccion],SMALL(IF(EW$1=Leccion[SubSección],MATCH(ROW(Leccion[SubSección]),ROW(Leccion[SubSección]))),ROW(EV1))),"")</f>
        <v/>
      </c>
      <c r="EX2" s="51" t="str">
        <f t="array" aca="1" ref="EX2" ca="1">IFERROR(INDEX(Leccion[selectorLeccion],SMALL(IF(EX$1=Leccion[SubSección],MATCH(ROW(Leccion[SubSección]),ROW(Leccion[SubSección]))),ROW(EW1))),"")</f>
        <v/>
      </c>
      <c r="EY2" s="51" t="str">
        <f t="array" aca="1" ref="EY2" ca="1">IFERROR(INDEX(Leccion[selectorLeccion],SMALL(IF(EY$1=Leccion[SubSección],MATCH(ROW(Leccion[SubSección]),ROW(Leccion[SubSección]))),ROW(EX1))),"")</f>
        <v/>
      </c>
      <c r="EZ2" s="51" t="str">
        <f t="array" aca="1" ref="EZ2" ca="1">IFERROR(INDEX(Leccion[selectorLeccion],SMALL(IF(EZ$1=Leccion[SubSección],MATCH(ROW(Leccion[SubSección]),ROW(Leccion[SubSección]))),ROW(EY1))),"")</f>
        <v/>
      </c>
    </row>
    <row r="3" spans="2:156" x14ac:dyDescent="0.3">
      <c r="B3" s="51" t="str">
        <f t="array" aca="1" ref="B3" ca="1">IFERROR(INDEX(Leccion[selectorLeccion],SMALL(IF(B$1=Leccion[SubSección],MATCH(ROW(Leccion[SubSección]),ROW(Leccion[SubSección]))),ROW(A2))),"")</f>
        <v/>
      </c>
      <c r="C3" s="51" t="str">
        <f t="array" aca="1" ref="C3" ca="1">IFERROR(INDEX(Leccion[selectorLeccion],SMALL(IF(C$1=Leccion[SubSección],MATCH(ROW(Leccion[SubSección]),ROW(Leccion[SubSección]))),ROW(B2))),"")</f>
        <v/>
      </c>
      <c r="D3" s="51" t="str">
        <f t="array" aca="1" ref="D3" ca="1">IFERROR(INDEX(Leccion[selectorLeccion],SMALL(IF(D$1=Leccion[SubSección],MATCH(ROW(Leccion[SubSección]),ROW(Leccion[SubSección]))),ROW(C2))),"")</f>
        <v>2:2:2:Esta es la segunda lección</v>
      </c>
      <c r="E3" s="51" t="str">
        <f t="array" aca="1" ref="E3" ca="1">IFERROR(INDEX(Leccion[selectorLeccion],SMALL(IF(E$1=Leccion[SubSección],MATCH(ROW(Leccion[SubSección]),ROW(Leccion[SubSección]))),ROW(D2))),"")</f>
        <v/>
      </c>
      <c r="F3" s="51" t="str">
        <f t="array" aca="1" ref="F3" ca="1">IFERROR(INDEX(Leccion[selectorLeccion],SMALL(IF(F$1=Leccion[SubSección],MATCH(ROW(Leccion[SubSección]),ROW(Leccion[SubSección]))),ROW(E2))),"")</f>
        <v>2:4:2:Segunda lección de la sección más datos</v>
      </c>
      <c r="G3" s="51" t="str">
        <f t="array" aca="1" ref="G3" ca="1">IFERROR(INDEX(Leccion[selectorLeccion],SMALL(IF(G$1=Leccion[SubSección],MATCH(ROW(Leccion[SubSección]),ROW(Leccion[SubSección]))),ROW(F2))),"")</f>
        <v/>
      </c>
      <c r="H3" s="51" t="str">
        <f t="array" aca="1" ref="H3" ca="1">IFERROR(INDEX(Leccion[selectorLeccion],SMALL(IF(H$1=Leccion[SubSección],MATCH(ROW(Leccion[SubSección]),ROW(Leccion[SubSección]))),ROW(G2))),"")</f>
        <v/>
      </c>
      <c r="I3" s="51" t="str">
        <f t="array" aca="1" ref="I3" ca="1">IFERROR(INDEX(Leccion[selectorLeccion],SMALL(IF(I$1=Leccion[SubSección],MATCH(ROW(Leccion[SubSección]),ROW(Leccion[SubSección]))),ROW(H2))),"")</f>
        <v/>
      </c>
      <c r="J3" s="51" t="str">
        <f t="array" aca="1" ref="J3" ca="1">IFERROR(INDEX(Leccion[selectorLeccion],SMALL(IF(J$1=Leccion[SubSección],MATCH(ROW(Leccion[SubSección]),ROW(Leccion[SubSección]))),ROW(I2))),"")</f>
        <v/>
      </c>
      <c r="K3" s="51" t="str">
        <f t="array" aca="1" ref="K3" ca="1">IFERROR(INDEX(Leccion[selectorLeccion],SMALL(IF(K$1=Leccion[SubSección],MATCH(ROW(Leccion[SubSección]),ROW(Leccion[SubSección]))),ROW(J2))),"")</f>
        <v/>
      </c>
      <c r="L3" s="51" t="str">
        <f t="array" aca="1" ref="L3" ca="1">IFERROR(INDEX(Leccion[selectorLeccion],SMALL(IF(L$1=Leccion[SubSección],MATCH(ROW(Leccion[SubSección]),ROW(Leccion[SubSección]))),ROW(K2))),"")</f>
        <v/>
      </c>
      <c r="M3" s="51" t="str">
        <f t="array" aca="1" ref="M3" ca="1">IFERROR(INDEX(Leccion[selectorLeccion],SMALL(IF(M$1=Leccion[SubSección],MATCH(ROW(Leccion[SubSección]),ROW(Leccion[SubSección]))),ROW(L2))),"")</f>
        <v/>
      </c>
      <c r="N3" s="51" t="str">
        <f t="array" aca="1" ref="N3" ca="1">IFERROR(INDEX(Leccion[selectorLeccion],SMALL(IF(N$1=Leccion[SubSección],MATCH(ROW(Leccion[SubSección]),ROW(Leccion[SubSección]))),ROW(M2))),"")</f>
        <v/>
      </c>
      <c r="O3" s="51" t="str">
        <f t="array" aca="1" ref="O3" ca="1">IFERROR(INDEX(Leccion[selectorLeccion],SMALL(IF(O$1=Leccion[SubSección],MATCH(ROW(Leccion[SubSección]),ROW(Leccion[SubSección]))),ROW(N2))),"")</f>
        <v/>
      </c>
      <c r="P3" s="51" t="str">
        <f t="array" aca="1" ref="P3" ca="1">IFERROR(INDEX(Leccion[selectorLeccion],SMALL(IF(P$1=Leccion[SubSección],MATCH(ROW(Leccion[SubSección]),ROW(Leccion[SubSección]))),ROW(O2))),"")</f>
        <v/>
      </c>
      <c r="Q3" s="51" t="str">
        <f t="array" aca="1" ref="Q3" ca="1">IFERROR(INDEX(Leccion[selectorLeccion],SMALL(IF(Q$1=Leccion[SubSección],MATCH(ROW(Leccion[SubSección]),ROW(Leccion[SubSección]))),ROW(P2))),"")</f>
        <v/>
      </c>
      <c r="R3" s="51" t="str">
        <f t="array" aca="1" ref="R3" ca="1">IFERROR(INDEX(Leccion[selectorLeccion],SMALL(IF(R$1=Leccion[SubSección],MATCH(ROW(Leccion[SubSección]),ROW(Leccion[SubSección]))),ROW(Q2))),"")</f>
        <v/>
      </c>
      <c r="S3" s="51" t="str">
        <f t="array" aca="1" ref="S3" ca="1">IFERROR(INDEX(Leccion[selectorLeccion],SMALL(IF(S$1=Leccion[SubSección],MATCH(ROW(Leccion[SubSección]),ROW(Leccion[SubSección]))),ROW(R2))),"")</f>
        <v/>
      </c>
      <c r="T3" s="51" t="str">
        <f t="array" aca="1" ref="T3" ca="1">IFERROR(INDEX(Leccion[selectorLeccion],SMALL(IF(T$1=Leccion[SubSección],MATCH(ROW(Leccion[SubSección]),ROW(Leccion[SubSección]))),ROW(S2))),"")</f>
        <v/>
      </c>
      <c r="U3" s="51" t="str">
        <f t="array" aca="1" ref="U3" ca="1">IFERROR(INDEX(Leccion[selectorLeccion],SMALL(IF(U$1=Leccion[SubSección],MATCH(ROW(Leccion[SubSección]),ROW(Leccion[SubSección]))),ROW(T2))),"")</f>
        <v/>
      </c>
      <c r="V3" s="51" t="str">
        <f t="array" aca="1" ref="V3" ca="1">IFERROR(INDEX(Leccion[selectorLeccion],SMALL(IF(V$1=Leccion[SubSección],MATCH(ROW(Leccion[SubSección]),ROW(Leccion[SubSección]))),ROW(U2))),"")</f>
        <v/>
      </c>
      <c r="W3" s="51" t="str">
        <f t="array" aca="1" ref="W3" ca="1">IFERROR(INDEX(Leccion[selectorLeccion],SMALL(IF(W$1=Leccion[SubSección],MATCH(ROW(Leccion[SubSección]),ROW(Leccion[SubSección]))),ROW(V2))),"")</f>
        <v/>
      </c>
      <c r="X3" s="51" t="str">
        <f t="array" aca="1" ref="X3" ca="1">IFERROR(INDEX(Leccion[selectorLeccion],SMALL(IF(X$1=Leccion[SubSección],MATCH(ROW(Leccion[SubSección]),ROW(Leccion[SubSección]))),ROW(W2))),"")</f>
        <v/>
      </c>
      <c r="Y3" s="51" t="str">
        <f t="array" aca="1" ref="Y3" ca="1">IFERROR(INDEX(Leccion[selectorLeccion],SMALL(IF(Y$1=Leccion[SubSección],MATCH(ROW(Leccion[SubSección]),ROW(Leccion[SubSección]))),ROW(X2))),"")</f>
        <v/>
      </c>
      <c r="Z3" s="51" t="str">
        <f t="array" aca="1" ref="Z3" ca="1">IFERROR(INDEX(Leccion[selectorLeccion],SMALL(IF(Z$1=Leccion[SubSección],MATCH(ROW(Leccion[SubSección]),ROW(Leccion[SubSección]))),ROW(Y2))),"")</f>
        <v/>
      </c>
      <c r="AA3" s="51" t="str">
        <f t="array" aca="1" ref="AA3" ca="1">IFERROR(INDEX(Leccion[selectorLeccion],SMALL(IF(AA$1=Leccion[SubSección],MATCH(ROW(Leccion[SubSección]),ROW(Leccion[SubSección]))),ROW(Z2))),"")</f>
        <v/>
      </c>
      <c r="AB3" s="51" t="str">
        <f t="array" aca="1" ref="AB3" ca="1">IFERROR(INDEX(Leccion[selectorLeccion],SMALL(IF(AB$1=Leccion[SubSección],MATCH(ROW(Leccion[SubSección]),ROW(Leccion[SubSección]))),ROW(AA2))),"")</f>
        <v/>
      </c>
      <c r="AC3" s="51" t="str">
        <f t="array" aca="1" ref="AC3" ca="1">IFERROR(INDEX(Leccion[selectorLeccion],SMALL(IF(AC$1=Leccion[SubSección],MATCH(ROW(Leccion[SubSección]),ROW(Leccion[SubSección]))),ROW(AB2))),"")</f>
        <v/>
      </c>
      <c r="AD3" s="51" t="str">
        <f t="array" aca="1" ref="AD3" ca="1">IFERROR(INDEX(Leccion[selectorLeccion],SMALL(IF(AD$1=Leccion[SubSección],MATCH(ROW(Leccion[SubSección]),ROW(Leccion[SubSección]))),ROW(AC2))),"")</f>
        <v/>
      </c>
      <c r="AE3" s="51" t="str">
        <f t="array" aca="1" ref="AE3" ca="1">IFERROR(INDEX(Leccion[selectorLeccion],SMALL(IF(AE$1=Leccion[SubSección],MATCH(ROW(Leccion[SubSección]),ROW(Leccion[SubSección]))),ROW(AD2))),"")</f>
        <v/>
      </c>
      <c r="AF3" s="51" t="str">
        <f t="array" aca="1" ref="AF3" ca="1">IFERROR(INDEX(Leccion[selectorLeccion],SMALL(IF(AF$1=Leccion[SubSección],MATCH(ROW(Leccion[SubSección]),ROW(Leccion[SubSección]))),ROW(AE2))),"")</f>
        <v/>
      </c>
      <c r="AG3" s="51" t="str">
        <f t="array" aca="1" ref="AG3" ca="1">IFERROR(INDEX(Leccion[selectorLeccion],SMALL(IF(AG$1=Leccion[SubSección],MATCH(ROW(Leccion[SubSección]),ROW(Leccion[SubSección]))),ROW(AF2))),"")</f>
        <v/>
      </c>
      <c r="AH3" s="51" t="str">
        <f t="array" aca="1" ref="AH3" ca="1">IFERROR(INDEX(Leccion[selectorLeccion],SMALL(IF(AH$1=Leccion[SubSección],MATCH(ROW(Leccion[SubSección]),ROW(Leccion[SubSección]))),ROW(AG2))),"")</f>
        <v/>
      </c>
      <c r="AI3" s="51" t="str">
        <f t="array" aca="1" ref="AI3" ca="1">IFERROR(INDEX(Leccion[selectorLeccion],SMALL(IF(AI$1=Leccion[SubSección],MATCH(ROW(Leccion[SubSección]),ROW(Leccion[SubSección]))),ROW(AH2))),"")</f>
        <v/>
      </c>
      <c r="AJ3" s="51" t="str">
        <f t="array" aca="1" ref="AJ3" ca="1">IFERROR(INDEX(Leccion[selectorLeccion],SMALL(IF(AJ$1=Leccion[SubSección],MATCH(ROW(Leccion[SubSección]),ROW(Leccion[SubSección]))),ROW(AI2))),"")</f>
        <v/>
      </c>
      <c r="AK3" s="51" t="str">
        <f t="array" aca="1" ref="AK3" ca="1">IFERROR(INDEX(Leccion[selectorLeccion],SMALL(IF(AK$1=Leccion[SubSección],MATCH(ROW(Leccion[SubSección]),ROW(Leccion[SubSección]))),ROW(AJ2))),"")</f>
        <v/>
      </c>
      <c r="AL3" s="51" t="str">
        <f t="array" aca="1" ref="AL3" ca="1">IFERROR(INDEX(Leccion[selectorLeccion],SMALL(IF(AL$1=Leccion[SubSección],MATCH(ROW(Leccion[SubSección]),ROW(Leccion[SubSección]))),ROW(AK2))),"")</f>
        <v/>
      </c>
      <c r="AM3" s="51" t="str">
        <f t="array" aca="1" ref="AM3" ca="1">IFERROR(INDEX(Leccion[selectorLeccion],SMALL(IF(AM$1=Leccion[SubSección],MATCH(ROW(Leccion[SubSección]),ROW(Leccion[SubSección]))),ROW(AL2))),"")</f>
        <v/>
      </c>
      <c r="AN3" s="51" t="str">
        <f t="array" aca="1" ref="AN3" ca="1">IFERROR(INDEX(Leccion[selectorLeccion],SMALL(IF(AN$1=Leccion[SubSección],MATCH(ROW(Leccion[SubSección]),ROW(Leccion[SubSección]))),ROW(AM2))),"")</f>
        <v/>
      </c>
      <c r="AO3" s="51" t="str">
        <f t="array" aca="1" ref="AO3" ca="1">IFERROR(INDEX(Leccion[selectorLeccion],SMALL(IF(AO$1=Leccion[SubSección],MATCH(ROW(Leccion[SubSección]),ROW(Leccion[SubSección]))),ROW(AN2))),"")</f>
        <v/>
      </c>
      <c r="AP3" s="51" t="str">
        <f t="array" aca="1" ref="AP3" ca="1">IFERROR(INDEX(Leccion[selectorLeccion],SMALL(IF(AP$1=Leccion[SubSección],MATCH(ROW(Leccion[SubSección]),ROW(Leccion[SubSección]))),ROW(AO2))),"")</f>
        <v/>
      </c>
      <c r="AQ3" s="51" t="str">
        <f t="array" aca="1" ref="AQ3" ca="1">IFERROR(INDEX(Leccion[selectorLeccion],SMALL(IF(AQ$1=Leccion[SubSección],MATCH(ROW(Leccion[SubSección]),ROW(Leccion[SubSección]))),ROW(AP2))),"")</f>
        <v/>
      </c>
      <c r="AR3" s="51" t="str">
        <f t="array" aca="1" ref="AR3" ca="1">IFERROR(INDEX(Leccion[selectorLeccion],SMALL(IF(AR$1=Leccion[SubSección],MATCH(ROW(Leccion[SubSección]),ROW(Leccion[SubSección]))),ROW(AQ2))),"")</f>
        <v/>
      </c>
      <c r="AS3" s="51" t="str">
        <f t="array" aca="1" ref="AS3" ca="1">IFERROR(INDEX(Leccion[selectorLeccion],SMALL(IF(AS$1=Leccion[SubSección],MATCH(ROW(Leccion[SubSección]),ROW(Leccion[SubSección]))),ROW(AR2))),"")</f>
        <v/>
      </c>
      <c r="AT3" s="51" t="str">
        <f t="array" aca="1" ref="AT3" ca="1">IFERROR(INDEX(Leccion[selectorLeccion],SMALL(IF(AT$1=Leccion[SubSección],MATCH(ROW(Leccion[SubSección]),ROW(Leccion[SubSección]))),ROW(AS2))),"")</f>
        <v/>
      </c>
      <c r="AU3" s="51" t="str">
        <f t="array" aca="1" ref="AU3" ca="1">IFERROR(INDEX(Leccion[selectorLeccion],SMALL(IF(AU$1=Leccion[SubSección],MATCH(ROW(Leccion[SubSección]),ROW(Leccion[SubSección]))),ROW(AT2))),"")</f>
        <v/>
      </c>
      <c r="AV3" s="51" t="str">
        <f t="array" aca="1" ref="AV3" ca="1">IFERROR(INDEX(Leccion[selectorLeccion],SMALL(IF(AV$1=Leccion[SubSección],MATCH(ROW(Leccion[SubSección]),ROW(Leccion[SubSección]))),ROW(AU2))),"")</f>
        <v/>
      </c>
      <c r="AW3" s="51" t="str">
        <f t="array" aca="1" ref="AW3" ca="1">IFERROR(INDEX(Leccion[selectorLeccion],SMALL(IF(AW$1=Leccion[SubSección],MATCH(ROW(Leccion[SubSección]),ROW(Leccion[SubSección]))),ROW(AV2))),"")</f>
        <v/>
      </c>
      <c r="AX3" s="51" t="str">
        <f t="array" aca="1" ref="AX3" ca="1">IFERROR(INDEX(Leccion[selectorLeccion],SMALL(IF(AX$1=Leccion[SubSección],MATCH(ROW(Leccion[SubSección]),ROW(Leccion[SubSección]))),ROW(AW2))),"")</f>
        <v/>
      </c>
      <c r="AY3" s="51" t="str">
        <f t="array" aca="1" ref="AY3" ca="1">IFERROR(INDEX(Leccion[selectorLeccion],SMALL(IF(AY$1=Leccion[SubSección],MATCH(ROW(Leccion[SubSección]),ROW(Leccion[SubSección]))),ROW(AX2))),"")</f>
        <v/>
      </c>
      <c r="AZ3" s="51" t="str">
        <f t="array" aca="1" ref="AZ3" ca="1">IFERROR(INDEX(Leccion[selectorLeccion],SMALL(IF(AZ$1=Leccion[SubSección],MATCH(ROW(Leccion[SubSección]),ROW(Leccion[SubSección]))),ROW(AY2))),"")</f>
        <v/>
      </c>
      <c r="BA3" s="51" t="str">
        <f t="array" aca="1" ref="BA3" ca="1">IFERROR(INDEX(Leccion[selectorLeccion],SMALL(IF(BA$1=Leccion[SubSección],MATCH(ROW(Leccion[SubSección]),ROW(Leccion[SubSección]))),ROW(AZ2))),"")</f>
        <v/>
      </c>
      <c r="BB3" s="51" t="str">
        <f t="array" aca="1" ref="BB3" ca="1">IFERROR(INDEX(Leccion[selectorLeccion],SMALL(IF(BB$1=Leccion[SubSección],MATCH(ROW(Leccion[SubSección]),ROW(Leccion[SubSección]))),ROW(BA2))),"")</f>
        <v/>
      </c>
      <c r="BC3" s="51" t="str">
        <f t="array" aca="1" ref="BC3" ca="1">IFERROR(INDEX(Leccion[selectorLeccion],SMALL(IF(BC$1=Leccion[SubSección],MATCH(ROW(Leccion[SubSección]),ROW(Leccion[SubSección]))),ROW(BB2))),"")</f>
        <v/>
      </c>
      <c r="BD3" s="51" t="str">
        <f t="array" aca="1" ref="BD3" ca="1">IFERROR(INDEX(Leccion[selectorLeccion],SMALL(IF(BD$1=Leccion[SubSección],MATCH(ROW(Leccion[SubSección]),ROW(Leccion[SubSección]))),ROW(BC2))),"")</f>
        <v/>
      </c>
      <c r="BE3" s="51" t="str">
        <f t="array" aca="1" ref="BE3" ca="1">IFERROR(INDEX(Leccion[selectorLeccion],SMALL(IF(BE$1=Leccion[SubSección],MATCH(ROW(Leccion[SubSección]),ROW(Leccion[SubSección]))),ROW(BD2))),"")</f>
        <v/>
      </c>
      <c r="BF3" s="51" t="str">
        <f t="array" aca="1" ref="BF3" ca="1">IFERROR(INDEX(Leccion[selectorLeccion],SMALL(IF(BF$1=Leccion[SubSección],MATCH(ROW(Leccion[SubSección]),ROW(Leccion[SubSección]))),ROW(BE2))),"")</f>
        <v/>
      </c>
      <c r="BG3" s="51" t="str">
        <f t="array" aca="1" ref="BG3" ca="1">IFERROR(INDEX(Leccion[selectorLeccion],SMALL(IF(BG$1=Leccion[SubSección],MATCH(ROW(Leccion[SubSección]),ROW(Leccion[SubSección]))),ROW(BF2))),"")</f>
        <v/>
      </c>
      <c r="BH3" s="51" t="str">
        <f t="array" aca="1" ref="BH3" ca="1">IFERROR(INDEX(Leccion[selectorLeccion],SMALL(IF(BH$1=Leccion[SubSección],MATCH(ROW(Leccion[SubSección]),ROW(Leccion[SubSección]))),ROW(BG2))),"")</f>
        <v/>
      </c>
      <c r="BI3" s="51" t="str">
        <f t="array" aca="1" ref="BI3" ca="1">IFERROR(INDEX(Leccion[selectorLeccion],SMALL(IF(BI$1=Leccion[SubSección],MATCH(ROW(Leccion[SubSección]),ROW(Leccion[SubSección]))),ROW(BH2))),"")</f>
        <v/>
      </c>
      <c r="BJ3" s="51" t="str">
        <f t="array" aca="1" ref="BJ3" ca="1">IFERROR(INDEX(Leccion[selectorLeccion],SMALL(IF(BJ$1=Leccion[SubSección],MATCH(ROW(Leccion[SubSección]),ROW(Leccion[SubSección]))),ROW(BI2))),"")</f>
        <v/>
      </c>
      <c r="BK3" s="51" t="str">
        <f t="array" aca="1" ref="BK3" ca="1">IFERROR(INDEX(Leccion[selectorLeccion],SMALL(IF(BK$1=Leccion[SubSección],MATCH(ROW(Leccion[SubSección]),ROW(Leccion[SubSección]))),ROW(BJ2))),"")</f>
        <v/>
      </c>
      <c r="BL3" s="51" t="str">
        <f t="array" aca="1" ref="BL3" ca="1">IFERROR(INDEX(Leccion[selectorLeccion],SMALL(IF(BL$1=Leccion[SubSección],MATCH(ROW(Leccion[SubSección]),ROW(Leccion[SubSección]))),ROW(BK2))),"")</f>
        <v/>
      </c>
      <c r="BM3" s="51" t="str">
        <f t="array" aca="1" ref="BM3" ca="1">IFERROR(INDEX(Leccion[selectorLeccion],SMALL(IF(BM$1=Leccion[SubSección],MATCH(ROW(Leccion[SubSección]),ROW(Leccion[SubSección]))),ROW(BL2))),"")</f>
        <v/>
      </c>
      <c r="BN3" s="51" t="str">
        <f t="array" aca="1" ref="BN3" ca="1">IFERROR(INDEX(Leccion[selectorLeccion],SMALL(IF(BN$1=Leccion[SubSección],MATCH(ROW(Leccion[SubSección]),ROW(Leccion[SubSección]))),ROW(BM2))),"")</f>
        <v/>
      </c>
      <c r="BO3" s="51" t="str">
        <f t="array" aca="1" ref="BO3" ca="1">IFERROR(INDEX(Leccion[selectorLeccion],SMALL(IF(BO$1=Leccion[SubSección],MATCH(ROW(Leccion[SubSección]),ROW(Leccion[SubSección]))),ROW(BN2))),"")</f>
        <v/>
      </c>
      <c r="BP3" s="51" t="str">
        <f t="array" aca="1" ref="BP3" ca="1">IFERROR(INDEX(Leccion[selectorLeccion],SMALL(IF(BP$1=Leccion[SubSección],MATCH(ROW(Leccion[SubSección]),ROW(Leccion[SubSección]))),ROW(BO2))),"")</f>
        <v/>
      </c>
      <c r="BQ3" s="51" t="str">
        <f t="array" aca="1" ref="BQ3" ca="1">IFERROR(INDEX(Leccion[selectorLeccion],SMALL(IF(BQ$1=Leccion[SubSección],MATCH(ROW(Leccion[SubSección]),ROW(Leccion[SubSección]))),ROW(BP2))),"")</f>
        <v/>
      </c>
      <c r="BR3" s="51" t="str">
        <f t="array" aca="1" ref="BR3" ca="1">IFERROR(INDEX(Leccion[selectorLeccion],SMALL(IF(BR$1=Leccion[SubSección],MATCH(ROW(Leccion[SubSección]),ROW(Leccion[SubSección]))),ROW(BQ2))),"")</f>
        <v/>
      </c>
      <c r="BS3" s="51" t="str">
        <f t="array" aca="1" ref="BS3" ca="1">IFERROR(INDEX(Leccion[selectorLeccion],SMALL(IF(BS$1=Leccion[SubSección],MATCH(ROW(Leccion[SubSección]),ROW(Leccion[SubSección]))),ROW(BR2))),"")</f>
        <v/>
      </c>
      <c r="BT3" s="51" t="str">
        <f t="array" aca="1" ref="BT3" ca="1">IFERROR(INDEX(Leccion[selectorLeccion],SMALL(IF(BT$1=Leccion[SubSección],MATCH(ROW(Leccion[SubSección]),ROW(Leccion[SubSección]))),ROW(BS2))),"")</f>
        <v/>
      </c>
      <c r="BU3" s="51" t="str">
        <f t="array" aca="1" ref="BU3" ca="1">IFERROR(INDEX(Leccion[selectorLeccion],SMALL(IF(BU$1=Leccion[SubSección],MATCH(ROW(Leccion[SubSección]),ROW(Leccion[SubSección]))),ROW(BT2))),"")</f>
        <v/>
      </c>
      <c r="BV3" s="51" t="str">
        <f t="array" aca="1" ref="BV3" ca="1">IFERROR(INDEX(Leccion[selectorLeccion],SMALL(IF(BV$1=Leccion[SubSección],MATCH(ROW(Leccion[SubSección]),ROW(Leccion[SubSección]))),ROW(BU2))),"")</f>
        <v/>
      </c>
      <c r="BW3" s="51" t="str">
        <f t="array" aca="1" ref="BW3" ca="1">IFERROR(INDEX(Leccion[selectorLeccion],SMALL(IF(BW$1=Leccion[SubSección],MATCH(ROW(Leccion[SubSección]),ROW(Leccion[SubSección]))),ROW(BV2))),"")</f>
        <v/>
      </c>
      <c r="BX3" s="51" t="str">
        <f t="array" aca="1" ref="BX3" ca="1">IFERROR(INDEX(Leccion[selectorLeccion],SMALL(IF(BX$1=Leccion[SubSección],MATCH(ROW(Leccion[SubSección]),ROW(Leccion[SubSección]))),ROW(BW2))),"")</f>
        <v/>
      </c>
      <c r="BY3" s="51" t="str">
        <f t="array" aca="1" ref="BY3" ca="1">IFERROR(INDEX(Leccion[selectorLeccion],SMALL(IF(BY$1=Leccion[SubSección],MATCH(ROW(Leccion[SubSección]),ROW(Leccion[SubSección]))),ROW(BX2))),"")</f>
        <v/>
      </c>
      <c r="BZ3" s="51" t="str">
        <f t="array" aca="1" ref="BZ3" ca="1">IFERROR(INDEX(Leccion[selectorLeccion],SMALL(IF(BZ$1=Leccion[SubSección],MATCH(ROW(Leccion[SubSección]),ROW(Leccion[SubSección]))),ROW(BY2))),"")</f>
        <v/>
      </c>
      <c r="CA3" s="51" t="str">
        <f t="array" aca="1" ref="CA3" ca="1">IFERROR(INDEX(Leccion[selectorLeccion],SMALL(IF(CA$1=Leccion[SubSección],MATCH(ROW(Leccion[SubSección]),ROW(Leccion[SubSección]))),ROW(BZ2))),"")</f>
        <v/>
      </c>
      <c r="CB3" s="51" t="str">
        <f t="array" aca="1" ref="CB3" ca="1">IFERROR(INDEX(Leccion[selectorLeccion],SMALL(IF(CB$1=Leccion[SubSección],MATCH(ROW(Leccion[SubSección]),ROW(Leccion[SubSección]))),ROW(CA2))),"")</f>
        <v/>
      </c>
      <c r="CC3" s="51" t="str">
        <f t="array" aca="1" ref="CC3" ca="1">IFERROR(INDEX(Leccion[selectorLeccion],SMALL(IF(CC$1=Leccion[SubSección],MATCH(ROW(Leccion[SubSección]),ROW(Leccion[SubSección]))),ROW(CB2))),"")</f>
        <v/>
      </c>
      <c r="CD3" s="51" t="str">
        <f t="array" aca="1" ref="CD3" ca="1">IFERROR(INDEX(Leccion[selectorLeccion],SMALL(IF(CD$1=Leccion[SubSección],MATCH(ROW(Leccion[SubSección]),ROW(Leccion[SubSección]))),ROW(CC2))),"")</f>
        <v/>
      </c>
      <c r="CE3" s="51" t="str">
        <f t="array" aca="1" ref="CE3" ca="1">IFERROR(INDEX(Leccion[selectorLeccion],SMALL(IF(CE$1=Leccion[SubSección],MATCH(ROW(Leccion[SubSección]),ROW(Leccion[SubSección]))),ROW(CD2))),"")</f>
        <v/>
      </c>
      <c r="CF3" s="51" t="str">
        <f t="array" aca="1" ref="CF3" ca="1">IFERROR(INDEX(Leccion[selectorLeccion],SMALL(IF(CF$1=Leccion[SubSección],MATCH(ROW(Leccion[SubSección]),ROW(Leccion[SubSección]))),ROW(CE2))),"")</f>
        <v/>
      </c>
      <c r="CG3" s="51" t="str">
        <f t="array" aca="1" ref="CG3" ca="1">IFERROR(INDEX(Leccion[selectorLeccion],SMALL(IF(CG$1=Leccion[SubSección],MATCH(ROW(Leccion[SubSección]),ROW(Leccion[SubSección]))),ROW(CF2))),"")</f>
        <v/>
      </c>
      <c r="CH3" s="51" t="str">
        <f t="array" aca="1" ref="CH3" ca="1">IFERROR(INDEX(Leccion[selectorLeccion],SMALL(IF(CH$1=Leccion[SubSección],MATCH(ROW(Leccion[SubSección]),ROW(Leccion[SubSección]))),ROW(CG2))),"")</f>
        <v/>
      </c>
      <c r="CI3" s="51" t="str">
        <f t="array" aca="1" ref="CI3" ca="1">IFERROR(INDEX(Leccion[selectorLeccion],SMALL(IF(CI$1=Leccion[SubSección],MATCH(ROW(Leccion[SubSección]),ROW(Leccion[SubSección]))),ROW(CH2))),"")</f>
        <v/>
      </c>
      <c r="CJ3" s="51" t="str">
        <f t="array" aca="1" ref="CJ3" ca="1">IFERROR(INDEX(Leccion[selectorLeccion],SMALL(IF(CJ$1=Leccion[SubSección],MATCH(ROW(Leccion[SubSección]),ROW(Leccion[SubSección]))),ROW(CI2))),"")</f>
        <v/>
      </c>
      <c r="CK3" s="51" t="str">
        <f t="array" aca="1" ref="CK3" ca="1">IFERROR(INDEX(Leccion[selectorLeccion],SMALL(IF(CK$1=Leccion[SubSección],MATCH(ROW(Leccion[SubSección]),ROW(Leccion[SubSección]))),ROW(CJ2))),"")</f>
        <v/>
      </c>
      <c r="CL3" s="51" t="str">
        <f t="array" aca="1" ref="CL3" ca="1">IFERROR(INDEX(Leccion[selectorLeccion],SMALL(IF(CL$1=Leccion[SubSección],MATCH(ROW(Leccion[SubSección]),ROW(Leccion[SubSección]))),ROW(CK2))),"")</f>
        <v/>
      </c>
      <c r="CM3" s="51" t="str">
        <f t="array" aca="1" ref="CM3" ca="1">IFERROR(INDEX(Leccion[selectorLeccion],SMALL(IF(CM$1=Leccion[SubSección],MATCH(ROW(Leccion[SubSección]),ROW(Leccion[SubSección]))),ROW(CL2))),"")</f>
        <v/>
      </c>
      <c r="CN3" s="51" t="str">
        <f t="array" aca="1" ref="CN3" ca="1">IFERROR(INDEX(Leccion[selectorLeccion],SMALL(IF(CN$1=Leccion[SubSección],MATCH(ROW(Leccion[SubSección]),ROW(Leccion[SubSección]))),ROW(CM2))),"")</f>
        <v/>
      </c>
      <c r="CO3" s="51" t="str">
        <f t="array" aca="1" ref="CO3" ca="1">IFERROR(INDEX(Leccion[selectorLeccion],SMALL(IF(CO$1=Leccion[SubSección],MATCH(ROW(Leccion[SubSección]),ROW(Leccion[SubSección]))),ROW(CN2))),"")</f>
        <v/>
      </c>
      <c r="CP3" s="51" t="str">
        <f t="array" aca="1" ref="CP3" ca="1">IFERROR(INDEX(Leccion[selectorLeccion],SMALL(IF(CP$1=Leccion[SubSección],MATCH(ROW(Leccion[SubSección]),ROW(Leccion[SubSección]))),ROW(CO2))),"")</f>
        <v/>
      </c>
      <c r="CQ3" s="51" t="str">
        <f t="array" aca="1" ref="CQ3" ca="1">IFERROR(INDEX(Leccion[selectorLeccion],SMALL(IF(CQ$1=Leccion[SubSección],MATCH(ROW(Leccion[SubSección]),ROW(Leccion[SubSección]))),ROW(CP2))),"")</f>
        <v/>
      </c>
      <c r="CR3" s="51" t="str">
        <f t="array" aca="1" ref="CR3" ca="1">IFERROR(INDEX(Leccion[selectorLeccion],SMALL(IF(CR$1=Leccion[SubSección],MATCH(ROW(Leccion[SubSección]),ROW(Leccion[SubSección]))),ROW(CQ2))),"")</f>
        <v/>
      </c>
      <c r="CS3" s="51" t="str">
        <f t="array" aca="1" ref="CS3" ca="1">IFERROR(INDEX(Leccion[selectorLeccion],SMALL(IF(CS$1=Leccion[SubSección],MATCH(ROW(Leccion[SubSección]),ROW(Leccion[SubSección]))),ROW(CR2))),"")</f>
        <v/>
      </c>
      <c r="CT3" s="51" t="str">
        <f t="array" aca="1" ref="CT3" ca="1">IFERROR(INDEX(Leccion[selectorLeccion],SMALL(IF(CT$1=Leccion[SubSección],MATCH(ROW(Leccion[SubSección]),ROW(Leccion[SubSección]))),ROW(CS2))),"")</f>
        <v/>
      </c>
      <c r="CU3" s="51" t="str">
        <f t="array" aca="1" ref="CU3" ca="1">IFERROR(INDEX(Leccion[selectorLeccion],SMALL(IF(CU$1=Leccion[SubSección],MATCH(ROW(Leccion[SubSección]),ROW(Leccion[SubSección]))),ROW(CT2))),"")</f>
        <v/>
      </c>
      <c r="CV3" s="51" t="str">
        <f t="array" aca="1" ref="CV3" ca="1">IFERROR(INDEX(Leccion[selectorLeccion],SMALL(IF(CV$1=Leccion[SubSección],MATCH(ROW(Leccion[SubSección]),ROW(Leccion[SubSección]))),ROW(CU2))),"")</f>
        <v/>
      </c>
      <c r="CW3" s="51" t="str">
        <f t="array" aca="1" ref="CW3" ca="1">IFERROR(INDEX(Leccion[selectorLeccion],SMALL(IF(CW$1=Leccion[SubSección],MATCH(ROW(Leccion[SubSección]),ROW(Leccion[SubSección]))),ROW(CV2))),"")</f>
        <v/>
      </c>
      <c r="CX3" s="51" t="str">
        <f t="array" aca="1" ref="CX3" ca="1">IFERROR(INDEX(Leccion[selectorLeccion],SMALL(IF(CX$1=Leccion[SubSección],MATCH(ROW(Leccion[SubSección]),ROW(Leccion[SubSección]))),ROW(CW2))),"")</f>
        <v/>
      </c>
      <c r="CY3" s="51" t="str">
        <f t="array" aca="1" ref="CY3" ca="1">IFERROR(INDEX(Leccion[selectorLeccion],SMALL(IF(CY$1=Leccion[SubSección],MATCH(ROW(Leccion[SubSección]),ROW(Leccion[SubSección]))),ROW(CX2))),"")</f>
        <v/>
      </c>
      <c r="CZ3" s="51" t="str">
        <f t="array" aca="1" ref="CZ3" ca="1">IFERROR(INDEX(Leccion[selectorLeccion],SMALL(IF(CZ$1=Leccion[SubSección],MATCH(ROW(Leccion[SubSección]),ROW(Leccion[SubSección]))),ROW(CY2))),"")</f>
        <v/>
      </c>
      <c r="DA3" s="51" t="str">
        <f t="array" aca="1" ref="DA3" ca="1">IFERROR(INDEX(Leccion[selectorLeccion],SMALL(IF(DA$1=Leccion[SubSección],MATCH(ROW(Leccion[SubSección]),ROW(Leccion[SubSección]))),ROW(CZ2))),"")</f>
        <v/>
      </c>
      <c r="DB3" s="51" t="str">
        <f t="array" aca="1" ref="DB3" ca="1">IFERROR(INDEX(Leccion[selectorLeccion],SMALL(IF(DB$1=Leccion[SubSección],MATCH(ROW(Leccion[SubSección]),ROW(Leccion[SubSección]))),ROW(DA2))),"")</f>
        <v/>
      </c>
      <c r="DC3" s="51" t="str">
        <f t="array" aca="1" ref="DC3" ca="1">IFERROR(INDEX(Leccion[selectorLeccion],SMALL(IF(DC$1=Leccion[SubSección],MATCH(ROW(Leccion[SubSección]),ROW(Leccion[SubSección]))),ROW(DB2))),"")</f>
        <v/>
      </c>
      <c r="DD3" s="51" t="str">
        <f t="array" aca="1" ref="DD3" ca="1">IFERROR(INDEX(Leccion[selectorLeccion],SMALL(IF(DD$1=Leccion[SubSección],MATCH(ROW(Leccion[SubSección]),ROW(Leccion[SubSección]))),ROW(DC2))),"")</f>
        <v/>
      </c>
      <c r="DE3" s="51" t="str">
        <f t="array" aca="1" ref="DE3" ca="1">IFERROR(INDEX(Leccion[selectorLeccion],SMALL(IF(DE$1=Leccion[SubSección],MATCH(ROW(Leccion[SubSección]),ROW(Leccion[SubSección]))),ROW(DD2))),"")</f>
        <v/>
      </c>
      <c r="DF3" s="51" t="str">
        <f t="array" aca="1" ref="DF3" ca="1">IFERROR(INDEX(Leccion[selectorLeccion],SMALL(IF(DF$1=Leccion[SubSección],MATCH(ROW(Leccion[SubSección]),ROW(Leccion[SubSección]))),ROW(DE2))),"")</f>
        <v/>
      </c>
      <c r="DG3" s="51" t="str">
        <f t="array" aca="1" ref="DG3" ca="1">IFERROR(INDEX(Leccion[selectorLeccion],SMALL(IF(DG$1=Leccion[SubSección],MATCH(ROW(Leccion[SubSección]),ROW(Leccion[SubSección]))),ROW(DF2))),"")</f>
        <v/>
      </c>
      <c r="DH3" s="51" t="str">
        <f t="array" aca="1" ref="DH3" ca="1">IFERROR(INDEX(Leccion[selectorLeccion],SMALL(IF(DH$1=Leccion[SubSección],MATCH(ROW(Leccion[SubSección]),ROW(Leccion[SubSección]))),ROW(DG2))),"")</f>
        <v/>
      </c>
      <c r="DI3" s="51" t="str">
        <f t="array" aca="1" ref="DI3" ca="1">IFERROR(INDEX(Leccion[selectorLeccion],SMALL(IF(DI$1=Leccion[SubSección],MATCH(ROW(Leccion[SubSección]),ROW(Leccion[SubSección]))),ROW(DH2))),"")</f>
        <v/>
      </c>
      <c r="DJ3" s="51" t="str">
        <f t="array" aca="1" ref="DJ3" ca="1">IFERROR(INDEX(Leccion[selectorLeccion],SMALL(IF(DJ$1=Leccion[SubSección],MATCH(ROW(Leccion[SubSección]),ROW(Leccion[SubSección]))),ROW(DI2))),"")</f>
        <v/>
      </c>
      <c r="DK3" s="51" t="str">
        <f t="array" aca="1" ref="DK3" ca="1">IFERROR(INDEX(Leccion[selectorLeccion],SMALL(IF(DK$1=Leccion[SubSección],MATCH(ROW(Leccion[SubSección]),ROW(Leccion[SubSección]))),ROW(DJ2))),"")</f>
        <v/>
      </c>
      <c r="DL3" s="51" t="str">
        <f t="array" aca="1" ref="DL3" ca="1">IFERROR(INDEX(Leccion[selectorLeccion],SMALL(IF(DL$1=Leccion[SubSección],MATCH(ROW(Leccion[SubSección]),ROW(Leccion[SubSección]))),ROW(DK2))),"")</f>
        <v/>
      </c>
      <c r="DM3" s="51" t="str">
        <f t="array" aca="1" ref="DM3" ca="1">IFERROR(INDEX(Leccion[selectorLeccion],SMALL(IF(DM$1=Leccion[SubSección],MATCH(ROW(Leccion[SubSección]),ROW(Leccion[SubSección]))),ROW(DL2))),"")</f>
        <v/>
      </c>
      <c r="DN3" s="51" t="str">
        <f t="array" aca="1" ref="DN3" ca="1">IFERROR(INDEX(Leccion[selectorLeccion],SMALL(IF(DN$1=Leccion[SubSección],MATCH(ROW(Leccion[SubSección]),ROW(Leccion[SubSección]))),ROW(DM2))),"")</f>
        <v/>
      </c>
      <c r="DO3" s="51" t="str">
        <f t="array" aca="1" ref="DO3" ca="1">IFERROR(INDEX(Leccion[selectorLeccion],SMALL(IF(DO$1=Leccion[SubSección],MATCH(ROW(Leccion[SubSección]),ROW(Leccion[SubSección]))),ROW(DN2))),"")</f>
        <v/>
      </c>
      <c r="DP3" s="51" t="str">
        <f t="array" aca="1" ref="DP3" ca="1">IFERROR(INDEX(Leccion[selectorLeccion],SMALL(IF(DP$1=Leccion[SubSección],MATCH(ROW(Leccion[SubSección]),ROW(Leccion[SubSección]))),ROW(DO2))),"")</f>
        <v/>
      </c>
      <c r="DQ3" s="51" t="str">
        <f t="array" aca="1" ref="DQ3" ca="1">IFERROR(INDEX(Leccion[selectorLeccion],SMALL(IF(DQ$1=Leccion[SubSección],MATCH(ROW(Leccion[SubSección]),ROW(Leccion[SubSección]))),ROW(DP2))),"")</f>
        <v/>
      </c>
      <c r="DR3" s="51" t="str">
        <f t="array" aca="1" ref="DR3" ca="1">IFERROR(INDEX(Leccion[selectorLeccion],SMALL(IF(DR$1=Leccion[SubSección],MATCH(ROW(Leccion[SubSección]),ROW(Leccion[SubSección]))),ROW(DQ2))),"")</f>
        <v/>
      </c>
      <c r="DS3" s="51" t="str">
        <f t="array" aca="1" ref="DS3" ca="1">IFERROR(INDEX(Leccion[selectorLeccion],SMALL(IF(DS$1=Leccion[SubSección],MATCH(ROW(Leccion[SubSección]),ROW(Leccion[SubSección]))),ROW(DR2))),"")</f>
        <v/>
      </c>
      <c r="DT3" s="51" t="str">
        <f t="array" aca="1" ref="DT3" ca="1">IFERROR(INDEX(Leccion[selectorLeccion],SMALL(IF(DT$1=Leccion[SubSección],MATCH(ROW(Leccion[SubSección]),ROW(Leccion[SubSección]))),ROW(DS2))),"")</f>
        <v/>
      </c>
      <c r="DU3" s="51" t="str">
        <f t="array" aca="1" ref="DU3" ca="1">IFERROR(INDEX(Leccion[selectorLeccion],SMALL(IF(DU$1=Leccion[SubSección],MATCH(ROW(Leccion[SubSección]),ROW(Leccion[SubSección]))),ROW(DT2))),"")</f>
        <v/>
      </c>
      <c r="DV3" s="51" t="str">
        <f t="array" aca="1" ref="DV3" ca="1">IFERROR(INDEX(Leccion[selectorLeccion],SMALL(IF(DV$1=Leccion[SubSección],MATCH(ROW(Leccion[SubSección]),ROW(Leccion[SubSección]))),ROW(DU2))),"")</f>
        <v/>
      </c>
      <c r="DW3" s="51" t="str">
        <f t="array" aca="1" ref="DW3" ca="1">IFERROR(INDEX(Leccion[selectorLeccion],SMALL(IF(DW$1=Leccion[SubSección],MATCH(ROW(Leccion[SubSección]),ROW(Leccion[SubSección]))),ROW(DV2))),"")</f>
        <v/>
      </c>
      <c r="DX3" s="51" t="str">
        <f t="array" aca="1" ref="DX3" ca="1">IFERROR(INDEX(Leccion[selectorLeccion],SMALL(IF(DX$1=Leccion[SubSección],MATCH(ROW(Leccion[SubSección]),ROW(Leccion[SubSección]))),ROW(DW2))),"")</f>
        <v/>
      </c>
      <c r="DY3" s="51" t="str">
        <f t="array" aca="1" ref="DY3" ca="1">IFERROR(INDEX(Leccion[selectorLeccion],SMALL(IF(DY$1=Leccion[SubSección],MATCH(ROW(Leccion[SubSección]),ROW(Leccion[SubSección]))),ROW(DX2))),"")</f>
        <v/>
      </c>
      <c r="DZ3" s="51" t="str">
        <f t="array" aca="1" ref="DZ3" ca="1">IFERROR(INDEX(Leccion[selectorLeccion],SMALL(IF(DZ$1=Leccion[SubSección],MATCH(ROW(Leccion[SubSección]),ROW(Leccion[SubSección]))),ROW(DY2))),"")</f>
        <v/>
      </c>
      <c r="EA3" s="51" t="str">
        <f t="array" aca="1" ref="EA3" ca="1">IFERROR(INDEX(Leccion[selectorLeccion],SMALL(IF(EA$1=Leccion[SubSección],MATCH(ROW(Leccion[SubSección]),ROW(Leccion[SubSección]))),ROW(DZ2))),"")</f>
        <v/>
      </c>
      <c r="EB3" s="51" t="str">
        <f t="array" aca="1" ref="EB3" ca="1">IFERROR(INDEX(Leccion[selectorLeccion],SMALL(IF(EB$1=Leccion[SubSección],MATCH(ROW(Leccion[SubSección]),ROW(Leccion[SubSección]))),ROW(EA2))),"")</f>
        <v/>
      </c>
      <c r="EC3" s="51" t="str">
        <f t="array" aca="1" ref="EC3" ca="1">IFERROR(INDEX(Leccion[selectorLeccion],SMALL(IF(EC$1=Leccion[SubSección],MATCH(ROW(Leccion[SubSección]),ROW(Leccion[SubSección]))),ROW(EB2))),"")</f>
        <v/>
      </c>
      <c r="ED3" s="51" t="str">
        <f t="array" aca="1" ref="ED3" ca="1">IFERROR(INDEX(Leccion[selectorLeccion],SMALL(IF(ED$1=Leccion[SubSección],MATCH(ROW(Leccion[SubSección]),ROW(Leccion[SubSección]))),ROW(EC2))),"")</f>
        <v/>
      </c>
      <c r="EE3" s="51" t="str">
        <f t="array" aca="1" ref="EE3" ca="1">IFERROR(INDEX(Leccion[selectorLeccion],SMALL(IF(EE$1=Leccion[SubSección],MATCH(ROW(Leccion[SubSección]),ROW(Leccion[SubSección]))),ROW(ED2))),"")</f>
        <v/>
      </c>
      <c r="EF3" s="51" t="str">
        <f t="array" aca="1" ref="EF3" ca="1">IFERROR(INDEX(Leccion[selectorLeccion],SMALL(IF(EF$1=Leccion[SubSección],MATCH(ROW(Leccion[SubSección]),ROW(Leccion[SubSección]))),ROW(EE2))),"")</f>
        <v/>
      </c>
      <c r="EG3" s="51" t="str">
        <f t="array" aca="1" ref="EG3" ca="1">IFERROR(INDEX(Leccion[selectorLeccion],SMALL(IF(EG$1=Leccion[SubSección],MATCH(ROW(Leccion[SubSección]),ROW(Leccion[SubSección]))),ROW(EF2))),"")</f>
        <v/>
      </c>
      <c r="EH3" s="51" t="str">
        <f t="array" aca="1" ref="EH3" ca="1">IFERROR(INDEX(Leccion[selectorLeccion],SMALL(IF(EH$1=Leccion[SubSección],MATCH(ROW(Leccion[SubSección]),ROW(Leccion[SubSección]))),ROW(EG2))),"")</f>
        <v/>
      </c>
      <c r="EI3" s="51" t="str">
        <f t="array" aca="1" ref="EI3" ca="1">IFERROR(INDEX(Leccion[selectorLeccion],SMALL(IF(EI$1=Leccion[SubSección],MATCH(ROW(Leccion[SubSección]),ROW(Leccion[SubSección]))),ROW(EH2))),"")</f>
        <v/>
      </c>
      <c r="EJ3" s="51" t="str">
        <f t="array" aca="1" ref="EJ3" ca="1">IFERROR(INDEX(Leccion[selectorLeccion],SMALL(IF(EJ$1=Leccion[SubSección],MATCH(ROW(Leccion[SubSección]),ROW(Leccion[SubSección]))),ROW(EI2))),"")</f>
        <v/>
      </c>
      <c r="EK3" s="51" t="str">
        <f t="array" aca="1" ref="EK3" ca="1">IFERROR(INDEX(Leccion[selectorLeccion],SMALL(IF(EK$1=Leccion[SubSección],MATCH(ROW(Leccion[SubSección]),ROW(Leccion[SubSección]))),ROW(EJ2))),"")</f>
        <v/>
      </c>
      <c r="EL3" s="51" t="str">
        <f t="array" aca="1" ref="EL3" ca="1">IFERROR(INDEX(Leccion[selectorLeccion],SMALL(IF(EL$1=Leccion[SubSección],MATCH(ROW(Leccion[SubSección]),ROW(Leccion[SubSección]))),ROW(EK2))),"")</f>
        <v/>
      </c>
      <c r="EM3" s="51" t="str">
        <f t="array" aca="1" ref="EM3" ca="1">IFERROR(INDEX(Leccion[selectorLeccion],SMALL(IF(EM$1=Leccion[SubSección],MATCH(ROW(Leccion[SubSección]),ROW(Leccion[SubSección]))),ROW(EL2))),"")</f>
        <v/>
      </c>
      <c r="EN3" s="51" t="str">
        <f t="array" aca="1" ref="EN3" ca="1">IFERROR(INDEX(Leccion[selectorLeccion],SMALL(IF(EN$1=Leccion[SubSección],MATCH(ROW(Leccion[SubSección]),ROW(Leccion[SubSección]))),ROW(EM2))),"")</f>
        <v/>
      </c>
      <c r="EO3" s="51" t="str">
        <f t="array" aca="1" ref="EO3" ca="1">IFERROR(INDEX(Leccion[selectorLeccion],SMALL(IF(EO$1=Leccion[SubSección],MATCH(ROW(Leccion[SubSección]),ROW(Leccion[SubSección]))),ROW(EN2))),"")</f>
        <v/>
      </c>
      <c r="EP3" s="51" t="str">
        <f t="array" aca="1" ref="EP3" ca="1">IFERROR(INDEX(Leccion[selectorLeccion],SMALL(IF(EP$1=Leccion[SubSección],MATCH(ROW(Leccion[SubSección]),ROW(Leccion[SubSección]))),ROW(EO2))),"")</f>
        <v/>
      </c>
      <c r="EQ3" s="51" t="str">
        <f t="array" aca="1" ref="EQ3" ca="1">IFERROR(INDEX(Leccion[selectorLeccion],SMALL(IF(EQ$1=Leccion[SubSección],MATCH(ROW(Leccion[SubSección]),ROW(Leccion[SubSección]))),ROW(EP2))),"")</f>
        <v/>
      </c>
      <c r="ER3" s="51" t="str">
        <f t="array" aca="1" ref="ER3" ca="1">IFERROR(INDEX(Leccion[selectorLeccion],SMALL(IF(ER$1=Leccion[SubSección],MATCH(ROW(Leccion[SubSección]),ROW(Leccion[SubSección]))),ROW(EQ2))),"")</f>
        <v/>
      </c>
      <c r="ES3" s="51" t="str">
        <f t="array" aca="1" ref="ES3" ca="1">IFERROR(INDEX(Leccion[selectorLeccion],SMALL(IF(ES$1=Leccion[SubSección],MATCH(ROW(Leccion[SubSección]),ROW(Leccion[SubSección]))),ROW(ER2))),"")</f>
        <v/>
      </c>
      <c r="ET3" s="51" t="str">
        <f t="array" aca="1" ref="ET3" ca="1">IFERROR(INDEX(Leccion[selectorLeccion],SMALL(IF(ET$1=Leccion[SubSección],MATCH(ROW(Leccion[SubSección]),ROW(Leccion[SubSección]))),ROW(ES2))),"")</f>
        <v/>
      </c>
      <c r="EU3" s="51" t="str">
        <f t="array" aca="1" ref="EU3" ca="1">IFERROR(INDEX(Leccion[selectorLeccion],SMALL(IF(EU$1=Leccion[SubSección],MATCH(ROW(Leccion[SubSección]),ROW(Leccion[SubSección]))),ROW(ET2))),"")</f>
        <v/>
      </c>
      <c r="EV3" s="51" t="str">
        <f t="array" aca="1" ref="EV3" ca="1">IFERROR(INDEX(Leccion[selectorLeccion],SMALL(IF(EV$1=Leccion[SubSección],MATCH(ROW(Leccion[SubSección]),ROW(Leccion[SubSección]))),ROW(EU2))),"")</f>
        <v/>
      </c>
      <c r="EW3" s="51" t="str">
        <f t="array" aca="1" ref="EW3" ca="1">IFERROR(INDEX(Leccion[selectorLeccion],SMALL(IF(EW$1=Leccion[SubSección],MATCH(ROW(Leccion[SubSección]),ROW(Leccion[SubSección]))),ROW(EV2))),"")</f>
        <v/>
      </c>
      <c r="EX3" s="51" t="str">
        <f t="array" aca="1" ref="EX3" ca="1">IFERROR(INDEX(Leccion[selectorLeccion],SMALL(IF(EX$1=Leccion[SubSección],MATCH(ROW(Leccion[SubSección]),ROW(Leccion[SubSección]))),ROW(EW2))),"")</f>
        <v/>
      </c>
      <c r="EY3" s="51" t="str">
        <f t="array" aca="1" ref="EY3" ca="1">IFERROR(INDEX(Leccion[selectorLeccion],SMALL(IF(EY$1=Leccion[SubSección],MATCH(ROW(Leccion[SubSección]),ROW(Leccion[SubSección]))),ROW(EX2))),"")</f>
        <v/>
      </c>
      <c r="EZ3" s="51" t="str">
        <f t="array" aca="1" ref="EZ3" ca="1">IFERROR(INDEX(Leccion[selectorLeccion],SMALL(IF(EZ$1=Leccion[SubSección],MATCH(ROW(Leccion[SubSección]),ROW(Leccion[SubSección]))),ROW(EY2))),"")</f>
        <v/>
      </c>
    </row>
    <row r="4" spans="2:156" x14ac:dyDescent="0.3">
      <c r="B4" s="51" t="str">
        <f t="array" aca="1" ref="B4" ca="1">IFERROR(INDEX(Leccion[selectorLeccion],SMALL(IF(B$1=Leccion[SubSección],MATCH(ROW(Leccion[SubSección]),ROW(Leccion[SubSección]))),ROW(A3))),"")</f>
        <v/>
      </c>
      <c r="C4" s="51" t="str">
        <f t="array" aca="1" ref="C4" ca="1">IFERROR(INDEX(Leccion[selectorLeccion],SMALL(IF(C$1=Leccion[SubSección],MATCH(ROW(Leccion[SubSección]),ROW(Leccion[SubSección]))),ROW(B3))),"")</f>
        <v/>
      </c>
      <c r="D4" s="51" t="str">
        <f t="array" aca="1" ref="D4" ca="1">IFERROR(INDEX(Leccion[selectorLeccion],SMALL(IF(D$1=Leccion[SubSección],MATCH(ROW(Leccion[SubSección]),ROW(Leccion[SubSección]))),ROW(C3))),"")</f>
        <v/>
      </c>
      <c r="E4" s="51" t="str">
        <f t="array" aca="1" ref="E4" ca="1">IFERROR(INDEX(Leccion[selectorLeccion],SMALL(IF(E$1=Leccion[SubSección],MATCH(ROW(Leccion[SubSección]),ROW(Leccion[SubSección]))),ROW(D3))),"")</f>
        <v/>
      </c>
      <c r="F4" s="51" t="str">
        <f t="array" aca="1" ref="F4" ca="1">IFERROR(INDEX(Leccion[selectorLeccion],SMALL(IF(F$1=Leccion[SubSección],MATCH(ROW(Leccion[SubSección]),ROW(Leccion[SubSección]))),ROW(E3))),"")</f>
        <v/>
      </c>
      <c r="G4" s="51" t="str">
        <f t="array" aca="1" ref="G4" ca="1">IFERROR(INDEX(Leccion[selectorLeccion],SMALL(IF(G$1=Leccion[SubSección],MATCH(ROW(Leccion[SubSección]),ROW(Leccion[SubSección]))),ROW(F3))),"")</f>
        <v/>
      </c>
      <c r="H4" s="51" t="str">
        <f t="array" aca="1" ref="H4" ca="1">IFERROR(INDEX(Leccion[selectorLeccion],SMALL(IF(H$1=Leccion[SubSección],MATCH(ROW(Leccion[SubSección]),ROW(Leccion[SubSección]))),ROW(G3))),"")</f>
        <v/>
      </c>
      <c r="I4" s="51" t="str">
        <f t="array" aca="1" ref="I4" ca="1">IFERROR(INDEX(Leccion[selectorLeccion],SMALL(IF(I$1=Leccion[SubSección],MATCH(ROW(Leccion[SubSección]),ROW(Leccion[SubSección]))),ROW(H3))),"")</f>
        <v/>
      </c>
      <c r="J4" s="51" t="str">
        <f t="array" aca="1" ref="J4" ca="1">IFERROR(INDEX(Leccion[selectorLeccion],SMALL(IF(J$1=Leccion[SubSección],MATCH(ROW(Leccion[SubSección]),ROW(Leccion[SubSección]))),ROW(I3))),"")</f>
        <v/>
      </c>
      <c r="K4" s="51" t="str">
        <f t="array" aca="1" ref="K4" ca="1">IFERROR(INDEX(Leccion[selectorLeccion],SMALL(IF(K$1=Leccion[SubSección],MATCH(ROW(Leccion[SubSección]),ROW(Leccion[SubSección]))),ROW(J3))),"")</f>
        <v/>
      </c>
      <c r="L4" s="51" t="str">
        <f t="array" aca="1" ref="L4" ca="1">IFERROR(INDEX(Leccion[selectorLeccion],SMALL(IF(L$1=Leccion[SubSección],MATCH(ROW(Leccion[SubSección]),ROW(Leccion[SubSección]))),ROW(K3))),"")</f>
        <v/>
      </c>
      <c r="M4" s="51" t="str">
        <f t="array" aca="1" ref="M4" ca="1">IFERROR(INDEX(Leccion[selectorLeccion],SMALL(IF(M$1=Leccion[SubSección],MATCH(ROW(Leccion[SubSección]),ROW(Leccion[SubSección]))),ROW(L3))),"")</f>
        <v/>
      </c>
      <c r="N4" s="51" t="str">
        <f t="array" aca="1" ref="N4" ca="1">IFERROR(INDEX(Leccion[selectorLeccion],SMALL(IF(N$1=Leccion[SubSección],MATCH(ROW(Leccion[SubSección]),ROW(Leccion[SubSección]))),ROW(M3))),"")</f>
        <v/>
      </c>
      <c r="O4" s="51" t="str">
        <f t="array" aca="1" ref="O4" ca="1">IFERROR(INDEX(Leccion[selectorLeccion],SMALL(IF(O$1=Leccion[SubSección],MATCH(ROW(Leccion[SubSección]),ROW(Leccion[SubSección]))),ROW(N3))),"")</f>
        <v/>
      </c>
      <c r="P4" s="51" t="str">
        <f t="array" aca="1" ref="P4" ca="1">IFERROR(INDEX(Leccion[selectorLeccion],SMALL(IF(P$1=Leccion[SubSección],MATCH(ROW(Leccion[SubSección]),ROW(Leccion[SubSección]))),ROW(O3))),"")</f>
        <v/>
      </c>
      <c r="Q4" s="51" t="str">
        <f t="array" aca="1" ref="Q4" ca="1">IFERROR(INDEX(Leccion[selectorLeccion],SMALL(IF(Q$1=Leccion[SubSección],MATCH(ROW(Leccion[SubSección]),ROW(Leccion[SubSección]))),ROW(P3))),"")</f>
        <v/>
      </c>
      <c r="R4" s="51" t="str">
        <f t="array" aca="1" ref="R4" ca="1">IFERROR(INDEX(Leccion[selectorLeccion],SMALL(IF(R$1=Leccion[SubSección],MATCH(ROW(Leccion[SubSección]),ROW(Leccion[SubSección]))),ROW(Q3))),"")</f>
        <v/>
      </c>
      <c r="S4" s="51" t="str">
        <f t="array" aca="1" ref="S4" ca="1">IFERROR(INDEX(Leccion[selectorLeccion],SMALL(IF(S$1=Leccion[SubSección],MATCH(ROW(Leccion[SubSección]),ROW(Leccion[SubSección]))),ROW(R3))),"")</f>
        <v/>
      </c>
      <c r="T4" s="51" t="str">
        <f t="array" aca="1" ref="T4" ca="1">IFERROR(INDEX(Leccion[selectorLeccion],SMALL(IF(T$1=Leccion[SubSección],MATCH(ROW(Leccion[SubSección]),ROW(Leccion[SubSección]))),ROW(S3))),"")</f>
        <v/>
      </c>
      <c r="U4" s="51" t="str">
        <f t="array" aca="1" ref="U4" ca="1">IFERROR(INDEX(Leccion[selectorLeccion],SMALL(IF(U$1=Leccion[SubSección],MATCH(ROW(Leccion[SubSección]),ROW(Leccion[SubSección]))),ROW(T3))),"")</f>
        <v/>
      </c>
      <c r="V4" s="51" t="str">
        <f t="array" aca="1" ref="V4" ca="1">IFERROR(INDEX(Leccion[selectorLeccion],SMALL(IF(V$1=Leccion[SubSección],MATCH(ROW(Leccion[SubSección]),ROW(Leccion[SubSección]))),ROW(U3))),"")</f>
        <v/>
      </c>
      <c r="W4" s="51" t="str">
        <f t="array" aca="1" ref="W4" ca="1">IFERROR(INDEX(Leccion[selectorLeccion],SMALL(IF(W$1=Leccion[SubSección],MATCH(ROW(Leccion[SubSección]),ROW(Leccion[SubSección]))),ROW(V3))),"")</f>
        <v/>
      </c>
      <c r="X4" s="51" t="str">
        <f t="array" aca="1" ref="X4" ca="1">IFERROR(INDEX(Leccion[selectorLeccion],SMALL(IF(X$1=Leccion[SubSección],MATCH(ROW(Leccion[SubSección]),ROW(Leccion[SubSección]))),ROW(W3))),"")</f>
        <v/>
      </c>
      <c r="Y4" s="51" t="str">
        <f t="array" aca="1" ref="Y4" ca="1">IFERROR(INDEX(Leccion[selectorLeccion],SMALL(IF(Y$1=Leccion[SubSección],MATCH(ROW(Leccion[SubSección]),ROW(Leccion[SubSección]))),ROW(X3))),"")</f>
        <v/>
      </c>
      <c r="Z4" s="51" t="str">
        <f t="array" aca="1" ref="Z4" ca="1">IFERROR(INDEX(Leccion[selectorLeccion],SMALL(IF(Z$1=Leccion[SubSección],MATCH(ROW(Leccion[SubSección]),ROW(Leccion[SubSección]))),ROW(Y3))),"")</f>
        <v/>
      </c>
      <c r="AA4" s="51" t="str">
        <f t="array" aca="1" ref="AA4" ca="1">IFERROR(INDEX(Leccion[selectorLeccion],SMALL(IF(AA$1=Leccion[SubSección],MATCH(ROW(Leccion[SubSección]),ROW(Leccion[SubSección]))),ROW(Z3))),"")</f>
        <v/>
      </c>
      <c r="AB4" s="51" t="str">
        <f t="array" aca="1" ref="AB4" ca="1">IFERROR(INDEX(Leccion[selectorLeccion],SMALL(IF(AB$1=Leccion[SubSección],MATCH(ROW(Leccion[SubSección]),ROW(Leccion[SubSección]))),ROW(AA3))),"")</f>
        <v/>
      </c>
      <c r="AC4" s="51" t="str">
        <f t="array" aca="1" ref="AC4" ca="1">IFERROR(INDEX(Leccion[selectorLeccion],SMALL(IF(AC$1=Leccion[SubSección],MATCH(ROW(Leccion[SubSección]),ROW(Leccion[SubSección]))),ROW(AB3))),"")</f>
        <v/>
      </c>
      <c r="AD4" s="51" t="str">
        <f t="array" aca="1" ref="AD4" ca="1">IFERROR(INDEX(Leccion[selectorLeccion],SMALL(IF(AD$1=Leccion[SubSección],MATCH(ROW(Leccion[SubSección]),ROW(Leccion[SubSección]))),ROW(AC3))),"")</f>
        <v/>
      </c>
      <c r="AE4" s="51" t="str">
        <f t="array" aca="1" ref="AE4" ca="1">IFERROR(INDEX(Leccion[selectorLeccion],SMALL(IF(AE$1=Leccion[SubSección],MATCH(ROW(Leccion[SubSección]),ROW(Leccion[SubSección]))),ROW(AD3))),"")</f>
        <v/>
      </c>
      <c r="AF4" s="51" t="str">
        <f t="array" aca="1" ref="AF4" ca="1">IFERROR(INDEX(Leccion[selectorLeccion],SMALL(IF(AF$1=Leccion[SubSección],MATCH(ROW(Leccion[SubSección]),ROW(Leccion[SubSección]))),ROW(AE3))),"")</f>
        <v/>
      </c>
      <c r="AG4" s="51" t="str">
        <f t="array" aca="1" ref="AG4" ca="1">IFERROR(INDEX(Leccion[selectorLeccion],SMALL(IF(AG$1=Leccion[SubSección],MATCH(ROW(Leccion[SubSección]),ROW(Leccion[SubSección]))),ROW(AF3))),"")</f>
        <v/>
      </c>
      <c r="AH4" s="51" t="str">
        <f t="array" aca="1" ref="AH4" ca="1">IFERROR(INDEX(Leccion[selectorLeccion],SMALL(IF(AH$1=Leccion[SubSección],MATCH(ROW(Leccion[SubSección]),ROW(Leccion[SubSección]))),ROW(AG3))),"")</f>
        <v/>
      </c>
      <c r="AI4" s="51" t="str">
        <f t="array" aca="1" ref="AI4" ca="1">IFERROR(INDEX(Leccion[selectorLeccion],SMALL(IF(AI$1=Leccion[SubSección],MATCH(ROW(Leccion[SubSección]),ROW(Leccion[SubSección]))),ROW(AH3))),"")</f>
        <v/>
      </c>
      <c r="AJ4" s="51" t="str">
        <f t="array" aca="1" ref="AJ4" ca="1">IFERROR(INDEX(Leccion[selectorLeccion],SMALL(IF(AJ$1=Leccion[SubSección],MATCH(ROW(Leccion[SubSección]),ROW(Leccion[SubSección]))),ROW(AI3))),"")</f>
        <v/>
      </c>
      <c r="AK4" s="51" t="str">
        <f t="array" aca="1" ref="AK4" ca="1">IFERROR(INDEX(Leccion[selectorLeccion],SMALL(IF(AK$1=Leccion[SubSección],MATCH(ROW(Leccion[SubSección]),ROW(Leccion[SubSección]))),ROW(AJ3))),"")</f>
        <v/>
      </c>
      <c r="AL4" s="51" t="str">
        <f t="array" aca="1" ref="AL4" ca="1">IFERROR(INDEX(Leccion[selectorLeccion],SMALL(IF(AL$1=Leccion[SubSección],MATCH(ROW(Leccion[SubSección]),ROW(Leccion[SubSección]))),ROW(AK3))),"")</f>
        <v/>
      </c>
      <c r="AM4" s="51" t="str">
        <f t="array" aca="1" ref="AM4" ca="1">IFERROR(INDEX(Leccion[selectorLeccion],SMALL(IF(AM$1=Leccion[SubSección],MATCH(ROW(Leccion[SubSección]),ROW(Leccion[SubSección]))),ROW(AL3))),"")</f>
        <v/>
      </c>
      <c r="AN4" s="51" t="str">
        <f t="array" aca="1" ref="AN4" ca="1">IFERROR(INDEX(Leccion[selectorLeccion],SMALL(IF(AN$1=Leccion[SubSección],MATCH(ROW(Leccion[SubSección]),ROW(Leccion[SubSección]))),ROW(AM3))),"")</f>
        <v/>
      </c>
      <c r="AO4" s="51" t="str">
        <f t="array" aca="1" ref="AO4" ca="1">IFERROR(INDEX(Leccion[selectorLeccion],SMALL(IF(AO$1=Leccion[SubSección],MATCH(ROW(Leccion[SubSección]),ROW(Leccion[SubSección]))),ROW(AN3))),"")</f>
        <v/>
      </c>
      <c r="AP4" s="51" t="str">
        <f t="array" aca="1" ref="AP4" ca="1">IFERROR(INDEX(Leccion[selectorLeccion],SMALL(IF(AP$1=Leccion[SubSección],MATCH(ROW(Leccion[SubSección]),ROW(Leccion[SubSección]))),ROW(AO3))),"")</f>
        <v/>
      </c>
      <c r="AQ4" s="51" t="str">
        <f t="array" aca="1" ref="AQ4" ca="1">IFERROR(INDEX(Leccion[selectorLeccion],SMALL(IF(AQ$1=Leccion[SubSección],MATCH(ROW(Leccion[SubSección]),ROW(Leccion[SubSección]))),ROW(AP3))),"")</f>
        <v/>
      </c>
      <c r="AR4" s="51" t="str">
        <f t="array" aca="1" ref="AR4" ca="1">IFERROR(INDEX(Leccion[selectorLeccion],SMALL(IF(AR$1=Leccion[SubSección],MATCH(ROW(Leccion[SubSección]),ROW(Leccion[SubSección]))),ROW(AQ3))),"")</f>
        <v/>
      </c>
      <c r="AS4" s="51" t="str">
        <f t="array" aca="1" ref="AS4" ca="1">IFERROR(INDEX(Leccion[selectorLeccion],SMALL(IF(AS$1=Leccion[SubSección],MATCH(ROW(Leccion[SubSección]),ROW(Leccion[SubSección]))),ROW(AR3))),"")</f>
        <v/>
      </c>
      <c r="AT4" s="51" t="str">
        <f t="array" aca="1" ref="AT4" ca="1">IFERROR(INDEX(Leccion[selectorLeccion],SMALL(IF(AT$1=Leccion[SubSección],MATCH(ROW(Leccion[SubSección]),ROW(Leccion[SubSección]))),ROW(AS3))),"")</f>
        <v/>
      </c>
      <c r="AU4" s="51" t="str">
        <f t="array" aca="1" ref="AU4" ca="1">IFERROR(INDEX(Leccion[selectorLeccion],SMALL(IF(AU$1=Leccion[SubSección],MATCH(ROW(Leccion[SubSección]),ROW(Leccion[SubSección]))),ROW(AT3))),"")</f>
        <v/>
      </c>
      <c r="AV4" s="51" t="str">
        <f t="array" aca="1" ref="AV4" ca="1">IFERROR(INDEX(Leccion[selectorLeccion],SMALL(IF(AV$1=Leccion[SubSección],MATCH(ROW(Leccion[SubSección]),ROW(Leccion[SubSección]))),ROW(AU3))),"")</f>
        <v/>
      </c>
      <c r="AW4" s="51" t="str">
        <f t="array" aca="1" ref="AW4" ca="1">IFERROR(INDEX(Leccion[selectorLeccion],SMALL(IF(AW$1=Leccion[SubSección],MATCH(ROW(Leccion[SubSección]),ROW(Leccion[SubSección]))),ROW(AV3))),"")</f>
        <v/>
      </c>
      <c r="AX4" s="51" t="str">
        <f t="array" aca="1" ref="AX4" ca="1">IFERROR(INDEX(Leccion[selectorLeccion],SMALL(IF(AX$1=Leccion[SubSección],MATCH(ROW(Leccion[SubSección]),ROW(Leccion[SubSección]))),ROW(AW3))),"")</f>
        <v/>
      </c>
      <c r="AY4" s="51" t="str">
        <f t="array" aca="1" ref="AY4" ca="1">IFERROR(INDEX(Leccion[selectorLeccion],SMALL(IF(AY$1=Leccion[SubSección],MATCH(ROW(Leccion[SubSección]),ROW(Leccion[SubSección]))),ROW(AX3))),"")</f>
        <v/>
      </c>
      <c r="AZ4" s="51" t="str">
        <f t="array" aca="1" ref="AZ4" ca="1">IFERROR(INDEX(Leccion[selectorLeccion],SMALL(IF(AZ$1=Leccion[SubSección],MATCH(ROW(Leccion[SubSección]),ROW(Leccion[SubSección]))),ROW(AY3))),"")</f>
        <v/>
      </c>
      <c r="BA4" s="51" t="str">
        <f t="array" aca="1" ref="BA4" ca="1">IFERROR(INDEX(Leccion[selectorLeccion],SMALL(IF(BA$1=Leccion[SubSección],MATCH(ROW(Leccion[SubSección]),ROW(Leccion[SubSección]))),ROW(AZ3))),"")</f>
        <v/>
      </c>
      <c r="BB4" s="51" t="str">
        <f t="array" aca="1" ref="BB4" ca="1">IFERROR(INDEX(Leccion[selectorLeccion],SMALL(IF(BB$1=Leccion[SubSección],MATCH(ROW(Leccion[SubSección]),ROW(Leccion[SubSección]))),ROW(BA3))),"")</f>
        <v/>
      </c>
      <c r="BC4" s="51" t="str">
        <f t="array" aca="1" ref="BC4" ca="1">IFERROR(INDEX(Leccion[selectorLeccion],SMALL(IF(BC$1=Leccion[SubSección],MATCH(ROW(Leccion[SubSección]),ROW(Leccion[SubSección]))),ROW(BB3))),"")</f>
        <v/>
      </c>
      <c r="BD4" s="51" t="str">
        <f t="array" aca="1" ref="BD4" ca="1">IFERROR(INDEX(Leccion[selectorLeccion],SMALL(IF(BD$1=Leccion[SubSección],MATCH(ROW(Leccion[SubSección]),ROW(Leccion[SubSección]))),ROW(BC3))),"")</f>
        <v/>
      </c>
      <c r="BE4" s="51" t="str">
        <f t="array" aca="1" ref="BE4" ca="1">IFERROR(INDEX(Leccion[selectorLeccion],SMALL(IF(BE$1=Leccion[SubSección],MATCH(ROW(Leccion[SubSección]),ROW(Leccion[SubSección]))),ROW(BD3))),"")</f>
        <v/>
      </c>
      <c r="BF4" s="51" t="str">
        <f t="array" aca="1" ref="BF4" ca="1">IFERROR(INDEX(Leccion[selectorLeccion],SMALL(IF(BF$1=Leccion[SubSección],MATCH(ROW(Leccion[SubSección]),ROW(Leccion[SubSección]))),ROW(BE3))),"")</f>
        <v/>
      </c>
      <c r="BG4" s="51" t="str">
        <f t="array" aca="1" ref="BG4" ca="1">IFERROR(INDEX(Leccion[selectorLeccion],SMALL(IF(BG$1=Leccion[SubSección],MATCH(ROW(Leccion[SubSección]),ROW(Leccion[SubSección]))),ROW(BF3))),"")</f>
        <v/>
      </c>
      <c r="BH4" s="51" t="str">
        <f t="array" aca="1" ref="BH4" ca="1">IFERROR(INDEX(Leccion[selectorLeccion],SMALL(IF(BH$1=Leccion[SubSección],MATCH(ROW(Leccion[SubSección]),ROW(Leccion[SubSección]))),ROW(BG3))),"")</f>
        <v/>
      </c>
      <c r="BI4" s="51" t="str">
        <f t="array" aca="1" ref="BI4" ca="1">IFERROR(INDEX(Leccion[selectorLeccion],SMALL(IF(BI$1=Leccion[SubSección],MATCH(ROW(Leccion[SubSección]),ROW(Leccion[SubSección]))),ROW(BH3))),"")</f>
        <v/>
      </c>
      <c r="BJ4" s="51" t="str">
        <f t="array" aca="1" ref="BJ4" ca="1">IFERROR(INDEX(Leccion[selectorLeccion],SMALL(IF(BJ$1=Leccion[SubSección],MATCH(ROW(Leccion[SubSección]),ROW(Leccion[SubSección]))),ROW(BI3))),"")</f>
        <v/>
      </c>
      <c r="BK4" s="51" t="str">
        <f t="array" aca="1" ref="BK4" ca="1">IFERROR(INDEX(Leccion[selectorLeccion],SMALL(IF(BK$1=Leccion[SubSección],MATCH(ROW(Leccion[SubSección]),ROW(Leccion[SubSección]))),ROW(BJ3))),"")</f>
        <v/>
      </c>
      <c r="BL4" s="51" t="str">
        <f t="array" aca="1" ref="BL4" ca="1">IFERROR(INDEX(Leccion[selectorLeccion],SMALL(IF(BL$1=Leccion[SubSección],MATCH(ROW(Leccion[SubSección]),ROW(Leccion[SubSección]))),ROW(BK3))),"")</f>
        <v/>
      </c>
      <c r="BM4" s="51" t="str">
        <f t="array" aca="1" ref="BM4" ca="1">IFERROR(INDEX(Leccion[selectorLeccion],SMALL(IF(BM$1=Leccion[SubSección],MATCH(ROW(Leccion[SubSección]),ROW(Leccion[SubSección]))),ROW(BL3))),"")</f>
        <v/>
      </c>
      <c r="BN4" s="51" t="str">
        <f t="array" aca="1" ref="BN4" ca="1">IFERROR(INDEX(Leccion[selectorLeccion],SMALL(IF(BN$1=Leccion[SubSección],MATCH(ROW(Leccion[SubSección]),ROW(Leccion[SubSección]))),ROW(BM3))),"")</f>
        <v/>
      </c>
      <c r="BO4" s="51" t="str">
        <f t="array" aca="1" ref="BO4" ca="1">IFERROR(INDEX(Leccion[selectorLeccion],SMALL(IF(BO$1=Leccion[SubSección],MATCH(ROW(Leccion[SubSección]),ROW(Leccion[SubSección]))),ROW(BN3))),"")</f>
        <v/>
      </c>
      <c r="BP4" s="51" t="str">
        <f t="array" aca="1" ref="BP4" ca="1">IFERROR(INDEX(Leccion[selectorLeccion],SMALL(IF(BP$1=Leccion[SubSección],MATCH(ROW(Leccion[SubSección]),ROW(Leccion[SubSección]))),ROW(BO3))),"")</f>
        <v/>
      </c>
      <c r="BQ4" s="51" t="str">
        <f t="array" aca="1" ref="BQ4" ca="1">IFERROR(INDEX(Leccion[selectorLeccion],SMALL(IF(BQ$1=Leccion[SubSección],MATCH(ROW(Leccion[SubSección]),ROW(Leccion[SubSección]))),ROW(BP3))),"")</f>
        <v/>
      </c>
      <c r="BR4" s="51" t="str">
        <f t="array" aca="1" ref="BR4" ca="1">IFERROR(INDEX(Leccion[selectorLeccion],SMALL(IF(BR$1=Leccion[SubSección],MATCH(ROW(Leccion[SubSección]),ROW(Leccion[SubSección]))),ROW(BQ3))),"")</f>
        <v/>
      </c>
      <c r="BS4" s="51" t="str">
        <f t="array" aca="1" ref="BS4" ca="1">IFERROR(INDEX(Leccion[selectorLeccion],SMALL(IF(BS$1=Leccion[SubSección],MATCH(ROW(Leccion[SubSección]),ROW(Leccion[SubSección]))),ROW(BR3))),"")</f>
        <v/>
      </c>
      <c r="BT4" s="51" t="str">
        <f t="array" aca="1" ref="BT4" ca="1">IFERROR(INDEX(Leccion[selectorLeccion],SMALL(IF(BT$1=Leccion[SubSección],MATCH(ROW(Leccion[SubSección]),ROW(Leccion[SubSección]))),ROW(BS3))),"")</f>
        <v/>
      </c>
      <c r="BU4" s="51" t="str">
        <f t="array" aca="1" ref="BU4" ca="1">IFERROR(INDEX(Leccion[selectorLeccion],SMALL(IF(BU$1=Leccion[SubSección],MATCH(ROW(Leccion[SubSección]),ROW(Leccion[SubSección]))),ROW(BT3))),"")</f>
        <v/>
      </c>
      <c r="BV4" s="51" t="str">
        <f t="array" aca="1" ref="BV4" ca="1">IFERROR(INDEX(Leccion[selectorLeccion],SMALL(IF(BV$1=Leccion[SubSección],MATCH(ROW(Leccion[SubSección]),ROW(Leccion[SubSección]))),ROW(BU3))),"")</f>
        <v/>
      </c>
      <c r="BW4" s="51" t="str">
        <f t="array" aca="1" ref="BW4" ca="1">IFERROR(INDEX(Leccion[selectorLeccion],SMALL(IF(BW$1=Leccion[SubSección],MATCH(ROW(Leccion[SubSección]),ROW(Leccion[SubSección]))),ROW(BV3))),"")</f>
        <v/>
      </c>
      <c r="BX4" s="51" t="str">
        <f t="array" aca="1" ref="BX4" ca="1">IFERROR(INDEX(Leccion[selectorLeccion],SMALL(IF(BX$1=Leccion[SubSección],MATCH(ROW(Leccion[SubSección]),ROW(Leccion[SubSección]))),ROW(BW3))),"")</f>
        <v/>
      </c>
      <c r="BY4" s="51" t="str">
        <f t="array" aca="1" ref="BY4" ca="1">IFERROR(INDEX(Leccion[selectorLeccion],SMALL(IF(BY$1=Leccion[SubSección],MATCH(ROW(Leccion[SubSección]),ROW(Leccion[SubSección]))),ROW(BX3))),"")</f>
        <v/>
      </c>
      <c r="BZ4" s="51" t="str">
        <f t="array" aca="1" ref="BZ4" ca="1">IFERROR(INDEX(Leccion[selectorLeccion],SMALL(IF(BZ$1=Leccion[SubSección],MATCH(ROW(Leccion[SubSección]),ROW(Leccion[SubSección]))),ROW(BY3))),"")</f>
        <v/>
      </c>
      <c r="CA4" s="51" t="str">
        <f t="array" aca="1" ref="CA4" ca="1">IFERROR(INDEX(Leccion[selectorLeccion],SMALL(IF(CA$1=Leccion[SubSección],MATCH(ROW(Leccion[SubSección]),ROW(Leccion[SubSección]))),ROW(BZ3))),"")</f>
        <v/>
      </c>
      <c r="CB4" s="51" t="str">
        <f t="array" aca="1" ref="CB4" ca="1">IFERROR(INDEX(Leccion[selectorLeccion],SMALL(IF(CB$1=Leccion[SubSección],MATCH(ROW(Leccion[SubSección]),ROW(Leccion[SubSección]))),ROW(CA3))),"")</f>
        <v/>
      </c>
      <c r="CC4" s="51" t="str">
        <f t="array" aca="1" ref="CC4" ca="1">IFERROR(INDEX(Leccion[selectorLeccion],SMALL(IF(CC$1=Leccion[SubSección],MATCH(ROW(Leccion[SubSección]),ROW(Leccion[SubSección]))),ROW(CB3))),"")</f>
        <v/>
      </c>
      <c r="CD4" s="51" t="str">
        <f t="array" aca="1" ref="CD4" ca="1">IFERROR(INDEX(Leccion[selectorLeccion],SMALL(IF(CD$1=Leccion[SubSección],MATCH(ROW(Leccion[SubSección]),ROW(Leccion[SubSección]))),ROW(CC3))),"")</f>
        <v/>
      </c>
      <c r="CE4" s="51" t="str">
        <f t="array" aca="1" ref="CE4" ca="1">IFERROR(INDEX(Leccion[selectorLeccion],SMALL(IF(CE$1=Leccion[SubSección],MATCH(ROW(Leccion[SubSección]),ROW(Leccion[SubSección]))),ROW(CD3))),"")</f>
        <v/>
      </c>
      <c r="CF4" s="51" t="str">
        <f t="array" aca="1" ref="CF4" ca="1">IFERROR(INDEX(Leccion[selectorLeccion],SMALL(IF(CF$1=Leccion[SubSección],MATCH(ROW(Leccion[SubSección]),ROW(Leccion[SubSección]))),ROW(CE3))),"")</f>
        <v/>
      </c>
      <c r="CG4" s="51" t="str">
        <f t="array" aca="1" ref="CG4" ca="1">IFERROR(INDEX(Leccion[selectorLeccion],SMALL(IF(CG$1=Leccion[SubSección],MATCH(ROW(Leccion[SubSección]),ROW(Leccion[SubSección]))),ROW(CF3))),"")</f>
        <v/>
      </c>
      <c r="CH4" s="51" t="str">
        <f t="array" aca="1" ref="CH4" ca="1">IFERROR(INDEX(Leccion[selectorLeccion],SMALL(IF(CH$1=Leccion[SubSección],MATCH(ROW(Leccion[SubSección]),ROW(Leccion[SubSección]))),ROW(CG3))),"")</f>
        <v/>
      </c>
      <c r="CI4" s="51" t="str">
        <f t="array" aca="1" ref="CI4" ca="1">IFERROR(INDEX(Leccion[selectorLeccion],SMALL(IF(CI$1=Leccion[SubSección],MATCH(ROW(Leccion[SubSección]),ROW(Leccion[SubSección]))),ROW(CH3))),"")</f>
        <v/>
      </c>
      <c r="CJ4" s="51" t="str">
        <f t="array" aca="1" ref="CJ4" ca="1">IFERROR(INDEX(Leccion[selectorLeccion],SMALL(IF(CJ$1=Leccion[SubSección],MATCH(ROW(Leccion[SubSección]),ROW(Leccion[SubSección]))),ROW(CI3))),"")</f>
        <v/>
      </c>
      <c r="CK4" s="51" t="str">
        <f t="array" aca="1" ref="CK4" ca="1">IFERROR(INDEX(Leccion[selectorLeccion],SMALL(IF(CK$1=Leccion[SubSección],MATCH(ROW(Leccion[SubSección]),ROW(Leccion[SubSección]))),ROW(CJ3))),"")</f>
        <v/>
      </c>
      <c r="CL4" s="51" t="str">
        <f t="array" aca="1" ref="CL4" ca="1">IFERROR(INDEX(Leccion[selectorLeccion],SMALL(IF(CL$1=Leccion[SubSección],MATCH(ROW(Leccion[SubSección]),ROW(Leccion[SubSección]))),ROW(CK3))),"")</f>
        <v/>
      </c>
      <c r="CM4" s="51" t="str">
        <f t="array" aca="1" ref="CM4" ca="1">IFERROR(INDEX(Leccion[selectorLeccion],SMALL(IF(CM$1=Leccion[SubSección],MATCH(ROW(Leccion[SubSección]),ROW(Leccion[SubSección]))),ROW(CL3))),"")</f>
        <v/>
      </c>
      <c r="CN4" s="51" t="str">
        <f t="array" aca="1" ref="CN4" ca="1">IFERROR(INDEX(Leccion[selectorLeccion],SMALL(IF(CN$1=Leccion[SubSección],MATCH(ROW(Leccion[SubSección]),ROW(Leccion[SubSección]))),ROW(CM3))),"")</f>
        <v/>
      </c>
      <c r="CO4" s="51" t="str">
        <f t="array" aca="1" ref="CO4" ca="1">IFERROR(INDEX(Leccion[selectorLeccion],SMALL(IF(CO$1=Leccion[SubSección],MATCH(ROW(Leccion[SubSección]),ROW(Leccion[SubSección]))),ROW(CN3))),"")</f>
        <v/>
      </c>
      <c r="CP4" s="51" t="str">
        <f t="array" aca="1" ref="CP4" ca="1">IFERROR(INDEX(Leccion[selectorLeccion],SMALL(IF(CP$1=Leccion[SubSección],MATCH(ROW(Leccion[SubSección]),ROW(Leccion[SubSección]))),ROW(CO3))),"")</f>
        <v/>
      </c>
      <c r="CQ4" s="51" t="str">
        <f t="array" aca="1" ref="CQ4" ca="1">IFERROR(INDEX(Leccion[selectorLeccion],SMALL(IF(CQ$1=Leccion[SubSección],MATCH(ROW(Leccion[SubSección]),ROW(Leccion[SubSección]))),ROW(CP3))),"")</f>
        <v/>
      </c>
      <c r="CR4" s="51" t="str">
        <f t="array" aca="1" ref="CR4" ca="1">IFERROR(INDEX(Leccion[selectorLeccion],SMALL(IF(CR$1=Leccion[SubSección],MATCH(ROW(Leccion[SubSección]),ROW(Leccion[SubSección]))),ROW(CQ3))),"")</f>
        <v/>
      </c>
      <c r="CS4" s="51" t="str">
        <f t="array" aca="1" ref="CS4" ca="1">IFERROR(INDEX(Leccion[selectorLeccion],SMALL(IF(CS$1=Leccion[SubSección],MATCH(ROW(Leccion[SubSección]),ROW(Leccion[SubSección]))),ROW(CR3))),"")</f>
        <v/>
      </c>
      <c r="CT4" s="51" t="str">
        <f t="array" aca="1" ref="CT4" ca="1">IFERROR(INDEX(Leccion[selectorLeccion],SMALL(IF(CT$1=Leccion[SubSección],MATCH(ROW(Leccion[SubSección]),ROW(Leccion[SubSección]))),ROW(CS3))),"")</f>
        <v/>
      </c>
      <c r="CU4" s="51" t="str">
        <f t="array" aca="1" ref="CU4" ca="1">IFERROR(INDEX(Leccion[selectorLeccion],SMALL(IF(CU$1=Leccion[SubSección],MATCH(ROW(Leccion[SubSección]),ROW(Leccion[SubSección]))),ROW(CT3))),"")</f>
        <v/>
      </c>
      <c r="CV4" s="51" t="str">
        <f t="array" aca="1" ref="CV4" ca="1">IFERROR(INDEX(Leccion[selectorLeccion],SMALL(IF(CV$1=Leccion[SubSección],MATCH(ROW(Leccion[SubSección]),ROW(Leccion[SubSección]))),ROW(CU3))),"")</f>
        <v/>
      </c>
      <c r="CW4" s="51" t="str">
        <f t="array" aca="1" ref="CW4" ca="1">IFERROR(INDEX(Leccion[selectorLeccion],SMALL(IF(CW$1=Leccion[SubSección],MATCH(ROW(Leccion[SubSección]),ROW(Leccion[SubSección]))),ROW(CV3))),"")</f>
        <v/>
      </c>
      <c r="CX4" s="51" t="str">
        <f t="array" aca="1" ref="CX4" ca="1">IFERROR(INDEX(Leccion[selectorLeccion],SMALL(IF(CX$1=Leccion[SubSección],MATCH(ROW(Leccion[SubSección]),ROW(Leccion[SubSección]))),ROW(CW3))),"")</f>
        <v/>
      </c>
      <c r="CY4" s="51" t="str">
        <f t="array" aca="1" ref="CY4" ca="1">IFERROR(INDEX(Leccion[selectorLeccion],SMALL(IF(CY$1=Leccion[SubSección],MATCH(ROW(Leccion[SubSección]),ROW(Leccion[SubSección]))),ROW(CX3))),"")</f>
        <v/>
      </c>
      <c r="CZ4" s="51" t="str">
        <f t="array" aca="1" ref="CZ4" ca="1">IFERROR(INDEX(Leccion[selectorLeccion],SMALL(IF(CZ$1=Leccion[SubSección],MATCH(ROW(Leccion[SubSección]),ROW(Leccion[SubSección]))),ROW(CY3))),"")</f>
        <v/>
      </c>
      <c r="DA4" s="51" t="str">
        <f t="array" aca="1" ref="DA4" ca="1">IFERROR(INDEX(Leccion[selectorLeccion],SMALL(IF(DA$1=Leccion[SubSección],MATCH(ROW(Leccion[SubSección]),ROW(Leccion[SubSección]))),ROW(CZ3))),"")</f>
        <v/>
      </c>
      <c r="DB4" s="51" t="str">
        <f t="array" aca="1" ref="DB4" ca="1">IFERROR(INDEX(Leccion[selectorLeccion],SMALL(IF(DB$1=Leccion[SubSección],MATCH(ROW(Leccion[SubSección]),ROW(Leccion[SubSección]))),ROW(DA3))),"")</f>
        <v/>
      </c>
      <c r="DC4" s="51" t="str">
        <f t="array" aca="1" ref="DC4" ca="1">IFERROR(INDEX(Leccion[selectorLeccion],SMALL(IF(DC$1=Leccion[SubSección],MATCH(ROW(Leccion[SubSección]),ROW(Leccion[SubSección]))),ROW(DB3))),"")</f>
        <v/>
      </c>
      <c r="DD4" s="51" t="str">
        <f t="array" aca="1" ref="DD4" ca="1">IFERROR(INDEX(Leccion[selectorLeccion],SMALL(IF(DD$1=Leccion[SubSección],MATCH(ROW(Leccion[SubSección]),ROW(Leccion[SubSección]))),ROW(DC3))),"")</f>
        <v/>
      </c>
      <c r="DE4" s="51" t="str">
        <f t="array" aca="1" ref="DE4" ca="1">IFERROR(INDEX(Leccion[selectorLeccion],SMALL(IF(DE$1=Leccion[SubSección],MATCH(ROW(Leccion[SubSección]),ROW(Leccion[SubSección]))),ROW(DD3))),"")</f>
        <v/>
      </c>
      <c r="DF4" s="51" t="str">
        <f t="array" aca="1" ref="DF4" ca="1">IFERROR(INDEX(Leccion[selectorLeccion],SMALL(IF(DF$1=Leccion[SubSección],MATCH(ROW(Leccion[SubSección]),ROW(Leccion[SubSección]))),ROW(DE3))),"")</f>
        <v/>
      </c>
      <c r="DG4" s="51" t="str">
        <f t="array" aca="1" ref="DG4" ca="1">IFERROR(INDEX(Leccion[selectorLeccion],SMALL(IF(DG$1=Leccion[SubSección],MATCH(ROW(Leccion[SubSección]),ROW(Leccion[SubSección]))),ROW(DF3))),"")</f>
        <v/>
      </c>
      <c r="DH4" s="51" t="str">
        <f t="array" aca="1" ref="DH4" ca="1">IFERROR(INDEX(Leccion[selectorLeccion],SMALL(IF(DH$1=Leccion[SubSección],MATCH(ROW(Leccion[SubSección]),ROW(Leccion[SubSección]))),ROW(DG3))),"")</f>
        <v/>
      </c>
      <c r="DI4" s="51" t="str">
        <f t="array" aca="1" ref="DI4" ca="1">IFERROR(INDEX(Leccion[selectorLeccion],SMALL(IF(DI$1=Leccion[SubSección],MATCH(ROW(Leccion[SubSección]),ROW(Leccion[SubSección]))),ROW(DH3))),"")</f>
        <v/>
      </c>
      <c r="DJ4" s="51" t="str">
        <f t="array" aca="1" ref="DJ4" ca="1">IFERROR(INDEX(Leccion[selectorLeccion],SMALL(IF(DJ$1=Leccion[SubSección],MATCH(ROW(Leccion[SubSección]),ROW(Leccion[SubSección]))),ROW(DI3))),"")</f>
        <v/>
      </c>
      <c r="DK4" s="51" t="str">
        <f t="array" aca="1" ref="DK4" ca="1">IFERROR(INDEX(Leccion[selectorLeccion],SMALL(IF(DK$1=Leccion[SubSección],MATCH(ROW(Leccion[SubSección]),ROW(Leccion[SubSección]))),ROW(DJ3))),"")</f>
        <v/>
      </c>
      <c r="DL4" s="51" t="str">
        <f t="array" aca="1" ref="DL4" ca="1">IFERROR(INDEX(Leccion[selectorLeccion],SMALL(IF(DL$1=Leccion[SubSección],MATCH(ROW(Leccion[SubSección]),ROW(Leccion[SubSección]))),ROW(DK3))),"")</f>
        <v/>
      </c>
      <c r="DM4" s="51" t="str">
        <f t="array" aca="1" ref="DM4" ca="1">IFERROR(INDEX(Leccion[selectorLeccion],SMALL(IF(DM$1=Leccion[SubSección],MATCH(ROW(Leccion[SubSección]),ROW(Leccion[SubSección]))),ROW(DL3))),"")</f>
        <v/>
      </c>
      <c r="DN4" s="51" t="str">
        <f t="array" aca="1" ref="DN4" ca="1">IFERROR(INDEX(Leccion[selectorLeccion],SMALL(IF(DN$1=Leccion[SubSección],MATCH(ROW(Leccion[SubSección]),ROW(Leccion[SubSección]))),ROW(DM3))),"")</f>
        <v/>
      </c>
      <c r="DO4" s="51" t="str">
        <f t="array" aca="1" ref="DO4" ca="1">IFERROR(INDEX(Leccion[selectorLeccion],SMALL(IF(DO$1=Leccion[SubSección],MATCH(ROW(Leccion[SubSección]),ROW(Leccion[SubSección]))),ROW(DN3))),"")</f>
        <v/>
      </c>
      <c r="DP4" s="51" t="str">
        <f t="array" aca="1" ref="DP4" ca="1">IFERROR(INDEX(Leccion[selectorLeccion],SMALL(IF(DP$1=Leccion[SubSección],MATCH(ROW(Leccion[SubSección]),ROW(Leccion[SubSección]))),ROW(DO3))),"")</f>
        <v/>
      </c>
      <c r="DQ4" s="51" t="str">
        <f t="array" aca="1" ref="DQ4" ca="1">IFERROR(INDEX(Leccion[selectorLeccion],SMALL(IF(DQ$1=Leccion[SubSección],MATCH(ROW(Leccion[SubSección]),ROW(Leccion[SubSección]))),ROW(DP3))),"")</f>
        <v/>
      </c>
      <c r="DR4" s="51" t="str">
        <f t="array" aca="1" ref="DR4" ca="1">IFERROR(INDEX(Leccion[selectorLeccion],SMALL(IF(DR$1=Leccion[SubSección],MATCH(ROW(Leccion[SubSección]),ROW(Leccion[SubSección]))),ROW(DQ3))),"")</f>
        <v/>
      </c>
      <c r="DS4" s="51" t="str">
        <f t="array" aca="1" ref="DS4" ca="1">IFERROR(INDEX(Leccion[selectorLeccion],SMALL(IF(DS$1=Leccion[SubSección],MATCH(ROW(Leccion[SubSección]),ROW(Leccion[SubSección]))),ROW(DR3))),"")</f>
        <v/>
      </c>
      <c r="DT4" s="51" t="str">
        <f t="array" aca="1" ref="DT4" ca="1">IFERROR(INDEX(Leccion[selectorLeccion],SMALL(IF(DT$1=Leccion[SubSección],MATCH(ROW(Leccion[SubSección]),ROW(Leccion[SubSección]))),ROW(DS3))),"")</f>
        <v/>
      </c>
      <c r="DU4" s="51" t="str">
        <f t="array" aca="1" ref="DU4" ca="1">IFERROR(INDEX(Leccion[selectorLeccion],SMALL(IF(DU$1=Leccion[SubSección],MATCH(ROW(Leccion[SubSección]),ROW(Leccion[SubSección]))),ROW(DT3))),"")</f>
        <v/>
      </c>
      <c r="DV4" s="51" t="str">
        <f t="array" aca="1" ref="DV4" ca="1">IFERROR(INDEX(Leccion[selectorLeccion],SMALL(IF(DV$1=Leccion[SubSección],MATCH(ROW(Leccion[SubSección]),ROW(Leccion[SubSección]))),ROW(DU3))),"")</f>
        <v/>
      </c>
      <c r="DW4" s="51" t="str">
        <f t="array" aca="1" ref="DW4" ca="1">IFERROR(INDEX(Leccion[selectorLeccion],SMALL(IF(DW$1=Leccion[SubSección],MATCH(ROW(Leccion[SubSección]),ROW(Leccion[SubSección]))),ROW(DV3))),"")</f>
        <v/>
      </c>
      <c r="DX4" s="51" t="str">
        <f t="array" aca="1" ref="DX4" ca="1">IFERROR(INDEX(Leccion[selectorLeccion],SMALL(IF(DX$1=Leccion[SubSección],MATCH(ROW(Leccion[SubSección]),ROW(Leccion[SubSección]))),ROW(DW3))),"")</f>
        <v/>
      </c>
      <c r="DY4" s="51" t="str">
        <f t="array" aca="1" ref="DY4" ca="1">IFERROR(INDEX(Leccion[selectorLeccion],SMALL(IF(DY$1=Leccion[SubSección],MATCH(ROW(Leccion[SubSección]),ROW(Leccion[SubSección]))),ROW(DX3))),"")</f>
        <v/>
      </c>
      <c r="DZ4" s="51" t="str">
        <f t="array" aca="1" ref="DZ4" ca="1">IFERROR(INDEX(Leccion[selectorLeccion],SMALL(IF(DZ$1=Leccion[SubSección],MATCH(ROW(Leccion[SubSección]),ROW(Leccion[SubSección]))),ROW(DY3))),"")</f>
        <v/>
      </c>
      <c r="EA4" s="51" t="str">
        <f t="array" aca="1" ref="EA4" ca="1">IFERROR(INDEX(Leccion[selectorLeccion],SMALL(IF(EA$1=Leccion[SubSección],MATCH(ROW(Leccion[SubSección]),ROW(Leccion[SubSección]))),ROW(DZ3))),"")</f>
        <v/>
      </c>
      <c r="EB4" s="51" t="str">
        <f t="array" aca="1" ref="EB4" ca="1">IFERROR(INDEX(Leccion[selectorLeccion],SMALL(IF(EB$1=Leccion[SubSección],MATCH(ROW(Leccion[SubSección]),ROW(Leccion[SubSección]))),ROW(EA3))),"")</f>
        <v/>
      </c>
      <c r="EC4" s="51" t="str">
        <f t="array" aca="1" ref="EC4" ca="1">IFERROR(INDEX(Leccion[selectorLeccion],SMALL(IF(EC$1=Leccion[SubSección],MATCH(ROW(Leccion[SubSección]),ROW(Leccion[SubSección]))),ROW(EB3))),"")</f>
        <v/>
      </c>
      <c r="ED4" s="51" t="str">
        <f t="array" aca="1" ref="ED4" ca="1">IFERROR(INDEX(Leccion[selectorLeccion],SMALL(IF(ED$1=Leccion[SubSección],MATCH(ROW(Leccion[SubSección]),ROW(Leccion[SubSección]))),ROW(EC3))),"")</f>
        <v/>
      </c>
      <c r="EE4" s="51" t="str">
        <f t="array" aca="1" ref="EE4" ca="1">IFERROR(INDEX(Leccion[selectorLeccion],SMALL(IF(EE$1=Leccion[SubSección],MATCH(ROW(Leccion[SubSección]),ROW(Leccion[SubSección]))),ROW(ED3))),"")</f>
        <v/>
      </c>
      <c r="EF4" s="51" t="str">
        <f t="array" aca="1" ref="EF4" ca="1">IFERROR(INDEX(Leccion[selectorLeccion],SMALL(IF(EF$1=Leccion[SubSección],MATCH(ROW(Leccion[SubSección]),ROW(Leccion[SubSección]))),ROW(EE3))),"")</f>
        <v/>
      </c>
      <c r="EG4" s="51" t="str">
        <f t="array" aca="1" ref="EG4" ca="1">IFERROR(INDEX(Leccion[selectorLeccion],SMALL(IF(EG$1=Leccion[SubSección],MATCH(ROW(Leccion[SubSección]),ROW(Leccion[SubSección]))),ROW(EF3))),"")</f>
        <v/>
      </c>
      <c r="EH4" s="51" t="str">
        <f t="array" aca="1" ref="EH4" ca="1">IFERROR(INDEX(Leccion[selectorLeccion],SMALL(IF(EH$1=Leccion[SubSección],MATCH(ROW(Leccion[SubSección]),ROW(Leccion[SubSección]))),ROW(EG3))),"")</f>
        <v/>
      </c>
      <c r="EI4" s="51" t="str">
        <f t="array" aca="1" ref="EI4" ca="1">IFERROR(INDEX(Leccion[selectorLeccion],SMALL(IF(EI$1=Leccion[SubSección],MATCH(ROW(Leccion[SubSección]),ROW(Leccion[SubSección]))),ROW(EH3))),"")</f>
        <v/>
      </c>
      <c r="EJ4" s="51" t="str">
        <f t="array" aca="1" ref="EJ4" ca="1">IFERROR(INDEX(Leccion[selectorLeccion],SMALL(IF(EJ$1=Leccion[SubSección],MATCH(ROW(Leccion[SubSección]),ROW(Leccion[SubSección]))),ROW(EI3))),"")</f>
        <v/>
      </c>
      <c r="EK4" s="51" t="str">
        <f t="array" aca="1" ref="EK4" ca="1">IFERROR(INDEX(Leccion[selectorLeccion],SMALL(IF(EK$1=Leccion[SubSección],MATCH(ROW(Leccion[SubSección]),ROW(Leccion[SubSección]))),ROW(EJ3))),"")</f>
        <v/>
      </c>
      <c r="EL4" s="51" t="str">
        <f t="array" aca="1" ref="EL4" ca="1">IFERROR(INDEX(Leccion[selectorLeccion],SMALL(IF(EL$1=Leccion[SubSección],MATCH(ROW(Leccion[SubSección]),ROW(Leccion[SubSección]))),ROW(EK3))),"")</f>
        <v/>
      </c>
      <c r="EM4" s="51" t="str">
        <f t="array" aca="1" ref="EM4" ca="1">IFERROR(INDEX(Leccion[selectorLeccion],SMALL(IF(EM$1=Leccion[SubSección],MATCH(ROW(Leccion[SubSección]),ROW(Leccion[SubSección]))),ROW(EL3))),"")</f>
        <v/>
      </c>
      <c r="EN4" s="51" t="str">
        <f t="array" aca="1" ref="EN4" ca="1">IFERROR(INDEX(Leccion[selectorLeccion],SMALL(IF(EN$1=Leccion[SubSección],MATCH(ROW(Leccion[SubSección]),ROW(Leccion[SubSección]))),ROW(EM3))),"")</f>
        <v/>
      </c>
      <c r="EO4" s="51" t="str">
        <f t="array" aca="1" ref="EO4" ca="1">IFERROR(INDEX(Leccion[selectorLeccion],SMALL(IF(EO$1=Leccion[SubSección],MATCH(ROW(Leccion[SubSección]),ROW(Leccion[SubSección]))),ROW(EN3))),"")</f>
        <v/>
      </c>
      <c r="EP4" s="51" t="str">
        <f t="array" aca="1" ref="EP4" ca="1">IFERROR(INDEX(Leccion[selectorLeccion],SMALL(IF(EP$1=Leccion[SubSección],MATCH(ROW(Leccion[SubSección]),ROW(Leccion[SubSección]))),ROW(EO3))),"")</f>
        <v/>
      </c>
      <c r="EQ4" s="51" t="str">
        <f t="array" aca="1" ref="EQ4" ca="1">IFERROR(INDEX(Leccion[selectorLeccion],SMALL(IF(EQ$1=Leccion[SubSección],MATCH(ROW(Leccion[SubSección]),ROW(Leccion[SubSección]))),ROW(EP3))),"")</f>
        <v/>
      </c>
      <c r="ER4" s="51" t="str">
        <f t="array" aca="1" ref="ER4" ca="1">IFERROR(INDEX(Leccion[selectorLeccion],SMALL(IF(ER$1=Leccion[SubSección],MATCH(ROW(Leccion[SubSección]),ROW(Leccion[SubSección]))),ROW(EQ3))),"")</f>
        <v/>
      </c>
      <c r="ES4" s="51" t="str">
        <f t="array" aca="1" ref="ES4" ca="1">IFERROR(INDEX(Leccion[selectorLeccion],SMALL(IF(ES$1=Leccion[SubSección],MATCH(ROW(Leccion[SubSección]),ROW(Leccion[SubSección]))),ROW(ER3))),"")</f>
        <v/>
      </c>
      <c r="ET4" s="51" t="str">
        <f t="array" aca="1" ref="ET4" ca="1">IFERROR(INDEX(Leccion[selectorLeccion],SMALL(IF(ET$1=Leccion[SubSección],MATCH(ROW(Leccion[SubSección]),ROW(Leccion[SubSección]))),ROW(ES3))),"")</f>
        <v/>
      </c>
      <c r="EU4" s="51" t="str">
        <f t="array" aca="1" ref="EU4" ca="1">IFERROR(INDEX(Leccion[selectorLeccion],SMALL(IF(EU$1=Leccion[SubSección],MATCH(ROW(Leccion[SubSección]),ROW(Leccion[SubSección]))),ROW(ET3))),"")</f>
        <v/>
      </c>
      <c r="EV4" s="51" t="str">
        <f t="array" aca="1" ref="EV4" ca="1">IFERROR(INDEX(Leccion[selectorLeccion],SMALL(IF(EV$1=Leccion[SubSección],MATCH(ROW(Leccion[SubSección]),ROW(Leccion[SubSección]))),ROW(EU3))),"")</f>
        <v/>
      </c>
      <c r="EW4" s="51" t="str">
        <f t="array" aca="1" ref="EW4" ca="1">IFERROR(INDEX(Leccion[selectorLeccion],SMALL(IF(EW$1=Leccion[SubSección],MATCH(ROW(Leccion[SubSección]),ROW(Leccion[SubSección]))),ROW(EV3))),"")</f>
        <v/>
      </c>
      <c r="EX4" s="51" t="str">
        <f t="array" aca="1" ref="EX4" ca="1">IFERROR(INDEX(Leccion[selectorLeccion],SMALL(IF(EX$1=Leccion[SubSección],MATCH(ROW(Leccion[SubSección]),ROW(Leccion[SubSección]))),ROW(EW3))),"")</f>
        <v/>
      </c>
      <c r="EY4" s="51" t="str">
        <f t="array" aca="1" ref="EY4" ca="1">IFERROR(INDEX(Leccion[selectorLeccion],SMALL(IF(EY$1=Leccion[SubSección],MATCH(ROW(Leccion[SubSección]),ROW(Leccion[SubSección]))),ROW(EX3))),"")</f>
        <v/>
      </c>
      <c r="EZ4" s="51" t="str">
        <f t="array" aca="1" ref="EZ4" ca="1">IFERROR(INDEX(Leccion[selectorLeccion],SMALL(IF(EZ$1=Leccion[SubSección],MATCH(ROW(Leccion[SubSección]),ROW(Leccion[SubSección]))),ROW(EY3))),"")</f>
        <v/>
      </c>
    </row>
    <row r="5" spans="2:156" x14ac:dyDescent="0.3">
      <c r="B5" s="51" t="str">
        <f t="array" aca="1" ref="B5" ca="1">IFERROR(INDEX(Leccion[selectorLeccion],SMALL(IF(B$1=Leccion[SubSección],MATCH(ROW(Leccion[SubSección]),ROW(Leccion[SubSección]))),ROW(A4))),"")</f>
        <v/>
      </c>
      <c r="C5" s="51" t="str">
        <f t="array" aca="1" ref="C5" ca="1">IFERROR(INDEX(Leccion[selectorLeccion],SMALL(IF(C$1=Leccion[SubSección],MATCH(ROW(Leccion[SubSección]),ROW(Leccion[SubSección]))),ROW(B4))),"")</f>
        <v/>
      </c>
      <c r="D5" s="51" t="str">
        <f t="array" aca="1" ref="D5" ca="1">IFERROR(INDEX(Leccion[selectorLeccion],SMALL(IF(D$1=Leccion[SubSección],MATCH(ROW(Leccion[SubSección]),ROW(Leccion[SubSección]))),ROW(C4))),"")</f>
        <v/>
      </c>
      <c r="E5" s="51" t="str">
        <f t="array" aca="1" ref="E5" ca="1">IFERROR(INDEX(Leccion[selectorLeccion],SMALL(IF(E$1=Leccion[SubSección],MATCH(ROW(Leccion[SubSección]),ROW(Leccion[SubSección]))),ROW(D4))),"")</f>
        <v/>
      </c>
      <c r="F5" s="51" t="str">
        <f t="array" aca="1" ref="F5" ca="1">IFERROR(INDEX(Leccion[selectorLeccion],SMALL(IF(F$1=Leccion[SubSección],MATCH(ROW(Leccion[SubSección]),ROW(Leccion[SubSección]))),ROW(E4))),"")</f>
        <v/>
      </c>
      <c r="G5" s="51" t="str">
        <f t="array" aca="1" ref="G5" ca="1">IFERROR(INDEX(Leccion[selectorLeccion],SMALL(IF(G$1=Leccion[SubSección],MATCH(ROW(Leccion[SubSección]),ROW(Leccion[SubSección]))),ROW(F4))),"")</f>
        <v/>
      </c>
      <c r="H5" s="51" t="str">
        <f t="array" aca="1" ref="H5" ca="1">IFERROR(INDEX(Leccion[selectorLeccion],SMALL(IF(H$1=Leccion[SubSección],MATCH(ROW(Leccion[SubSección]),ROW(Leccion[SubSección]))),ROW(G4))),"")</f>
        <v/>
      </c>
      <c r="I5" s="51" t="str">
        <f t="array" aca="1" ref="I5" ca="1">IFERROR(INDEX(Leccion[selectorLeccion],SMALL(IF(I$1=Leccion[SubSección],MATCH(ROW(Leccion[SubSección]),ROW(Leccion[SubSección]))),ROW(H4))),"")</f>
        <v/>
      </c>
      <c r="J5" s="51" t="str">
        <f t="array" aca="1" ref="J5" ca="1">IFERROR(INDEX(Leccion[selectorLeccion],SMALL(IF(J$1=Leccion[SubSección],MATCH(ROW(Leccion[SubSección]),ROW(Leccion[SubSección]))),ROW(I4))),"")</f>
        <v/>
      </c>
      <c r="K5" s="51" t="str">
        <f t="array" aca="1" ref="K5" ca="1">IFERROR(INDEX(Leccion[selectorLeccion],SMALL(IF(K$1=Leccion[SubSección],MATCH(ROW(Leccion[SubSección]),ROW(Leccion[SubSección]))),ROW(J4))),"")</f>
        <v/>
      </c>
      <c r="L5" s="51" t="str">
        <f t="array" aca="1" ref="L5" ca="1">IFERROR(INDEX(Leccion[selectorLeccion],SMALL(IF(L$1=Leccion[SubSección],MATCH(ROW(Leccion[SubSección]),ROW(Leccion[SubSección]))),ROW(K4))),"")</f>
        <v/>
      </c>
      <c r="M5" s="51" t="str">
        <f t="array" aca="1" ref="M5" ca="1">IFERROR(INDEX(Leccion[selectorLeccion],SMALL(IF(M$1=Leccion[SubSección],MATCH(ROW(Leccion[SubSección]),ROW(Leccion[SubSección]))),ROW(L4))),"")</f>
        <v/>
      </c>
      <c r="N5" s="51" t="str">
        <f t="array" aca="1" ref="N5" ca="1">IFERROR(INDEX(Leccion[selectorLeccion],SMALL(IF(N$1=Leccion[SubSección],MATCH(ROW(Leccion[SubSección]),ROW(Leccion[SubSección]))),ROW(M4))),"")</f>
        <v/>
      </c>
      <c r="O5" s="51" t="str">
        <f t="array" aca="1" ref="O5" ca="1">IFERROR(INDEX(Leccion[selectorLeccion],SMALL(IF(O$1=Leccion[SubSección],MATCH(ROW(Leccion[SubSección]),ROW(Leccion[SubSección]))),ROW(N4))),"")</f>
        <v/>
      </c>
      <c r="P5" s="51" t="str">
        <f t="array" aca="1" ref="P5" ca="1">IFERROR(INDEX(Leccion[selectorLeccion],SMALL(IF(P$1=Leccion[SubSección],MATCH(ROW(Leccion[SubSección]),ROW(Leccion[SubSección]))),ROW(O4))),"")</f>
        <v/>
      </c>
      <c r="Q5" s="51" t="str">
        <f t="array" aca="1" ref="Q5" ca="1">IFERROR(INDEX(Leccion[selectorLeccion],SMALL(IF(Q$1=Leccion[SubSección],MATCH(ROW(Leccion[SubSección]),ROW(Leccion[SubSección]))),ROW(P4))),"")</f>
        <v/>
      </c>
      <c r="R5" s="51" t="str">
        <f t="array" aca="1" ref="R5" ca="1">IFERROR(INDEX(Leccion[selectorLeccion],SMALL(IF(R$1=Leccion[SubSección],MATCH(ROW(Leccion[SubSección]),ROW(Leccion[SubSección]))),ROW(Q4))),"")</f>
        <v/>
      </c>
      <c r="S5" s="51" t="str">
        <f t="array" aca="1" ref="S5" ca="1">IFERROR(INDEX(Leccion[selectorLeccion],SMALL(IF(S$1=Leccion[SubSección],MATCH(ROW(Leccion[SubSección]),ROW(Leccion[SubSección]))),ROW(R4))),"")</f>
        <v/>
      </c>
      <c r="T5" s="51" t="str">
        <f t="array" aca="1" ref="T5" ca="1">IFERROR(INDEX(Leccion[selectorLeccion],SMALL(IF(T$1=Leccion[SubSección],MATCH(ROW(Leccion[SubSección]),ROW(Leccion[SubSección]))),ROW(S4))),"")</f>
        <v/>
      </c>
      <c r="U5" s="51" t="str">
        <f t="array" aca="1" ref="U5" ca="1">IFERROR(INDEX(Leccion[selectorLeccion],SMALL(IF(U$1=Leccion[SubSección],MATCH(ROW(Leccion[SubSección]),ROW(Leccion[SubSección]))),ROW(T4))),"")</f>
        <v/>
      </c>
      <c r="V5" s="51" t="str">
        <f t="array" aca="1" ref="V5" ca="1">IFERROR(INDEX(Leccion[selectorLeccion],SMALL(IF(V$1=Leccion[SubSección],MATCH(ROW(Leccion[SubSección]),ROW(Leccion[SubSección]))),ROW(U4))),"")</f>
        <v/>
      </c>
      <c r="W5" s="51" t="str">
        <f t="array" aca="1" ref="W5" ca="1">IFERROR(INDEX(Leccion[selectorLeccion],SMALL(IF(W$1=Leccion[SubSección],MATCH(ROW(Leccion[SubSección]),ROW(Leccion[SubSección]))),ROW(V4))),"")</f>
        <v/>
      </c>
      <c r="X5" s="51" t="str">
        <f t="array" aca="1" ref="X5" ca="1">IFERROR(INDEX(Leccion[selectorLeccion],SMALL(IF(X$1=Leccion[SubSección],MATCH(ROW(Leccion[SubSección]),ROW(Leccion[SubSección]))),ROW(W4))),"")</f>
        <v/>
      </c>
      <c r="Y5" s="51" t="str">
        <f t="array" aca="1" ref="Y5" ca="1">IFERROR(INDEX(Leccion[selectorLeccion],SMALL(IF(Y$1=Leccion[SubSección],MATCH(ROW(Leccion[SubSección]),ROW(Leccion[SubSección]))),ROW(X4))),"")</f>
        <v/>
      </c>
      <c r="Z5" s="51" t="str">
        <f t="array" aca="1" ref="Z5" ca="1">IFERROR(INDEX(Leccion[selectorLeccion],SMALL(IF(Z$1=Leccion[SubSección],MATCH(ROW(Leccion[SubSección]),ROW(Leccion[SubSección]))),ROW(Y4))),"")</f>
        <v/>
      </c>
      <c r="AA5" s="51" t="str">
        <f t="array" aca="1" ref="AA5" ca="1">IFERROR(INDEX(Leccion[selectorLeccion],SMALL(IF(AA$1=Leccion[SubSección],MATCH(ROW(Leccion[SubSección]),ROW(Leccion[SubSección]))),ROW(Z4))),"")</f>
        <v/>
      </c>
      <c r="AB5" s="51" t="str">
        <f t="array" aca="1" ref="AB5" ca="1">IFERROR(INDEX(Leccion[selectorLeccion],SMALL(IF(AB$1=Leccion[SubSección],MATCH(ROW(Leccion[SubSección]),ROW(Leccion[SubSección]))),ROW(AA4))),"")</f>
        <v/>
      </c>
      <c r="AC5" s="51" t="str">
        <f t="array" aca="1" ref="AC5" ca="1">IFERROR(INDEX(Leccion[selectorLeccion],SMALL(IF(AC$1=Leccion[SubSección],MATCH(ROW(Leccion[SubSección]),ROW(Leccion[SubSección]))),ROW(AB4))),"")</f>
        <v/>
      </c>
      <c r="AD5" s="51" t="str">
        <f t="array" aca="1" ref="AD5" ca="1">IFERROR(INDEX(Leccion[selectorLeccion],SMALL(IF(AD$1=Leccion[SubSección],MATCH(ROW(Leccion[SubSección]),ROW(Leccion[SubSección]))),ROW(AC4))),"")</f>
        <v/>
      </c>
      <c r="AE5" s="51" t="str">
        <f t="array" aca="1" ref="AE5" ca="1">IFERROR(INDEX(Leccion[selectorLeccion],SMALL(IF(AE$1=Leccion[SubSección],MATCH(ROW(Leccion[SubSección]),ROW(Leccion[SubSección]))),ROW(AD4))),"")</f>
        <v/>
      </c>
      <c r="AF5" s="51" t="str">
        <f t="array" aca="1" ref="AF5" ca="1">IFERROR(INDEX(Leccion[selectorLeccion],SMALL(IF(AF$1=Leccion[SubSección],MATCH(ROW(Leccion[SubSección]),ROW(Leccion[SubSección]))),ROW(AE4))),"")</f>
        <v/>
      </c>
      <c r="AG5" s="51" t="str">
        <f t="array" aca="1" ref="AG5" ca="1">IFERROR(INDEX(Leccion[selectorLeccion],SMALL(IF(AG$1=Leccion[SubSección],MATCH(ROW(Leccion[SubSección]),ROW(Leccion[SubSección]))),ROW(AF4))),"")</f>
        <v/>
      </c>
      <c r="AH5" s="51" t="str">
        <f t="array" aca="1" ref="AH5" ca="1">IFERROR(INDEX(Leccion[selectorLeccion],SMALL(IF(AH$1=Leccion[SubSección],MATCH(ROW(Leccion[SubSección]),ROW(Leccion[SubSección]))),ROW(AG4))),"")</f>
        <v/>
      </c>
      <c r="AI5" s="51" t="str">
        <f t="array" aca="1" ref="AI5" ca="1">IFERROR(INDEX(Leccion[selectorLeccion],SMALL(IF(AI$1=Leccion[SubSección],MATCH(ROW(Leccion[SubSección]),ROW(Leccion[SubSección]))),ROW(AH4))),"")</f>
        <v/>
      </c>
      <c r="AJ5" s="51" t="str">
        <f t="array" aca="1" ref="AJ5" ca="1">IFERROR(INDEX(Leccion[selectorLeccion],SMALL(IF(AJ$1=Leccion[SubSección],MATCH(ROW(Leccion[SubSección]),ROW(Leccion[SubSección]))),ROW(AI4))),"")</f>
        <v/>
      </c>
      <c r="AK5" s="51" t="str">
        <f t="array" aca="1" ref="AK5" ca="1">IFERROR(INDEX(Leccion[selectorLeccion],SMALL(IF(AK$1=Leccion[SubSección],MATCH(ROW(Leccion[SubSección]),ROW(Leccion[SubSección]))),ROW(AJ4))),"")</f>
        <v/>
      </c>
      <c r="AL5" s="51" t="str">
        <f t="array" aca="1" ref="AL5" ca="1">IFERROR(INDEX(Leccion[selectorLeccion],SMALL(IF(AL$1=Leccion[SubSección],MATCH(ROW(Leccion[SubSección]),ROW(Leccion[SubSección]))),ROW(AK4))),"")</f>
        <v/>
      </c>
      <c r="AM5" s="51" t="str">
        <f t="array" aca="1" ref="AM5" ca="1">IFERROR(INDEX(Leccion[selectorLeccion],SMALL(IF(AM$1=Leccion[SubSección],MATCH(ROW(Leccion[SubSección]),ROW(Leccion[SubSección]))),ROW(AL4))),"")</f>
        <v/>
      </c>
      <c r="AN5" s="51" t="str">
        <f t="array" aca="1" ref="AN5" ca="1">IFERROR(INDEX(Leccion[selectorLeccion],SMALL(IF(AN$1=Leccion[SubSección],MATCH(ROW(Leccion[SubSección]),ROW(Leccion[SubSección]))),ROW(AM4))),"")</f>
        <v/>
      </c>
      <c r="AO5" s="51" t="str">
        <f t="array" aca="1" ref="AO5" ca="1">IFERROR(INDEX(Leccion[selectorLeccion],SMALL(IF(AO$1=Leccion[SubSección],MATCH(ROW(Leccion[SubSección]),ROW(Leccion[SubSección]))),ROW(AN4))),"")</f>
        <v/>
      </c>
      <c r="AP5" s="51" t="str">
        <f t="array" aca="1" ref="AP5" ca="1">IFERROR(INDEX(Leccion[selectorLeccion],SMALL(IF(AP$1=Leccion[SubSección],MATCH(ROW(Leccion[SubSección]),ROW(Leccion[SubSección]))),ROW(AO4))),"")</f>
        <v/>
      </c>
      <c r="AQ5" s="51" t="str">
        <f t="array" aca="1" ref="AQ5" ca="1">IFERROR(INDEX(Leccion[selectorLeccion],SMALL(IF(AQ$1=Leccion[SubSección],MATCH(ROW(Leccion[SubSección]),ROW(Leccion[SubSección]))),ROW(AP4))),"")</f>
        <v/>
      </c>
      <c r="AR5" s="51" t="str">
        <f t="array" aca="1" ref="AR5" ca="1">IFERROR(INDEX(Leccion[selectorLeccion],SMALL(IF(AR$1=Leccion[SubSección],MATCH(ROW(Leccion[SubSección]),ROW(Leccion[SubSección]))),ROW(AQ4))),"")</f>
        <v/>
      </c>
      <c r="AS5" s="51" t="str">
        <f t="array" aca="1" ref="AS5" ca="1">IFERROR(INDEX(Leccion[selectorLeccion],SMALL(IF(AS$1=Leccion[SubSección],MATCH(ROW(Leccion[SubSección]),ROW(Leccion[SubSección]))),ROW(AR4))),"")</f>
        <v/>
      </c>
      <c r="AT5" s="51" t="str">
        <f t="array" aca="1" ref="AT5" ca="1">IFERROR(INDEX(Leccion[selectorLeccion],SMALL(IF(AT$1=Leccion[SubSección],MATCH(ROW(Leccion[SubSección]),ROW(Leccion[SubSección]))),ROW(AS4))),"")</f>
        <v/>
      </c>
      <c r="AU5" s="51" t="str">
        <f t="array" aca="1" ref="AU5" ca="1">IFERROR(INDEX(Leccion[selectorLeccion],SMALL(IF(AU$1=Leccion[SubSección],MATCH(ROW(Leccion[SubSección]),ROW(Leccion[SubSección]))),ROW(AT4))),"")</f>
        <v/>
      </c>
      <c r="AV5" s="51" t="str">
        <f t="array" aca="1" ref="AV5" ca="1">IFERROR(INDEX(Leccion[selectorLeccion],SMALL(IF(AV$1=Leccion[SubSección],MATCH(ROW(Leccion[SubSección]),ROW(Leccion[SubSección]))),ROW(AU4))),"")</f>
        <v/>
      </c>
      <c r="AW5" s="51" t="str">
        <f t="array" aca="1" ref="AW5" ca="1">IFERROR(INDEX(Leccion[selectorLeccion],SMALL(IF(AW$1=Leccion[SubSección],MATCH(ROW(Leccion[SubSección]),ROW(Leccion[SubSección]))),ROW(AV4))),"")</f>
        <v/>
      </c>
      <c r="AX5" s="51" t="str">
        <f t="array" aca="1" ref="AX5" ca="1">IFERROR(INDEX(Leccion[selectorLeccion],SMALL(IF(AX$1=Leccion[SubSección],MATCH(ROW(Leccion[SubSección]),ROW(Leccion[SubSección]))),ROW(AW4))),"")</f>
        <v/>
      </c>
      <c r="AY5" s="51" t="str">
        <f t="array" aca="1" ref="AY5" ca="1">IFERROR(INDEX(Leccion[selectorLeccion],SMALL(IF(AY$1=Leccion[SubSección],MATCH(ROW(Leccion[SubSección]),ROW(Leccion[SubSección]))),ROW(AX4))),"")</f>
        <v/>
      </c>
      <c r="AZ5" s="51" t="str">
        <f t="array" aca="1" ref="AZ5" ca="1">IFERROR(INDEX(Leccion[selectorLeccion],SMALL(IF(AZ$1=Leccion[SubSección],MATCH(ROW(Leccion[SubSección]),ROW(Leccion[SubSección]))),ROW(AY4))),"")</f>
        <v/>
      </c>
      <c r="BA5" s="51" t="str">
        <f t="array" aca="1" ref="BA5" ca="1">IFERROR(INDEX(Leccion[selectorLeccion],SMALL(IF(BA$1=Leccion[SubSección],MATCH(ROW(Leccion[SubSección]),ROW(Leccion[SubSección]))),ROW(AZ4))),"")</f>
        <v/>
      </c>
      <c r="BB5" s="51" t="str">
        <f t="array" aca="1" ref="BB5" ca="1">IFERROR(INDEX(Leccion[selectorLeccion],SMALL(IF(BB$1=Leccion[SubSección],MATCH(ROW(Leccion[SubSección]),ROW(Leccion[SubSección]))),ROW(BA4))),"")</f>
        <v/>
      </c>
      <c r="BC5" s="51" t="str">
        <f t="array" aca="1" ref="BC5" ca="1">IFERROR(INDEX(Leccion[selectorLeccion],SMALL(IF(BC$1=Leccion[SubSección],MATCH(ROW(Leccion[SubSección]),ROW(Leccion[SubSección]))),ROW(BB4))),"")</f>
        <v/>
      </c>
      <c r="BD5" s="51" t="str">
        <f t="array" aca="1" ref="BD5" ca="1">IFERROR(INDEX(Leccion[selectorLeccion],SMALL(IF(BD$1=Leccion[SubSección],MATCH(ROW(Leccion[SubSección]),ROW(Leccion[SubSección]))),ROW(BC4))),"")</f>
        <v/>
      </c>
      <c r="BE5" s="51" t="str">
        <f t="array" aca="1" ref="BE5" ca="1">IFERROR(INDEX(Leccion[selectorLeccion],SMALL(IF(BE$1=Leccion[SubSección],MATCH(ROW(Leccion[SubSección]),ROW(Leccion[SubSección]))),ROW(BD4))),"")</f>
        <v/>
      </c>
      <c r="BF5" s="51" t="str">
        <f t="array" aca="1" ref="BF5" ca="1">IFERROR(INDEX(Leccion[selectorLeccion],SMALL(IF(BF$1=Leccion[SubSección],MATCH(ROW(Leccion[SubSección]),ROW(Leccion[SubSección]))),ROW(BE4))),"")</f>
        <v/>
      </c>
      <c r="BG5" s="51" t="str">
        <f t="array" aca="1" ref="BG5" ca="1">IFERROR(INDEX(Leccion[selectorLeccion],SMALL(IF(BG$1=Leccion[SubSección],MATCH(ROW(Leccion[SubSección]),ROW(Leccion[SubSección]))),ROW(BF4))),"")</f>
        <v/>
      </c>
      <c r="BH5" s="51" t="str">
        <f t="array" aca="1" ref="BH5" ca="1">IFERROR(INDEX(Leccion[selectorLeccion],SMALL(IF(BH$1=Leccion[SubSección],MATCH(ROW(Leccion[SubSección]),ROW(Leccion[SubSección]))),ROW(BG4))),"")</f>
        <v/>
      </c>
      <c r="BI5" s="51" t="str">
        <f t="array" aca="1" ref="BI5" ca="1">IFERROR(INDEX(Leccion[selectorLeccion],SMALL(IF(BI$1=Leccion[SubSección],MATCH(ROW(Leccion[SubSección]),ROW(Leccion[SubSección]))),ROW(BH4))),"")</f>
        <v/>
      </c>
      <c r="BJ5" s="51" t="str">
        <f t="array" aca="1" ref="BJ5" ca="1">IFERROR(INDEX(Leccion[selectorLeccion],SMALL(IF(BJ$1=Leccion[SubSección],MATCH(ROW(Leccion[SubSección]),ROW(Leccion[SubSección]))),ROW(BI4))),"")</f>
        <v/>
      </c>
      <c r="BK5" s="51" t="str">
        <f t="array" aca="1" ref="BK5" ca="1">IFERROR(INDEX(Leccion[selectorLeccion],SMALL(IF(BK$1=Leccion[SubSección],MATCH(ROW(Leccion[SubSección]),ROW(Leccion[SubSección]))),ROW(BJ4))),"")</f>
        <v/>
      </c>
      <c r="BL5" s="51" t="str">
        <f t="array" aca="1" ref="BL5" ca="1">IFERROR(INDEX(Leccion[selectorLeccion],SMALL(IF(BL$1=Leccion[SubSección],MATCH(ROW(Leccion[SubSección]),ROW(Leccion[SubSección]))),ROW(BK4))),"")</f>
        <v/>
      </c>
      <c r="BM5" s="51" t="str">
        <f t="array" aca="1" ref="BM5" ca="1">IFERROR(INDEX(Leccion[selectorLeccion],SMALL(IF(BM$1=Leccion[SubSección],MATCH(ROW(Leccion[SubSección]),ROW(Leccion[SubSección]))),ROW(BL4))),"")</f>
        <v/>
      </c>
      <c r="BN5" s="51" t="str">
        <f t="array" aca="1" ref="BN5" ca="1">IFERROR(INDEX(Leccion[selectorLeccion],SMALL(IF(BN$1=Leccion[SubSección],MATCH(ROW(Leccion[SubSección]),ROW(Leccion[SubSección]))),ROW(BM4))),"")</f>
        <v/>
      </c>
      <c r="BO5" s="51" t="str">
        <f t="array" aca="1" ref="BO5" ca="1">IFERROR(INDEX(Leccion[selectorLeccion],SMALL(IF(BO$1=Leccion[SubSección],MATCH(ROW(Leccion[SubSección]),ROW(Leccion[SubSección]))),ROW(BN4))),"")</f>
        <v/>
      </c>
      <c r="BP5" s="51" t="str">
        <f t="array" aca="1" ref="BP5" ca="1">IFERROR(INDEX(Leccion[selectorLeccion],SMALL(IF(BP$1=Leccion[SubSección],MATCH(ROW(Leccion[SubSección]),ROW(Leccion[SubSección]))),ROW(BO4))),"")</f>
        <v/>
      </c>
      <c r="BQ5" s="51" t="str">
        <f t="array" aca="1" ref="BQ5" ca="1">IFERROR(INDEX(Leccion[selectorLeccion],SMALL(IF(BQ$1=Leccion[SubSección],MATCH(ROW(Leccion[SubSección]),ROW(Leccion[SubSección]))),ROW(BP4))),"")</f>
        <v/>
      </c>
      <c r="BR5" s="51" t="str">
        <f t="array" aca="1" ref="BR5" ca="1">IFERROR(INDEX(Leccion[selectorLeccion],SMALL(IF(BR$1=Leccion[SubSección],MATCH(ROW(Leccion[SubSección]),ROW(Leccion[SubSección]))),ROW(BQ4))),"")</f>
        <v/>
      </c>
      <c r="BS5" s="51" t="str">
        <f t="array" aca="1" ref="BS5" ca="1">IFERROR(INDEX(Leccion[selectorLeccion],SMALL(IF(BS$1=Leccion[SubSección],MATCH(ROW(Leccion[SubSección]),ROW(Leccion[SubSección]))),ROW(BR4))),"")</f>
        <v/>
      </c>
      <c r="BT5" s="51" t="str">
        <f t="array" aca="1" ref="BT5" ca="1">IFERROR(INDEX(Leccion[selectorLeccion],SMALL(IF(BT$1=Leccion[SubSección],MATCH(ROW(Leccion[SubSección]),ROW(Leccion[SubSección]))),ROW(BS4))),"")</f>
        <v/>
      </c>
      <c r="BU5" s="51" t="str">
        <f t="array" aca="1" ref="BU5" ca="1">IFERROR(INDEX(Leccion[selectorLeccion],SMALL(IF(BU$1=Leccion[SubSección],MATCH(ROW(Leccion[SubSección]),ROW(Leccion[SubSección]))),ROW(BT4))),"")</f>
        <v/>
      </c>
      <c r="BV5" s="51" t="str">
        <f t="array" aca="1" ref="BV5" ca="1">IFERROR(INDEX(Leccion[selectorLeccion],SMALL(IF(BV$1=Leccion[SubSección],MATCH(ROW(Leccion[SubSección]),ROW(Leccion[SubSección]))),ROW(BU4))),"")</f>
        <v/>
      </c>
      <c r="BW5" s="51" t="str">
        <f t="array" aca="1" ref="BW5" ca="1">IFERROR(INDEX(Leccion[selectorLeccion],SMALL(IF(BW$1=Leccion[SubSección],MATCH(ROW(Leccion[SubSección]),ROW(Leccion[SubSección]))),ROW(BV4))),"")</f>
        <v/>
      </c>
      <c r="BX5" s="51" t="str">
        <f t="array" aca="1" ref="BX5" ca="1">IFERROR(INDEX(Leccion[selectorLeccion],SMALL(IF(BX$1=Leccion[SubSección],MATCH(ROW(Leccion[SubSección]),ROW(Leccion[SubSección]))),ROW(BW4))),"")</f>
        <v/>
      </c>
      <c r="BY5" s="51" t="str">
        <f t="array" aca="1" ref="BY5" ca="1">IFERROR(INDEX(Leccion[selectorLeccion],SMALL(IF(BY$1=Leccion[SubSección],MATCH(ROW(Leccion[SubSección]),ROW(Leccion[SubSección]))),ROW(BX4))),"")</f>
        <v/>
      </c>
      <c r="BZ5" s="51" t="str">
        <f t="array" aca="1" ref="BZ5" ca="1">IFERROR(INDEX(Leccion[selectorLeccion],SMALL(IF(BZ$1=Leccion[SubSección],MATCH(ROW(Leccion[SubSección]),ROW(Leccion[SubSección]))),ROW(BY4))),"")</f>
        <v/>
      </c>
      <c r="CA5" s="51" t="str">
        <f t="array" aca="1" ref="CA5" ca="1">IFERROR(INDEX(Leccion[selectorLeccion],SMALL(IF(CA$1=Leccion[SubSección],MATCH(ROW(Leccion[SubSección]),ROW(Leccion[SubSección]))),ROW(BZ4))),"")</f>
        <v/>
      </c>
      <c r="CB5" s="51" t="str">
        <f t="array" aca="1" ref="CB5" ca="1">IFERROR(INDEX(Leccion[selectorLeccion],SMALL(IF(CB$1=Leccion[SubSección],MATCH(ROW(Leccion[SubSección]),ROW(Leccion[SubSección]))),ROW(CA4))),"")</f>
        <v/>
      </c>
      <c r="CC5" s="51" t="str">
        <f t="array" aca="1" ref="CC5" ca="1">IFERROR(INDEX(Leccion[selectorLeccion],SMALL(IF(CC$1=Leccion[SubSección],MATCH(ROW(Leccion[SubSección]),ROW(Leccion[SubSección]))),ROW(CB4))),"")</f>
        <v/>
      </c>
      <c r="CD5" s="51" t="str">
        <f t="array" aca="1" ref="CD5" ca="1">IFERROR(INDEX(Leccion[selectorLeccion],SMALL(IF(CD$1=Leccion[SubSección],MATCH(ROW(Leccion[SubSección]),ROW(Leccion[SubSección]))),ROW(CC4))),"")</f>
        <v/>
      </c>
      <c r="CE5" s="51" t="str">
        <f t="array" aca="1" ref="CE5" ca="1">IFERROR(INDEX(Leccion[selectorLeccion],SMALL(IF(CE$1=Leccion[SubSección],MATCH(ROW(Leccion[SubSección]),ROW(Leccion[SubSección]))),ROW(CD4))),"")</f>
        <v/>
      </c>
      <c r="CF5" s="51" t="str">
        <f t="array" aca="1" ref="CF5" ca="1">IFERROR(INDEX(Leccion[selectorLeccion],SMALL(IF(CF$1=Leccion[SubSección],MATCH(ROW(Leccion[SubSección]),ROW(Leccion[SubSección]))),ROW(CE4))),"")</f>
        <v/>
      </c>
      <c r="CG5" s="51" t="str">
        <f t="array" aca="1" ref="CG5" ca="1">IFERROR(INDEX(Leccion[selectorLeccion],SMALL(IF(CG$1=Leccion[SubSección],MATCH(ROW(Leccion[SubSección]),ROW(Leccion[SubSección]))),ROW(CF4))),"")</f>
        <v/>
      </c>
      <c r="CH5" s="51" t="str">
        <f t="array" aca="1" ref="CH5" ca="1">IFERROR(INDEX(Leccion[selectorLeccion],SMALL(IF(CH$1=Leccion[SubSección],MATCH(ROW(Leccion[SubSección]),ROW(Leccion[SubSección]))),ROW(CG4))),"")</f>
        <v/>
      </c>
      <c r="CI5" s="51" t="str">
        <f t="array" aca="1" ref="CI5" ca="1">IFERROR(INDEX(Leccion[selectorLeccion],SMALL(IF(CI$1=Leccion[SubSección],MATCH(ROW(Leccion[SubSección]),ROW(Leccion[SubSección]))),ROW(CH4))),"")</f>
        <v/>
      </c>
      <c r="CJ5" s="51" t="str">
        <f t="array" aca="1" ref="CJ5" ca="1">IFERROR(INDEX(Leccion[selectorLeccion],SMALL(IF(CJ$1=Leccion[SubSección],MATCH(ROW(Leccion[SubSección]),ROW(Leccion[SubSección]))),ROW(CI4))),"")</f>
        <v/>
      </c>
      <c r="CK5" s="51" t="str">
        <f t="array" aca="1" ref="CK5" ca="1">IFERROR(INDEX(Leccion[selectorLeccion],SMALL(IF(CK$1=Leccion[SubSección],MATCH(ROW(Leccion[SubSección]),ROW(Leccion[SubSección]))),ROW(CJ4))),"")</f>
        <v/>
      </c>
      <c r="CL5" s="51" t="str">
        <f t="array" aca="1" ref="CL5" ca="1">IFERROR(INDEX(Leccion[selectorLeccion],SMALL(IF(CL$1=Leccion[SubSección],MATCH(ROW(Leccion[SubSección]),ROW(Leccion[SubSección]))),ROW(CK4))),"")</f>
        <v/>
      </c>
      <c r="CM5" s="51" t="str">
        <f t="array" aca="1" ref="CM5" ca="1">IFERROR(INDEX(Leccion[selectorLeccion],SMALL(IF(CM$1=Leccion[SubSección],MATCH(ROW(Leccion[SubSección]),ROW(Leccion[SubSección]))),ROW(CL4))),"")</f>
        <v/>
      </c>
      <c r="CN5" s="51" t="str">
        <f t="array" aca="1" ref="CN5" ca="1">IFERROR(INDEX(Leccion[selectorLeccion],SMALL(IF(CN$1=Leccion[SubSección],MATCH(ROW(Leccion[SubSección]),ROW(Leccion[SubSección]))),ROW(CM4))),"")</f>
        <v/>
      </c>
      <c r="CO5" s="51" t="str">
        <f t="array" aca="1" ref="CO5" ca="1">IFERROR(INDEX(Leccion[selectorLeccion],SMALL(IF(CO$1=Leccion[SubSección],MATCH(ROW(Leccion[SubSección]),ROW(Leccion[SubSección]))),ROW(CN4))),"")</f>
        <v/>
      </c>
      <c r="CP5" s="51" t="str">
        <f t="array" aca="1" ref="CP5" ca="1">IFERROR(INDEX(Leccion[selectorLeccion],SMALL(IF(CP$1=Leccion[SubSección],MATCH(ROW(Leccion[SubSección]),ROW(Leccion[SubSección]))),ROW(CO4))),"")</f>
        <v/>
      </c>
      <c r="CQ5" s="51" t="str">
        <f t="array" aca="1" ref="CQ5" ca="1">IFERROR(INDEX(Leccion[selectorLeccion],SMALL(IF(CQ$1=Leccion[SubSección],MATCH(ROW(Leccion[SubSección]),ROW(Leccion[SubSección]))),ROW(CP4))),"")</f>
        <v/>
      </c>
      <c r="CR5" s="51" t="str">
        <f t="array" aca="1" ref="CR5" ca="1">IFERROR(INDEX(Leccion[selectorLeccion],SMALL(IF(CR$1=Leccion[SubSección],MATCH(ROW(Leccion[SubSección]),ROW(Leccion[SubSección]))),ROW(CQ4))),"")</f>
        <v/>
      </c>
      <c r="CS5" s="51" t="str">
        <f t="array" aca="1" ref="CS5" ca="1">IFERROR(INDEX(Leccion[selectorLeccion],SMALL(IF(CS$1=Leccion[SubSección],MATCH(ROW(Leccion[SubSección]),ROW(Leccion[SubSección]))),ROW(CR4))),"")</f>
        <v/>
      </c>
      <c r="CT5" s="51" t="str">
        <f t="array" aca="1" ref="CT5" ca="1">IFERROR(INDEX(Leccion[selectorLeccion],SMALL(IF(CT$1=Leccion[SubSección],MATCH(ROW(Leccion[SubSección]),ROW(Leccion[SubSección]))),ROW(CS4))),"")</f>
        <v/>
      </c>
      <c r="CU5" s="51" t="str">
        <f t="array" aca="1" ref="CU5" ca="1">IFERROR(INDEX(Leccion[selectorLeccion],SMALL(IF(CU$1=Leccion[SubSección],MATCH(ROW(Leccion[SubSección]),ROW(Leccion[SubSección]))),ROW(CT4))),"")</f>
        <v/>
      </c>
      <c r="CV5" s="51" t="str">
        <f t="array" aca="1" ref="CV5" ca="1">IFERROR(INDEX(Leccion[selectorLeccion],SMALL(IF(CV$1=Leccion[SubSección],MATCH(ROW(Leccion[SubSección]),ROW(Leccion[SubSección]))),ROW(CU4))),"")</f>
        <v/>
      </c>
      <c r="CW5" s="51" t="str">
        <f t="array" aca="1" ref="CW5" ca="1">IFERROR(INDEX(Leccion[selectorLeccion],SMALL(IF(CW$1=Leccion[SubSección],MATCH(ROW(Leccion[SubSección]),ROW(Leccion[SubSección]))),ROW(CV4))),"")</f>
        <v/>
      </c>
      <c r="CX5" s="51" t="str">
        <f t="array" aca="1" ref="CX5" ca="1">IFERROR(INDEX(Leccion[selectorLeccion],SMALL(IF(CX$1=Leccion[SubSección],MATCH(ROW(Leccion[SubSección]),ROW(Leccion[SubSección]))),ROW(CW4))),"")</f>
        <v/>
      </c>
      <c r="CY5" s="51" t="str">
        <f t="array" aca="1" ref="CY5" ca="1">IFERROR(INDEX(Leccion[selectorLeccion],SMALL(IF(CY$1=Leccion[SubSección],MATCH(ROW(Leccion[SubSección]),ROW(Leccion[SubSección]))),ROW(CX4))),"")</f>
        <v/>
      </c>
      <c r="CZ5" s="51" t="str">
        <f t="array" aca="1" ref="CZ5" ca="1">IFERROR(INDEX(Leccion[selectorLeccion],SMALL(IF(CZ$1=Leccion[SubSección],MATCH(ROW(Leccion[SubSección]),ROW(Leccion[SubSección]))),ROW(CY4))),"")</f>
        <v/>
      </c>
      <c r="DA5" s="51" t="str">
        <f t="array" aca="1" ref="DA5" ca="1">IFERROR(INDEX(Leccion[selectorLeccion],SMALL(IF(DA$1=Leccion[SubSección],MATCH(ROW(Leccion[SubSección]),ROW(Leccion[SubSección]))),ROW(CZ4))),"")</f>
        <v/>
      </c>
      <c r="DB5" s="51" t="str">
        <f t="array" aca="1" ref="DB5" ca="1">IFERROR(INDEX(Leccion[selectorLeccion],SMALL(IF(DB$1=Leccion[SubSección],MATCH(ROW(Leccion[SubSección]),ROW(Leccion[SubSección]))),ROW(DA4))),"")</f>
        <v/>
      </c>
      <c r="DC5" s="51" t="str">
        <f t="array" aca="1" ref="DC5" ca="1">IFERROR(INDEX(Leccion[selectorLeccion],SMALL(IF(DC$1=Leccion[SubSección],MATCH(ROW(Leccion[SubSección]),ROW(Leccion[SubSección]))),ROW(DB4))),"")</f>
        <v/>
      </c>
      <c r="DD5" s="51" t="str">
        <f t="array" aca="1" ref="DD5" ca="1">IFERROR(INDEX(Leccion[selectorLeccion],SMALL(IF(DD$1=Leccion[SubSección],MATCH(ROW(Leccion[SubSección]),ROW(Leccion[SubSección]))),ROW(DC4))),"")</f>
        <v/>
      </c>
      <c r="DE5" s="51" t="str">
        <f t="array" aca="1" ref="DE5" ca="1">IFERROR(INDEX(Leccion[selectorLeccion],SMALL(IF(DE$1=Leccion[SubSección],MATCH(ROW(Leccion[SubSección]),ROW(Leccion[SubSección]))),ROW(DD4))),"")</f>
        <v/>
      </c>
      <c r="DF5" s="51" t="str">
        <f t="array" aca="1" ref="DF5" ca="1">IFERROR(INDEX(Leccion[selectorLeccion],SMALL(IF(DF$1=Leccion[SubSección],MATCH(ROW(Leccion[SubSección]),ROW(Leccion[SubSección]))),ROW(DE4))),"")</f>
        <v/>
      </c>
      <c r="DG5" s="51" t="str">
        <f t="array" aca="1" ref="DG5" ca="1">IFERROR(INDEX(Leccion[selectorLeccion],SMALL(IF(DG$1=Leccion[SubSección],MATCH(ROW(Leccion[SubSección]),ROW(Leccion[SubSección]))),ROW(DF4))),"")</f>
        <v/>
      </c>
      <c r="DH5" s="51" t="str">
        <f t="array" aca="1" ref="DH5" ca="1">IFERROR(INDEX(Leccion[selectorLeccion],SMALL(IF(DH$1=Leccion[SubSección],MATCH(ROW(Leccion[SubSección]),ROW(Leccion[SubSección]))),ROW(DG4))),"")</f>
        <v/>
      </c>
      <c r="DI5" s="51" t="str">
        <f t="array" aca="1" ref="DI5" ca="1">IFERROR(INDEX(Leccion[selectorLeccion],SMALL(IF(DI$1=Leccion[SubSección],MATCH(ROW(Leccion[SubSección]),ROW(Leccion[SubSección]))),ROW(DH4))),"")</f>
        <v/>
      </c>
      <c r="DJ5" s="51" t="str">
        <f t="array" aca="1" ref="DJ5" ca="1">IFERROR(INDEX(Leccion[selectorLeccion],SMALL(IF(DJ$1=Leccion[SubSección],MATCH(ROW(Leccion[SubSección]),ROW(Leccion[SubSección]))),ROW(DI4))),"")</f>
        <v/>
      </c>
      <c r="DK5" s="51" t="str">
        <f t="array" aca="1" ref="DK5" ca="1">IFERROR(INDEX(Leccion[selectorLeccion],SMALL(IF(DK$1=Leccion[SubSección],MATCH(ROW(Leccion[SubSección]),ROW(Leccion[SubSección]))),ROW(DJ4))),"")</f>
        <v/>
      </c>
      <c r="DL5" s="51" t="str">
        <f t="array" aca="1" ref="DL5" ca="1">IFERROR(INDEX(Leccion[selectorLeccion],SMALL(IF(DL$1=Leccion[SubSección],MATCH(ROW(Leccion[SubSección]),ROW(Leccion[SubSección]))),ROW(DK4))),"")</f>
        <v/>
      </c>
      <c r="DM5" s="51" t="str">
        <f t="array" aca="1" ref="DM5" ca="1">IFERROR(INDEX(Leccion[selectorLeccion],SMALL(IF(DM$1=Leccion[SubSección],MATCH(ROW(Leccion[SubSección]),ROW(Leccion[SubSección]))),ROW(DL4))),"")</f>
        <v/>
      </c>
      <c r="DN5" s="51" t="str">
        <f t="array" aca="1" ref="DN5" ca="1">IFERROR(INDEX(Leccion[selectorLeccion],SMALL(IF(DN$1=Leccion[SubSección],MATCH(ROW(Leccion[SubSección]),ROW(Leccion[SubSección]))),ROW(DM4))),"")</f>
        <v/>
      </c>
      <c r="DO5" s="51" t="str">
        <f t="array" aca="1" ref="DO5" ca="1">IFERROR(INDEX(Leccion[selectorLeccion],SMALL(IF(DO$1=Leccion[SubSección],MATCH(ROW(Leccion[SubSección]),ROW(Leccion[SubSección]))),ROW(DN4))),"")</f>
        <v/>
      </c>
      <c r="DP5" s="51" t="str">
        <f t="array" aca="1" ref="DP5" ca="1">IFERROR(INDEX(Leccion[selectorLeccion],SMALL(IF(DP$1=Leccion[SubSección],MATCH(ROW(Leccion[SubSección]),ROW(Leccion[SubSección]))),ROW(DO4))),"")</f>
        <v/>
      </c>
      <c r="DQ5" s="51" t="str">
        <f t="array" aca="1" ref="DQ5" ca="1">IFERROR(INDEX(Leccion[selectorLeccion],SMALL(IF(DQ$1=Leccion[SubSección],MATCH(ROW(Leccion[SubSección]),ROW(Leccion[SubSección]))),ROW(DP4))),"")</f>
        <v/>
      </c>
      <c r="DR5" s="51" t="str">
        <f t="array" aca="1" ref="DR5" ca="1">IFERROR(INDEX(Leccion[selectorLeccion],SMALL(IF(DR$1=Leccion[SubSección],MATCH(ROW(Leccion[SubSección]),ROW(Leccion[SubSección]))),ROW(DQ4))),"")</f>
        <v/>
      </c>
      <c r="DS5" s="51" t="str">
        <f t="array" aca="1" ref="DS5" ca="1">IFERROR(INDEX(Leccion[selectorLeccion],SMALL(IF(DS$1=Leccion[SubSección],MATCH(ROW(Leccion[SubSección]),ROW(Leccion[SubSección]))),ROW(DR4))),"")</f>
        <v/>
      </c>
      <c r="DT5" s="51" t="str">
        <f t="array" aca="1" ref="DT5" ca="1">IFERROR(INDEX(Leccion[selectorLeccion],SMALL(IF(DT$1=Leccion[SubSección],MATCH(ROW(Leccion[SubSección]),ROW(Leccion[SubSección]))),ROW(DS4))),"")</f>
        <v/>
      </c>
      <c r="DU5" s="51" t="str">
        <f t="array" aca="1" ref="DU5" ca="1">IFERROR(INDEX(Leccion[selectorLeccion],SMALL(IF(DU$1=Leccion[SubSección],MATCH(ROW(Leccion[SubSección]),ROW(Leccion[SubSección]))),ROW(DT4))),"")</f>
        <v/>
      </c>
      <c r="DV5" s="51" t="str">
        <f t="array" aca="1" ref="DV5" ca="1">IFERROR(INDEX(Leccion[selectorLeccion],SMALL(IF(DV$1=Leccion[SubSección],MATCH(ROW(Leccion[SubSección]),ROW(Leccion[SubSección]))),ROW(DU4))),"")</f>
        <v/>
      </c>
      <c r="DW5" s="51" t="str">
        <f t="array" aca="1" ref="DW5" ca="1">IFERROR(INDEX(Leccion[selectorLeccion],SMALL(IF(DW$1=Leccion[SubSección],MATCH(ROW(Leccion[SubSección]),ROW(Leccion[SubSección]))),ROW(DV4))),"")</f>
        <v/>
      </c>
      <c r="DX5" s="51" t="str">
        <f t="array" aca="1" ref="DX5" ca="1">IFERROR(INDEX(Leccion[selectorLeccion],SMALL(IF(DX$1=Leccion[SubSección],MATCH(ROW(Leccion[SubSección]),ROW(Leccion[SubSección]))),ROW(DW4))),"")</f>
        <v/>
      </c>
      <c r="DY5" s="51" t="str">
        <f t="array" aca="1" ref="DY5" ca="1">IFERROR(INDEX(Leccion[selectorLeccion],SMALL(IF(DY$1=Leccion[SubSección],MATCH(ROW(Leccion[SubSección]),ROW(Leccion[SubSección]))),ROW(DX4))),"")</f>
        <v/>
      </c>
      <c r="DZ5" s="51" t="str">
        <f t="array" aca="1" ref="DZ5" ca="1">IFERROR(INDEX(Leccion[selectorLeccion],SMALL(IF(DZ$1=Leccion[SubSección],MATCH(ROW(Leccion[SubSección]),ROW(Leccion[SubSección]))),ROW(DY4))),"")</f>
        <v/>
      </c>
      <c r="EA5" s="51" t="str">
        <f t="array" aca="1" ref="EA5" ca="1">IFERROR(INDEX(Leccion[selectorLeccion],SMALL(IF(EA$1=Leccion[SubSección],MATCH(ROW(Leccion[SubSección]),ROW(Leccion[SubSección]))),ROW(DZ4))),"")</f>
        <v/>
      </c>
      <c r="EB5" s="51" t="str">
        <f t="array" aca="1" ref="EB5" ca="1">IFERROR(INDEX(Leccion[selectorLeccion],SMALL(IF(EB$1=Leccion[SubSección],MATCH(ROW(Leccion[SubSección]),ROW(Leccion[SubSección]))),ROW(EA4))),"")</f>
        <v/>
      </c>
      <c r="EC5" s="51" t="str">
        <f t="array" aca="1" ref="EC5" ca="1">IFERROR(INDEX(Leccion[selectorLeccion],SMALL(IF(EC$1=Leccion[SubSección],MATCH(ROW(Leccion[SubSección]),ROW(Leccion[SubSección]))),ROW(EB4))),"")</f>
        <v/>
      </c>
      <c r="ED5" s="51" t="str">
        <f t="array" aca="1" ref="ED5" ca="1">IFERROR(INDEX(Leccion[selectorLeccion],SMALL(IF(ED$1=Leccion[SubSección],MATCH(ROW(Leccion[SubSección]),ROW(Leccion[SubSección]))),ROW(EC4))),"")</f>
        <v/>
      </c>
      <c r="EE5" s="51" t="str">
        <f t="array" aca="1" ref="EE5" ca="1">IFERROR(INDEX(Leccion[selectorLeccion],SMALL(IF(EE$1=Leccion[SubSección],MATCH(ROW(Leccion[SubSección]),ROW(Leccion[SubSección]))),ROW(ED4))),"")</f>
        <v/>
      </c>
      <c r="EF5" s="51" t="str">
        <f t="array" aca="1" ref="EF5" ca="1">IFERROR(INDEX(Leccion[selectorLeccion],SMALL(IF(EF$1=Leccion[SubSección],MATCH(ROW(Leccion[SubSección]),ROW(Leccion[SubSección]))),ROW(EE4))),"")</f>
        <v/>
      </c>
      <c r="EG5" s="51" t="str">
        <f t="array" aca="1" ref="EG5" ca="1">IFERROR(INDEX(Leccion[selectorLeccion],SMALL(IF(EG$1=Leccion[SubSección],MATCH(ROW(Leccion[SubSección]),ROW(Leccion[SubSección]))),ROW(EF4))),"")</f>
        <v/>
      </c>
      <c r="EH5" s="51" t="str">
        <f t="array" aca="1" ref="EH5" ca="1">IFERROR(INDEX(Leccion[selectorLeccion],SMALL(IF(EH$1=Leccion[SubSección],MATCH(ROW(Leccion[SubSección]),ROW(Leccion[SubSección]))),ROW(EG4))),"")</f>
        <v/>
      </c>
      <c r="EI5" s="51" t="str">
        <f t="array" aca="1" ref="EI5" ca="1">IFERROR(INDEX(Leccion[selectorLeccion],SMALL(IF(EI$1=Leccion[SubSección],MATCH(ROW(Leccion[SubSección]),ROW(Leccion[SubSección]))),ROW(EH4))),"")</f>
        <v/>
      </c>
      <c r="EJ5" s="51" t="str">
        <f t="array" aca="1" ref="EJ5" ca="1">IFERROR(INDEX(Leccion[selectorLeccion],SMALL(IF(EJ$1=Leccion[SubSección],MATCH(ROW(Leccion[SubSección]),ROW(Leccion[SubSección]))),ROW(EI4))),"")</f>
        <v/>
      </c>
      <c r="EK5" s="51" t="str">
        <f t="array" aca="1" ref="EK5" ca="1">IFERROR(INDEX(Leccion[selectorLeccion],SMALL(IF(EK$1=Leccion[SubSección],MATCH(ROW(Leccion[SubSección]),ROW(Leccion[SubSección]))),ROW(EJ4))),"")</f>
        <v/>
      </c>
      <c r="EL5" s="51" t="str">
        <f t="array" aca="1" ref="EL5" ca="1">IFERROR(INDEX(Leccion[selectorLeccion],SMALL(IF(EL$1=Leccion[SubSección],MATCH(ROW(Leccion[SubSección]),ROW(Leccion[SubSección]))),ROW(EK4))),"")</f>
        <v/>
      </c>
      <c r="EM5" s="51" t="str">
        <f t="array" aca="1" ref="EM5" ca="1">IFERROR(INDEX(Leccion[selectorLeccion],SMALL(IF(EM$1=Leccion[SubSección],MATCH(ROW(Leccion[SubSección]),ROW(Leccion[SubSección]))),ROW(EL4))),"")</f>
        <v/>
      </c>
      <c r="EN5" s="51" t="str">
        <f t="array" aca="1" ref="EN5" ca="1">IFERROR(INDEX(Leccion[selectorLeccion],SMALL(IF(EN$1=Leccion[SubSección],MATCH(ROW(Leccion[SubSección]),ROW(Leccion[SubSección]))),ROW(EM4))),"")</f>
        <v/>
      </c>
      <c r="EO5" s="51" t="str">
        <f t="array" aca="1" ref="EO5" ca="1">IFERROR(INDEX(Leccion[selectorLeccion],SMALL(IF(EO$1=Leccion[SubSección],MATCH(ROW(Leccion[SubSección]),ROW(Leccion[SubSección]))),ROW(EN4))),"")</f>
        <v/>
      </c>
      <c r="EP5" s="51" t="str">
        <f t="array" aca="1" ref="EP5" ca="1">IFERROR(INDEX(Leccion[selectorLeccion],SMALL(IF(EP$1=Leccion[SubSección],MATCH(ROW(Leccion[SubSección]),ROW(Leccion[SubSección]))),ROW(EO4))),"")</f>
        <v/>
      </c>
      <c r="EQ5" s="51" t="str">
        <f t="array" aca="1" ref="EQ5" ca="1">IFERROR(INDEX(Leccion[selectorLeccion],SMALL(IF(EQ$1=Leccion[SubSección],MATCH(ROW(Leccion[SubSección]),ROW(Leccion[SubSección]))),ROW(EP4))),"")</f>
        <v/>
      </c>
      <c r="ER5" s="51" t="str">
        <f t="array" aca="1" ref="ER5" ca="1">IFERROR(INDEX(Leccion[selectorLeccion],SMALL(IF(ER$1=Leccion[SubSección],MATCH(ROW(Leccion[SubSección]),ROW(Leccion[SubSección]))),ROW(EQ4))),"")</f>
        <v/>
      </c>
      <c r="ES5" s="51" t="str">
        <f t="array" aca="1" ref="ES5" ca="1">IFERROR(INDEX(Leccion[selectorLeccion],SMALL(IF(ES$1=Leccion[SubSección],MATCH(ROW(Leccion[SubSección]),ROW(Leccion[SubSección]))),ROW(ER4))),"")</f>
        <v/>
      </c>
      <c r="ET5" s="51" t="str">
        <f t="array" aca="1" ref="ET5" ca="1">IFERROR(INDEX(Leccion[selectorLeccion],SMALL(IF(ET$1=Leccion[SubSección],MATCH(ROW(Leccion[SubSección]),ROW(Leccion[SubSección]))),ROW(ES4))),"")</f>
        <v/>
      </c>
      <c r="EU5" s="51" t="str">
        <f t="array" aca="1" ref="EU5" ca="1">IFERROR(INDEX(Leccion[selectorLeccion],SMALL(IF(EU$1=Leccion[SubSección],MATCH(ROW(Leccion[SubSección]),ROW(Leccion[SubSección]))),ROW(ET4))),"")</f>
        <v/>
      </c>
      <c r="EV5" s="51" t="str">
        <f t="array" aca="1" ref="EV5" ca="1">IFERROR(INDEX(Leccion[selectorLeccion],SMALL(IF(EV$1=Leccion[SubSección],MATCH(ROW(Leccion[SubSección]),ROW(Leccion[SubSección]))),ROW(EU4))),"")</f>
        <v/>
      </c>
      <c r="EW5" s="51" t="str">
        <f t="array" aca="1" ref="EW5" ca="1">IFERROR(INDEX(Leccion[selectorLeccion],SMALL(IF(EW$1=Leccion[SubSección],MATCH(ROW(Leccion[SubSección]),ROW(Leccion[SubSección]))),ROW(EV4))),"")</f>
        <v/>
      </c>
      <c r="EX5" s="51" t="str">
        <f t="array" aca="1" ref="EX5" ca="1">IFERROR(INDEX(Leccion[selectorLeccion],SMALL(IF(EX$1=Leccion[SubSección],MATCH(ROW(Leccion[SubSección]),ROW(Leccion[SubSección]))),ROW(EW4))),"")</f>
        <v/>
      </c>
      <c r="EY5" s="51" t="str">
        <f t="array" aca="1" ref="EY5" ca="1">IFERROR(INDEX(Leccion[selectorLeccion],SMALL(IF(EY$1=Leccion[SubSección],MATCH(ROW(Leccion[SubSección]),ROW(Leccion[SubSección]))),ROW(EX4))),"")</f>
        <v/>
      </c>
      <c r="EZ5" s="51" t="str">
        <f t="array" aca="1" ref="EZ5" ca="1">IFERROR(INDEX(Leccion[selectorLeccion],SMALL(IF(EZ$1=Leccion[SubSección],MATCH(ROW(Leccion[SubSección]),ROW(Leccion[SubSección]))),ROW(EY4))),"")</f>
        <v/>
      </c>
    </row>
    <row r="6" spans="2:156" x14ac:dyDescent="0.3">
      <c r="B6" s="51" t="str">
        <f t="array" aca="1" ref="B6" ca="1">IFERROR(INDEX(Leccion[selectorLeccion],SMALL(IF(B$1=Leccion[SubSección],MATCH(ROW(Leccion[SubSección]),ROW(Leccion[SubSección]))),ROW(A5))),"")</f>
        <v/>
      </c>
      <c r="C6" s="51" t="str">
        <f t="array" aca="1" ref="C6" ca="1">IFERROR(INDEX(Leccion[selectorLeccion],SMALL(IF(C$1=Leccion[SubSección],MATCH(ROW(Leccion[SubSección]),ROW(Leccion[SubSección]))),ROW(B5))),"")</f>
        <v/>
      </c>
      <c r="D6" s="51" t="str">
        <f t="array" aca="1" ref="D6" ca="1">IFERROR(INDEX(Leccion[selectorLeccion],SMALL(IF(D$1=Leccion[SubSección],MATCH(ROW(Leccion[SubSección]),ROW(Leccion[SubSección]))),ROW(C5))),"")</f>
        <v/>
      </c>
      <c r="E6" s="51" t="str">
        <f t="array" aca="1" ref="E6" ca="1">IFERROR(INDEX(Leccion[selectorLeccion],SMALL(IF(E$1=Leccion[SubSección],MATCH(ROW(Leccion[SubSección]),ROW(Leccion[SubSección]))),ROW(D5))),"")</f>
        <v/>
      </c>
      <c r="F6" s="51" t="str">
        <f t="array" aca="1" ref="F6" ca="1">IFERROR(INDEX(Leccion[selectorLeccion],SMALL(IF(F$1=Leccion[SubSección],MATCH(ROW(Leccion[SubSección]),ROW(Leccion[SubSección]))),ROW(E5))),"")</f>
        <v/>
      </c>
      <c r="G6" s="51" t="str">
        <f t="array" aca="1" ref="G6" ca="1">IFERROR(INDEX(Leccion[selectorLeccion],SMALL(IF(G$1=Leccion[SubSección],MATCH(ROW(Leccion[SubSección]),ROW(Leccion[SubSección]))),ROW(F5))),"")</f>
        <v/>
      </c>
      <c r="H6" s="51" t="str">
        <f t="array" aca="1" ref="H6" ca="1">IFERROR(INDEX(Leccion[selectorLeccion],SMALL(IF(H$1=Leccion[SubSección],MATCH(ROW(Leccion[SubSección]),ROW(Leccion[SubSección]))),ROW(G5))),"")</f>
        <v/>
      </c>
      <c r="I6" s="51" t="str">
        <f t="array" aca="1" ref="I6" ca="1">IFERROR(INDEX(Leccion[selectorLeccion],SMALL(IF(I$1=Leccion[SubSección],MATCH(ROW(Leccion[SubSección]),ROW(Leccion[SubSección]))),ROW(H5))),"")</f>
        <v/>
      </c>
      <c r="J6" s="51" t="str">
        <f t="array" aca="1" ref="J6" ca="1">IFERROR(INDEX(Leccion[selectorLeccion],SMALL(IF(J$1=Leccion[SubSección],MATCH(ROW(Leccion[SubSección]),ROW(Leccion[SubSección]))),ROW(I5))),"")</f>
        <v/>
      </c>
      <c r="K6" s="51" t="str">
        <f t="array" aca="1" ref="K6" ca="1">IFERROR(INDEX(Leccion[selectorLeccion],SMALL(IF(K$1=Leccion[SubSección],MATCH(ROW(Leccion[SubSección]),ROW(Leccion[SubSección]))),ROW(J5))),"")</f>
        <v/>
      </c>
      <c r="L6" s="51" t="str">
        <f t="array" aca="1" ref="L6" ca="1">IFERROR(INDEX(Leccion[selectorLeccion],SMALL(IF(L$1=Leccion[SubSección],MATCH(ROW(Leccion[SubSección]),ROW(Leccion[SubSección]))),ROW(K5))),"")</f>
        <v/>
      </c>
      <c r="M6" s="51" t="str">
        <f t="array" aca="1" ref="M6" ca="1">IFERROR(INDEX(Leccion[selectorLeccion],SMALL(IF(M$1=Leccion[SubSección],MATCH(ROW(Leccion[SubSección]),ROW(Leccion[SubSección]))),ROW(L5))),"")</f>
        <v/>
      </c>
      <c r="N6" s="51" t="str">
        <f t="array" aca="1" ref="N6" ca="1">IFERROR(INDEX(Leccion[selectorLeccion],SMALL(IF(N$1=Leccion[SubSección],MATCH(ROW(Leccion[SubSección]),ROW(Leccion[SubSección]))),ROW(M5))),"")</f>
        <v/>
      </c>
      <c r="O6" s="51" t="str">
        <f t="array" aca="1" ref="O6" ca="1">IFERROR(INDEX(Leccion[selectorLeccion],SMALL(IF(O$1=Leccion[SubSección],MATCH(ROW(Leccion[SubSección]),ROW(Leccion[SubSección]))),ROW(N5))),"")</f>
        <v/>
      </c>
      <c r="P6" s="51" t="str">
        <f t="array" aca="1" ref="P6" ca="1">IFERROR(INDEX(Leccion[selectorLeccion],SMALL(IF(P$1=Leccion[SubSección],MATCH(ROW(Leccion[SubSección]),ROW(Leccion[SubSección]))),ROW(O5))),"")</f>
        <v/>
      </c>
      <c r="Q6" s="51" t="str">
        <f t="array" aca="1" ref="Q6" ca="1">IFERROR(INDEX(Leccion[selectorLeccion],SMALL(IF(Q$1=Leccion[SubSección],MATCH(ROW(Leccion[SubSección]),ROW(Leccion[SubSección]))),ROW(P5))),"")</f>
        <v/>
      </c>
      <c r="R6" s="51" t="str">
        <f t="array" aca="1" ref="R6" ca="1">IFERROR(INDEX(Leccion[selectorLeccion],SMALL(IF(R$1=Leccion[SubSección],MATCH(ROW(Leccion[SubSección]),ROW(Leccion[SubSección]))),ROW(Q5))),"")</f>
        <v/>
      </c>
      <c r="S6" s="51" t="str">
        <f t="array" aca="1" ref="S6" ca="1">IFERROR(INDEX(Leccion[selectorLeccion],SMALL(IF(S$1=Leccion[SubSección],MATCH(ROW(Leccion[SubSección]),ROW(Leccion[SubSección]))),ROW(R5))),"")</f>
        <v/>
      </c>
      <c r="T6" s="51" t="str">
        <f t="array" aca="1" ref="T6" ca="1">IFERROR(INDEX(Leccion[selectorLeccion],SMALL(IF(T$1=Leccion[SubSección],MATCH(ROW(Leccion[SubSección]),ROW(Leccion[SubSección]))),ROW(S5))),"")</f>
        <v/>
      </c>
      <c r="U6" s="51" t="str">
        <f t="array" aca="1" ref="U6" ca="1">IFERROR(INDEX(Leccion[selectorLeccion],SMALL(IF(U$1=Leccion[SubSección],MATCH(ROW(Leccion[SubSección]),ROW(Leccion[SubSección]))),ROW(T5))),"")</f>
        <v/>
      </c>
      <c r="V6" s="51" t="str">
        <f t="array" aca="1" ref="V6" ca="1">IFERROR(INDEX(Leccion[selectorLeccion],SMALL(IF(V$1=Leccion[SubSección],MATCH(ROW(Leccion[SubSección]),ROW(Leccion[SubSección]))),ROW(U5))),"")</f>
        <v/>
      </c>
      <c r="W6" s="51" t="str">
        <f t="array" aca="1" ref="W6" ca="1">IFERROR(INDEX(Leccion[selectorLeccion],SMALL(IF(W$1=Leccion[SubSección],MATCH(ROW(Leccion[SubSección]),ROW(Leccion[SubSección]))),ROW(V5))),"")</f>
        <v/>
      </c>
      <c r="X6" s="51" t="str">
        <f t="array" aca="1" ref="X6" ca="1">IFERROR(INDEX(Leccion[selectorLeccion],SMALL(IF(X$1=Leccion[SubSección],MATCH(ROW(Leccion[SubSección]),ROW(Leccion[SubSección]))),ROW(W5))),"")</f>
        <v/>
      </c>
      <c r="Y6" s="51" t="str">
        <f t="array" aca="1" ref="Y6" ca="1">IFERROR(INDEX(Leccion[selectorLeccion],SMALL(IF(Y$1=Leccion[SubSección],MATCH(ROW(Leccion[SubSección]),ROW(Leccion[SubSección]))),ROW(X5))),"")</f>
        <v/>
      </c>
      <c r="Z6" s="51" t="str">
        <f t="array" aca="1" ref="Z6" ca="1">IFERROR(INDEX(Leccion[selectorLeccion],SMALL(IF(Z$1=Leccion[SubSección],MATCH(ROW(Leccion[SubSección]),ROW(Leccion[SubSección]))),ROW(Y5))),"")</f>
        <v/>
      </c>
      <c r="AA6" s="51" t="str">
        <f t="array" aca="1" ref="AA6" ca="1">IFERROR(INDEX(Leccion[selectorLeccion],SMALL(IF(AA$1=Leccion[SubSección],MATCH(ROW(Leccion[SubSección]),ROW(Leccion[SubSección]))),ROW(Z5))),"")</f>
        <v/>
      </c>
      <c r="AB6" s="51" t="str">
        <f t="array" aca="1" ref="AB6" ca="1">IFERROR(INDEX(Leccion[selectorLeccion],SMALL(IF(AB$1=Leccion[SubSección],MATCH(ROW(Leccion[SubSección]),ROW(Leccion[SubSección]))),ROW(AA5))),"")</f>
        <v/>
      </c>
      <c r="AC6" s="51" t="str">
        <f t="array" aca="1" ref="AC6" ca="1">IFERROR(INDEX(Leccion[selectorLeccion],SMALL(IF(AC$1=Leccion[SubSección],MATCH(ROW(Leccion[SubSección]),ROW(Leccion[SubSección]))),ROW(AB5))),"")</f>
        <v/>
      </c>
      <c r="AD6" s="51" t="str">
        <f t="array" aca="1" ref="AD6" ca="1">IFERROR(INDEX(Leccion[selectorLeccion],SMALL(IF(AD$1=Leccion[SubSección],MATCH(ROW(Leccion[SubSección]),ROW(Leccion[SubSección]))),ROW(AC5))),"")</f>
        <v/>
      </c>
      <c r="AE6" s="51" t="str">
        <f t="array" aca="1" ref="AE6" ca="1">IFERROR(INDEX(Leccion[selectorLeccion],SMALL(IF(AE$1=Leccion[SubSección],MATCH(ROW(Leccion[SubSección]),ROW(Leccion[SubSección]))),ROW(AD5))),"")</f>
        <v/>
      </c>
      <c r="AF6" s="51" t="str">
        <f t="array" aca="1" ref="AF6" ca="1">IFERROR(INDEX(Leccion[selectorLeccion],SMALL(IF(AF$1=Leccion[SubSección],MATCH(ROW(Leccion[SubSección]),ROW(Leccion[SubSección]))),ROW(AE5))),"")</f>
        <v/>
      </c>
      <c r="AG6" s="51" t="str">
        <f t="array" aca="1" ref="AG6" ca="1">IFERROR(INDEX(Leccion[selectorLeccion],SMALL(IF(AG$1=Leccion[SubSección],MATCH(ROW(Leccion[SubSección]),ROW(Leccion[SubSección]))),ROW(AF5))),"")</f>
        <v/>
      </c>
      <c r="AH6" s="51" t="str">
        <f t="array" aca="1" ref="AH6" ca="1">IFERROR(INDEX(Leccion[selectorLeccion],SMALL(IF(AH$1=Leccion[SubSección],MATCH(ROW(Leccion[SubSección]),ROW(Leccion[SubSección]))),ROW(AG5))),"")</f>
        <v/>
      </c>
      <c r="AI6" s="51" t="str">
        <f t="array" aca="1" ref="AI6" ca="1">IFERROR(INDEX(Leccion[selectorLeccion],SMALL(IF(AI$1=Leccion[SubSección],MATCH(ROW(Leccion[SubSección]),ROW(Leccion[SubSección]))),ROW(AH5))),"")</f>
        <v/>
      </c>
      <c r="AJ6" s="51" t="str">
        <f t="array" aca="1" ref="AJ6" ca="1">IFERROR(INDEX(Leccion[selectorLeccion],SMALL(IF(AJ$1=Leccion[SubSección],MATCH(ROW(Leccion[SubSección]),ROW(Leccion[SubSección]))),ROW(AI5))),"")</f>
        <v/>
      </c>
      <c r="AK6" s="51" t="str">
        <f t="array" aca="1" ref="AK6" ca="1">IFERROR(INDEX(Leccion[selectorLeccion],SMALL(IF(AK$1=Leccion[SubSección],MATCH(ROW(Leccion[SubSección]),ROW(Leccion[SubSección]))),ROW(AJ5))),"")</f>
        <v/>
      </c>
      <c r="AL6" s="51" t="str">
        <f t="array" aca="1" ref="AL6" ca="1">IFERROR(INDEX(Leccion[selectorLeccion],SMALL(IF(AL$1=Leccion[SubSección],MATCH(ROW(Leccion[SubSección]),ROW(Leccion[SubSección]))),ROW(AK5))),"")</f>
        <v/>
      </c>
      <c r="AM6" s="51" t="str">
        <f t="array" aca="1" ref="AM6" ca="1">IFERROR(INDEX(Leccion[selectorLeccion],SMALL(IF(AM$1=Leccion[SubSección],MATCH(ROW(Leccion[SubSección]),ROW(Leccion[SubSección]))),ROW(AL5))),"")</f>
        <v/>
      </c>
      <c r="AN6" s="51" t="str">
        <f t="array" aca="1" ref="AN6" ca="1">IFERROR(INDEX(Leccion[selectorLeccion],SMALL(IF(AN$1=Leccion[SubSección],MATCH(ROW(Leccion[SubSección]),ROW(Leccion[SubSección]))),ROW(AM5))),"")</f>
        <v/>
      </c>
      <c r="AO6" s="51" t="str">
        <f t="array" aca="1" ref="AO6" ca="1">IFERROR(INDEX(Leccion[selectorLeccion],SMALL(IF(AO$1=Leccion[SubSección],MATCH(ROW(Leccion[SubSección]),ROW(Leccion[SubSección]))),ROW(AN5))),"")</f>
        <v/>
      </c>
      <c r="AP6" s="51" t="str">
        <f t="array" aca="1" ref="AP6" ca="1">IFERROR(INDEX(Leccion[selectorLeccion],SMALL(IF(AP$1=Leccion[SubSección],MATCH(ROW(Leccion[SubSección]),ROW(Leccion[SubSección]))),ROW(AO5))),"")</f>
        <v/>
      </c>
      <c r="AQ6" s="51" t="str">
        <f t="array" aca="1" ref="AQ6" ca="1">IFERROR(INDEX(Leccion[selectorLeccion],SMALL(IF(AQ$1=Leccion[SubSección],MATCH(ROW(Leccion[SubSección]),ROW(Leccion[SubSección]))),ROW(AP5))),"")</f>
        <v/>
      </c>
      <c r="AR6" s="51" t="str">
        <f t="array" aca="1" ref="AR6" ca="1">IFERROR(INDEX(Leccion[selectorLeccion],SMALL(IF(AR$1=Leccion[SubSección],MATCH(ROW(Leccion[SubSección]),ROW(Leccion[SubSección]))),ROW(AQ5))),"")</f>
        <v/>
      </c>
      <c r="AS6" s="51" t="str">
        <f t="array" aca="1" ref="AS6" ca="1">IFERROR(INDEX(Leccion[selectorLeccion],SMALL(IF(AS$1=Leccion[SubSección],MATCH(ROW(Leccion[SubSección]),ROW(Leccion[SubSección]))),ROW(AR5))),"")</f>
        <v/>
      </c>
      <c r="AT6" s="51" t="str">
        <f t="array" aca="1" ref="AT6" ca="1">IFERROR(INDEX(Leccion[selectorLeccion],SMALL(IF(AT$1=Leccion[SubSección],MATCH(ROW(Leccion[SubSección]),ROW(Leccion[SubSección]))),ROW(AS5))),"")</f>
        <v/>
      </c>
      <c r="AU6" s="51" t="str">
        <f t="array" aca="1" ref="AU6" ca="1">IFERROR(INDEX(Leccion[selectorLeccion],SMALL(IF(AU$1=Leccion[SubSección],MATCH(ROW(Leccion[SubSección]),ROW(Leccion[SubSección]))),ROW(AT5))),"")</f>
        <v/>
      </c>
      <c r="AV6" s="51" t="str">
        <f t="array" aca="1" ref="AV6" ca="1">IFERROR(INDEX(Leccion[selectorLeccion],SMALL(IF(AV$1=Leccion[SubSección],MATCH(ROW(Leccion[SubSección]),ROW(Leccion[SubSección]))),ROW(AU5))),"")</f>
        <v/>
      </c>
      <c r="AW6" s="51" t="str">
        <f t="array" aca="1" ref="AW6" ca="1">IFERROR(INDEX(Leccion[selectorLeccion],SMALL(IF(AW$1=Leccion[SubSección],MATCH(ROW(Leccion[SubSección]),ROW(Leccion[SubSección]))),ROW(AV5))),"")</f>
        <v/>
      </c>
      <c r="AX6" s="51" t="str">
        <f t="array" aca="1" ref="AX6" ca="1">IFERROR(INDEX(Leccion[selectorLeccion],SMALL(IF(AX$1=Leccion[SubSección],MATCH(ROW(Leccion[SubSección]),ROW(Leccion[SubSección]))),ROW(AW5))),"")</f>
        <v/>
      </c>
      <c r="AY6" s="51" t="str">
        <f t="array" aca="1" ref="AY6" ca="1">IFERROR(INDEX(Leccion[selectorLeccion],SMALL(IF(AY$1=Leccion[SubSección],MATCH(ROW(Leccion[SubSección]),ROW(Leccion[SubSección]))),ROW(AX5))),"")</f>
        <v/>
      </c>
      <c r="AZ6" s="51" t="str">
        <f t="array" aca="1" ref="AZ6" ca="1">IFERROR(INDEX(Leccion[selectorLeccion],SMALL(IF(AZ$1=Leccion[SubSección],MATCH(ROW(Leccion[SubSección]),ROW(Leccion[SubSección]))),ROW(AY5))),"")</f>
        <v/>
      </c>
      <c r="BA6" s="51" t="str">
        <f t="array" aca="1" ref="BA6" ca="1">IFERROR(INDEX(Leccion[selectorLeccion],SMALL(IF(BA$1=Leccion[SubSección],MATCH(ROW(Leccion[SubSección]),ROW(Leccion[SubSección]))),ROW(AZ5))),"")</f>
        <v/>
      </c>
      <c r="BB6" s="51" t="str">
        <f t="array" aca="1" ref="BB6" ca="1">IFERROR(INDEX(Leccion[selectorLeccion],SMALL(IF(BB$1=Leccion[SubSección],MATCH(ROW(Leccion[SubSección]),ROW(Leccion[SubSección]))),ROW(BA5))),"")</f>
        <v/>
      </c>
      <c r="BC6" s="51" t="str">
        <f t="array" aca="1" ref="BC6" ca="1">IFERROR(INDEX(Leccion[selectorLeccion],SMALL(IF(BC$1=Leccion[SubSección],MATCH(ROW(Leccion[SubSección]),ROW(Leccion[SubSección]))),ROW(BB5))),"")</f>
        <v/>
      </c>
      <c r="BD6" s="51" t="str">
        <f t="array" aca="1" ref="BD6" ca="1">IFERROR(INDEX(Leccion[selectorLeccion],SMALL(IF(BD$1=Leccion[SubSección],MATCH(ROW(Leccion[SubSección]),ROW(Leccion[SubSección]))),ROW(BC5))),"")</f>
        <v/>
      </c>
      <c r="BE6" s="51" t="str">
        <f t="array" aca="1" ref="BE6" ca="1">IFERROR(INDEX(Leccion[selectorLeccion],SMALL(IF(BE$1=Leccion[SubSección],MATCH(ROW(Leccion[SubSección]),ROW(Leccion[SubSección]))),ROW(BD5))),"")</f>
        <v/>
      </c>
      <c r="BF6" s="51" t="str">
        <f t="array" aca="1" ref="BF6" ca="1">IFERROR(INDEX(Leccion[selectorLeccion],SMALL(IF(BF$1=Leccion[SubSección],MATCH(ROW(Leccion[SubSección]),ROW(Leccion[SubSección]))),ROW(BE5))),"")</f>
        <v/>
      </c>
      <c r="BG6" s="51" t="str">
        <f t="array" aca="1" ref="BG6" ca="1">IFERROR(INDEX(Leccion[selectorLeccion],SMALL(IF(BG$1=Leccion[SubSección],MATCH(ROW(Leccion[SubSección]),ROW(Leccion[SubSección]))),ROW(BF5))),"")</f>
        <v/>
      </c>
      <c r="BH6" s="51" t="str">
        <f t="array" aca="1" ref="BH6" ca="1">IFERROR(INDEX(Leccion[selectorLeccion],SMALL(IF(BH$1=Leccion[SubSección],MATCH(ROW(Leccion[SubSección]),ROW(Leccion[SubSección]))),ROW(BG5))),"")</f>
        <v/>
      </c>
      <c r="BI6" s="51" t="str">
        <f t="array" aca="1" ref="BI6" ca="1">IFERROR(INDEX(Leccion[selectorLeccion],SMALL(IF(BI$1=Leccion[SubSección],MATCH(ROW(Leccion[SubSección]),ROW(Leccion[SubSección]))),ROW(BH5))),"")</f>
        <v/>
      </c>
      <c r="BJ6" s="51" t="str">
        <f t="array" aca="1" ref="BJ6" ca="1">IFERROR(INDEX(Leccion[selectorLeccion],SMALL(IF(BJ$1=Leccion[SubSección],MATCH(ROW(Leccion[SubSección]),ROW(Leccion[SubSección]))),ROW(BI5))),"")</f>
        <v/>
      </c>
      <c r="BK6" s="51" t="str">
        <f t="array" aca="1" ref="BK6" ca="1">IFERROR(INDEX(Leccion[selectorLeccion],SMALL(IF(BK$1=Leccion[SubSección],MATCH(ROW(Leccion[SubSección]),ROW(Leccion[SubSección]))),ROW(BJ5))),"")</f>
        <v/>
      </c>
      <c r="BL6" s="51" t="str">
        <f t="array" aca="1" ref="BL6" ca="1">IFERROR(INDEX(Leccion[selectorLeccion],SMALL(IF(BL$1=Leccion[SubSección],MATCH(ROW(Leccion[SubSección]),ROW(Leccion[SubSección]))),ROW(BK5))),"")</f>
        <v/>
      </c>
      <c r="BM6" s="51" t="str">
        <f t="array" aca="1" ref="BM6" ca="1">IFERROR(INDEX(Leccion[selectorLeccion],SMALL(IF(BM$1=Leccion[SubSección],MATCH(ROW(Leccion[SubSección]),ROW(Leccion[SubSección]))),ROW(BL5))),"")</f>
        <v/>
      </c>
      <c r="BN6" s="51" t="str">
        <f t="array" aca="1" ref="BN6" ca="1">IFERROR(INDEX(Leccion[selectorLeccion],SMALL(IF(BN$1=Leccion[SubSección],MATCH(ROW(Leccion[SubSección]),ROW(Leccion[SubSección]))),ROW(BM5))),"")</f>
        <v/>
      </c>
      <c r="BO6" s="51" t="str">
        <f t="array" aca="1" ref="BO6" ca="1">IFERROR(INDEX(Leccion[selectorLeccion],SMALL(IF(BO$1=Leccion[SubSección],MATCH(ROW(Leccion[SubSección]),ROW(Leccion[SubSección]))),ROW(BN5))),"")</f>
        <v/>
      </c>
      <c r="BP6" s="51" t="str">
        <f t="array" aca="1" ref="BP6" ca="1">IFERROR(INDEX(Leccion[selectorLeccion],SMALL(IF(BP$1=Leccion[SubSección],MATCH(ROW(Leccion[SubSección]),ROW(Leccion[SubSección]))),ROW(BO5))),"")</f>
        <v/>
      </c>
      <c r="BQ6" s="51" t="str">
        <f t="array" aca="1" ref="BQ6" ca="1">IFERROR(INDEX(Leccion[selectorLeccion],SMALL(IF(BQ$1=Leccion[SubSección],MATCH(ROW(Leccion[SubSección]),ROW(Leccion[SubSección]))),ROW(BP5))),"")</f>
        <v/>
      </c>
      <c r="BR6" s="51" t="str">
        <f t="array" aca="1" ref="BR6" ca="1">IFERROR(INDEX(Leccion[selectorLeccion],SMALL(IF(BR$1=Leccion[SubSección],MATCH(ROW(Leccion[SubSección]),ROW(Leccion[SubSección]))),ROW(BQ5))),"")</f>
        <v/>
      </c>
      <c r="BS6" s="51" t="str">
        <f t="array" aca="1" ref="BS6" ca="1">IFERROR(INDEX(Leccion[selectorLeccion],SMALL(IF(BS$1=Leccion[SubSección],MATCH(ROW(Leccion[SubSección]),ROW(Leccion[SubSección]))),ROW(BR5))),"")</f>
        <v/>
      </c>
      <c r="BT6" s="51" t="str">
        <f t="array" aca="1" ref="BT6" ca="1">IFERROR(INDEX(Leccion[selectorLeccion],SMALL(IF(BT$1=Leccion[SubSección],MATCH(ROW(Leccion[SubSección]),ROW(Leccion[SubSección]))),ROW(BS5))),"")</f>
        <v/>
      </c>
      <c r="BU6" s="51" t="str">
        <f t="array" aca="1" ref="BU6" ca="1">IFERROR(INDEX(Leccion[selectorLeccion],SMALL(IF(BU$1=Leccion[SubSección],MATCH(ROW(Leccion[SubSección]),ROW(Leccion[SubSección]))),ROW(BT5))),"")</f>
        <v/>
      </c>
      <c r="BV6" s="51" t="str">
        <f t="array" aca="1" ref="BV6" ca="1">IFERROR(INDEX(Leccion[selectorLeccion],SMALL(IF(BV$1=Leccion[SubSección],MATCH(ROW(Leccion[SubSección]),ROW(Leccion[SubSección]))),ROW(BU5))),"")</f>
        <v/>
      </c>
      <c r="BW6" s="51" t="str">
        <f t="array" aca="1" ref="BW6" ca="1">IFERROR(INDEX(Leccion[selectorLeccion],SMALL(IF(BW$1=Leccion[SubSección],MATCH(ROW(Leccion[SubSección]),ROW(Leccion[SubSección]))),ROW(BV5))),"")</f>
        <v/>
      </c>
      <c r="BX6" s="51" t="str">
        <f t="array" aca="1" ref="BX6" ca="1">IFERROR(INDEX(Leccion[selectorLeccion],SMALL(IF(BX$1=Leccion[SubSección],MATCH(ROW(Leccion[SubSección]),ROW(Leccion[SubSección]))),ROW(BW5))),"")</f>
        <v/>
      </c>
      <c r="BY6" s="51" t="str">
        <f t="array" aca="1" ref="BY6" ca="1">IFERROR(INDEX(Leccion[selectorLeccion],SMALL(IF(BY$1=Leccion[SubSección],MATCH(ROW(Leccion[SubSección]),ROW(Leccion[SubSección]))),ROW(BX5))),"")</f>
        <v/>
      </c>
      <c r="BZ6" s="51" t="str">
        <f t="array" aca="1" ref="BZ6" ca="1">IFERROR(INDEX(Leccion[selectorLeccion],SMALL(IF(BZ$1=Leccion[SubSección],MATCH(ROW(Leccion[SubSección]),ROW(Leccion[SubSección]))),ROW(BY5))),"")</f>
        <v/>
      </c>
      <c r="CA6" s="51" t="str">
        <f t="array" aca="1" ref="CA6" ca="1">IFERROR(INDEX(Leccion[selectorLeccion],SMALL(IF(CA$1=Leccion[SubSección],MATCH(ROW(Leccion[SubSección]),ROW(Leccion[SubSección]))),ROW(BZ5))),"")</f>
        <v/>
      </c>
      <c r="CB6" s="51" t="str">
        <f t="array" aca="1" ref="CB6" ca="1">IFERROR(INDEX(Leccion[selectorLeccion],SMALL(IF(CB$1=Leccion[SubSección],MATCH(ROW(Leccion[SubSección]),ROW(Leccion[SubSección]))),ROW(CA5))),"")</f>
        <v/>
      </c>
      <c r="CC6" s="51" t="str">
        <f t="array" aca="1" ref="CC6" ca="1">IFERROR(INDEX(Leccion[selectorLeccion],SMALL(IF(CC$1=Leccion[SubSección],MATCH(ROW(Leccion[SubSección]),ROW(Leccion[SubSección]))),ROW(CB5))),"")</f>
        <v/>
      </c>
      <c r="CD6" s="51" t="str">
        <f t="array" aca="1" ref="CD6" ca="1">IFERROR(INDEX(Leccion[selectorLeccion],SMALL(IF(CD$1=Leccion[SubSección],MATCH(ROW(Leccion[SubSección]),ROW(Leccion[SubSección]))),ROW(CC5))),"")</f>
        <v/>
      </c>
      <c r="CE6" s="51" t="str">
        <f t="array" aca="1" ref="CE6" ca="1">IFERROR(INDEX(Leccion[selectorLeccion],SMALL(IF(CE$1=Leccion[SubSección],MATCH(ROW(Leccion[SubSección]),ROW(Leccion[SubSección]))),ROW(CD5))),"")</f>
        <v/>
      </c>
      <c r="CF6" s="51" t="str">
        <f t="array" aca="1" ref="CF6" ca="1">IFERROR(INDEX(Leccion[selectorLeccion],SMALL(IF(CF$1=Leccion[SubSección],MATCH(ROW(Leccion[SubSección]),ROW(Leccion[SubSección]))),ROW(CE5))),"")</f>
        <v/>
      </c>
      <c r="CG6" s="51" t="str">
        <f t="array" aca="1" ref="CG6" ca="1">IFERROR(INDEX(Leccion[selectorLeccion],SMALL(IF(CG$1=Leccion[SubSección],MATCH(ROW(Leccion[SubSección]),ROW(Leccion[SubSección]))),ROW(CF5))),"")</f>
        <v/>
      </c>
      <c r="CH6" s="51" t="str">
        <f t="array" aca="1" ref="CH6" ca="1">IFERROR(INDEX(Leccion[selectorLeccion],SMALL(IF(CH$1=Leccion[SubSección],MATCH(ROW(Leccion[SubSección]),ROW(Leccion[SubSección]))),ROW(CG5))),"")</f>
        <v/>
      </c>
      <c r="CI6" s="51" t="str">
        <f t="array" aca="1" ref="CI6" ca="1">IFERROR(INDEX(Leccion[selectorLeccion],SMALL(IF(CI$1=Leccion[SubSección],MATCH(ROW(Leccion[SubSección]),ROW(Leccion[SubSección]))),ROW(CH5))),"")</f>
        <v/>
      </c>
      <c r="CJ6" s="51" t="str">
        <f t="array" aca="1" ref="CJ6" ca="1">IFERROR(INDEX(Leccion[selectorLeccion],SMALL(IF(CJ$1=Leccion[SubSección],MATCH(ROW(Leccion[SubSección]),ROW(Leccion[SubSección]))),ROW(CI5))),"")</f>
        <v/>
      </c>
      <c r="CK6" s="51" t="str">
        <f t="array" aca="1" ref="CK6" ca="1">IFERROR(INDEX(Leccion[selectorLeccion],SMALL(IF(CK$1=Leccion[SubSección],MATCH(ROW(Leccion[SubSección]),ROW(Leccion[SubSección]))),ROW(CJ5))),"")</f>
        <v/>
      </c>
      <c r="CL6" s="51" t="str">
        <f t="array" aca="1" ref="CL6" ca="1">IFERROR(INDEX(Leccion[selectorLeccion],SMALL(IF(CL$1=Leccion[SubSección],MATCH(ROW(Leccion[SubSección]),ROW(Leccion[SubSección]))),ROW(CK5))),"")</f>
        <v/>
      </c>
      <c r="CM6" s="51" t="str">
        <f t="array" aca="1" ref="CM6" ca="1">IFERROR(INDEX(Leccion[selectorLeccion],SMALL(IF(CM$1=Leccion[SubSección],MATCH(ROW(Leccion[SubSección]),ROW(Leccion[SubSección]))),ROW(CL5))),"")</f>
        <v/>
      </c>
      <c r="CN6" s="51" t="str">
        <f t="array" aca="1" ref="CN6" ca="1">IFERROR(INDEX(Leccion[selectorLeccion],SMALL(IF(CN$1=Leccion[SubSección],MATCH(ROW(Leccion[SubSección]),ROW(Leccion[SubSección]))),ROW(CM5))),"")</f>
        <v/>
      </c>
      <c r="CO6" s="51" t="str">
        <f t="array" aca="1" ref="CO6" ca="1">IFERROR(INDEX(Leccion[selectorLeccion],SMALL(IF(CO$1=Leccion[SubSección],MATCH(ROW(Leccion[SubSección]),ROW(Leccion[SubSección]))),ROW(CN5))),"")</f>
        <v/>
      </c>
      <c r="CP6" s="51" t="str">
        <f t="array" aca="1" ref="CP6" ca="1">IFERROR(INDEX(Leccion[selectorLeccion],SMALL(IF(CP$1=Leccion[SubSección],MATCH(ROW(Leccion[SubSección]),ROW(Leccion[SubSección]))),ROW(CO5))),"")</f>
        <v/>
      </c>
      <c r="CQ6" s="51" t="str">
        <f t="array" aca="1" ref="CQ6" ca="1">IFERROR(INDEX(Leccion[selectorLeccion],SMALL(IF(CQ$1=Leccion[SubSección],MATCH(ROW(Leccion[SubSección]),ROW(Leccion[SubSección]))),ROW(CP5))),"")</f>
        <v/>
      </c>
      <c r="CR6" s="51" t="str">
        <f t="array" aca="1" ref="CR6" ca="1">IFERROR(INDEX(Leccion[selectorLeccion],SMALL(IF(CR$1=Leccion[SubSección],MATCH(ROW(Leccion[SubSección]),ROW(Leccion[SubSección]))),ROW(CQ5))),"")</f>
        <v/>
      </c>
      <c r="CS6" s="51" t="str">
        <f t="array" aca="1" ref="CS6" ca="1">IFERROR(INDEX(Leccion[selectorLeccion],SMALL(IF(CS$1=Leccion[SubSección],MATCH(ROW(Leccion[SubSección]),ROW(Leccion[SubSección]))),ROW(CR5))),"")</f>
        <v/>
      </c>
      <c r="CT6" s="51" t="str">
        <f t="array" aca="1" ref="CT6" ca="1">IFERROR(INDEX(Leccion[selectorLeccion],SMALL(IF(CT$1=Leccion[SubSección],MATCH(ROW(Leccion[SubSección]),ROW(Leccion[SubSección]))),ROW(CS5))),"")</f>
        <v/>
      </c>
      <c r="CU6" s="51" t="str">
        <f t="array" aca="1" ref="CU6" ca="1">IFERROR(INDEX(Leccion[selectorLeccion],SMALL(IF(CU$1=Leccion[SubSección],MATCH(ROW(Leccion[SubSección]),ROW(Leccion[SubSección]))),ROW(CT5))),"")</f>
        <v/>
      </c>
      <c r="CV6" s="51" t="str">
        <f t="array" aca="1" ref="CV6" ca="1">IFERROR(INDEX(Leccion[selectorLeccion],SMALL(IF(CV$1=Leccion[SubSección],MATCH(ROW(Leccion[SubSección]),ROW(Leccion[SubSección]))),ROW(CU5))),"")</f>
        <v/>
      </c>
      <c r="CW6" s="51" t="str">
        <f t="array" aca="1" ref="CW6" ca="1">IFERROR(INDEX(Leccion[selectorLeccion],SMALL(IF(CW$1=Leccion[SubSección],MATCH(ROW(Leccion[SubSección]),ROW(Leccion[SubSección]))),ROW(CV5))),"")</f>
        <v/>
      </c>
      <c r="CX6" s="51" t="str">
        <f t="array" aca="1" ref="CX6" ca="1">IFERROR(INDEX(Leccion[selectorLeccion],SMALL(IF(CX$1=Leccion[SubSección],MATCH(ROW(Leccion[SubSección]),ROW(Leccion[SubSección]))),ROW(CW5))),"")</f>
        <v/>
      </c>
      <c r="CY6" s="51" t="str">
        <f t="array" aca="1" ref="CY6" ca="1">IFERROR(INDEX(Leccion[selectorLeccion],SMALL(IF(CY$1=Leccion[SubSección],MATCH(ROW(Leccion[SubSección]),ROW(Leccion[SubSección]))),ROW(CX5))),"")</f>
        <v/>
      </c>
      <c r="CZ6" s="51" t="str">
        <f t="array" aca="1" ref="CZ6" ca="1">IFERROR(INDEX(Leccion[selectorLeccion],SMALL(IF(CZ$1=Leccion[SubSección],MATCH(ROW(Leccion[SubSección]),ROW(Leccion[SubSección]))),ROW(CY5))),"")</f>
        <v/>
      </c>
      <c r="DA6" s="51" t="str">
        <f t="array" aca="1" ref="DA6" ca="1">IFERROR(INDEX(Leccion[selectorLeccion],SMALL(IF(DA$1=Leccion[SubSección],MATCH(ROW(Leccion[SubSección]),ROW(Leccion[SubSección]))),ROW(CZ5))),"")</f>
        <v/>
      </c>
      <c r="DB6" s="51" t="str">
        <f t="array" aca="1" ref="DB6" ca="1">IFERROR(INDEX(Leccion[selectorLeccion],SMALL(IF(DB$1=Leccion[SubSección],MATCH(ROW(Leccion[SubSección]),ROW(Leccion[SubSección]))),ROW(DA5))),"")</f>
        <v/>
      </c>
      <c r="DC6" s="51" t="str">
        <f t="array" aca="1" ref="DC6" ca="1">IFERROR(INDEX(Leccion[selectorLeccion],SMALL(IF(DC$1=Leccion[SubSección],MATCH(ROW(Leccion[SubSección]),ROW(Leccion[SubSección]))),ROW(DB5))),"")</f>
        <v/>
      </c>
      <c r="DD6" s="51" t="str">
        <f t="array" aca="1" ref="DD6" ca="1">IFERROR(INDEX(Leccion[selectorLeccion],SMALL(IF(DD$1=Leccion[SubSección],MATCH(ROW(Leccion[SubSección]),ROW(Leccion[SubSección]))),ROW(DC5))),"")</f>
        <v/>
      </c>
      <c r="DE6" s="51" t="str">
        <f t="array" aca="1" ref="DE6" ca="1">IFERROR(INDEX(Leccion[selectorLeccion],SMALL(IF(DE$1=Leccion[SubSección],MATCH(ROW(Leccion[SubSección]),ROW(Leccion[SubSección]))),ROW(DD5))),"")</f>
        <v/>
      </c>
      <c r="DF6" s="51" t="str">
        <f t="array" aca="1" ref="DF6" ca="1">IFERROR(INDEX(Leccion[selectorLeccion],SMALL(IF(DF$1=Leccion[SubSección],MATCH(ROW(Leccion[SubSección]),ROW(Leccion[SubSección]))),ROW(DE5))),"")</f>
        <v/>
      </c>
      <c r="DG6" s="51" t="str">
        <f t="array" aca="1" ref="DG6" ca="1">IFERROR(INDEX(Leccion[selectorLeccion],SMALL(IF(DG$1=Leccion[SubSección],MATCH(ROW(Leccion[SubSección]),ROW(Leccion[SubSección]))),ROW(DF5))),"")</f>
        <v/>
      </c>
      <c r="DH6" s="51" t="str">
        <f t="array" aca="1" ref="DH6" ca="1">IFERROR(INDEX(Leccion[selectorLeccion],SMALL(IF(DH$1=Leccion[SubSección],MATCH(ROW(Leccion[SubSección]),ROW(Leccion[SubSección]))),ROW(DG5))),"")</f>
        <v/>
      </c>
      <c r="DI6" s="51" t="str">
        <f t="array" aca="1" ref="DI6" ca="1">IFERROR(INDEX(Leccion[selectorLeccion],SMALL(IF(DI$1=Leccion[SubSección],MATCH(ROW(Leccion[SubSección]),ROW(Leccion[SubSección]))),ROW(DH5))),"")</f>
        <v/>
      </c>
      <c r="DJ6" s="51" t="str">
        <f t="array" aca="1" ref="DJ6" ca="1">IFERROR(INDEX(Leccion[selectorLeccion],SMALL(IF(DJ$1=Leccion[SubSección],MATCH(ROW(Leccion[SubSección]),ROW(Leccion[SubSección]))),ROW(DI5))),"")</f>
        <v/>
      </c>
      <c r="DK6" s="51" t="str">
        <f t="array" aca="1" ref="DK6" ca="1">IFERROR(INDEX(Leccion[selectorLeccion],SMALL(IF(DK$1=Leccion[SubSección],MATCH(ROW(Leccion[SubSección]),ROW(Leccion[SubSección]))),ROW(DJ5))),"")</f>
        <v/>
      </c>
      <c r="DL6" s="51" t="str">
        <f t="array" aca="1" ref="DL6" ca="1">IFERROR(INDEX(Leccion[selectorLeccion],SMALL(IF(DL$1=Leccion[SubSección],MATCH(ROW(Leccion[SubSección]),ROW(Leccion[SubSección]))),ROW(DK5))),"")</f>
        <v/>
      </c>
      <c r="DM6" s="51" t="str">
        <f t="array" aca="1" ref="DM6" ca="1">IFERROR(INDEX(Leccion[selectorLeccion],SMALL(IF(DM$1=Leccion[SubSección],MATCH(ROW(Leccion[SubSección]),ROW(Leccion[SubSección]))),ROW(DL5))),"")</f>
        <v/>
      </c>
      <c r="DN6" s="51" t="str">
        <f t="array" aca="1" ref="DN6" ca="1">IFERROR(INDEX(Leccion[selectorLeccion],SMALL(IF(DN$1=Leccion[SubSección],MATCH(ROW(Leccion[SubSección]),ROW(Leccion[SubSección]))),ROW(DM5))),"")</f>
        <v/>
      </c>
      <c r="DO6" s="51" t="str">
        <f t="array" aca="1" ref="DO6" ca="1">IFERROR(INDEX(Leccion[selectorLeccion],SMALL(IF(DO$1=Leccion[SubSección],MATCH(ROW(Leccion[SubSección]),ROW(Leccion[SubSección]))),ROW(DN5))),"")</f>
        <v/>
      </c>
      <c r="DP6" s="51" t="str">
        <f t="array" aca="1" ref="DP6" ca="1">IFERROR(INDEX(Leccion[selectorLeccion],SMALL(IF(DP$1=Leccion[SubSección],MATCH(ROW(Leccion[SubSección]),ROW(Leccion[SubSección]))),ROW(DO5))),"")</f>
        <v/>
      </c>
      <c r="DQ6" s="51" t="str">
        <f t="array" aca="1" ref="DQ6" ca="1">IFERROR(INDEX(Leccion[selectorLeccion],SMALL(IF(DQ$1=Leccion[SubSección],MATCH(ROW(Leccion[SubSección]),ROW(Leccion[SubSección]))),ROW(DP5))),"")</f>
        <v/>
      </c>
      <c r="DR6" s="51" t="str">
        <f t="array" aca="1" ref="DR6" ca="1">IFERROR(INDEX(Leccion[selectorLeccion],SMALL(IF(DR$1=Leccion[SubSección],MATCH(ROW(Leccion[SubSección]),ROW(Leccion[SubSección]))),ROW(DQ5))),"")</f>
        <v/>
      </c>
      <c r="DS6" s="51" t="str">
        <f t="array" aca="1" ref="DS6" ca="1">IFERROR(INDEX(Leccion[selectorLeccion],SMALL(IF(DS$1=Leccion[SubSección],MATCH(ROW(Leccion[SubSección]),ROW(Leccion[SubSección]))),ROW(DR5))),"")</f>
        <v/>
      </c>
      <c r="DT6" s="51" t="str">
        <f t="array" aca="1" ref="DT6" ca="1">IFERROR(INDEX(Leccion[selectorLeccion],SMALL(IF(DT$1=Leccion[SubSección],MATCH(ROW(Leccion[SubSección]),ROW(Leccion[SubSección]))),ROW(DS5))),"")</f>
        <v/>
      </c>
      <c r="DU6" s="51" t="str">
        <f t="array" aca="1" ref="DU6" ca="1">IFERROR(INDEX(Leccion[selectorLeccion],SMALL(IF(DU$1=Leccion[SubSección],MATCH(ROW(Leccion[SubSección]),ROW(Leccion[SubSección]))),ROW(DT5))),"")</f>
        <v/>
      </c>
      <c r="DV6" s="51" t="str">
        <f t="array" aca="1" ref="DV6" ca="1">IFERROR(INDEX(Leccion[selectorLeccion],SMALL(IF(DV$1=Leccion[SubSección],MATCH(ROW(Leccion[SubSección]),ROW(Leccion[SubSección]))),ROW(DU5))),"")</f>
        <v/>
      </c>
      <c r="DW6" s="51" t="str">
        <f t="array" aca="1" ref="DW6" ca="1">IFERROR(INDEX(Leccion[selectorLeccion],SMALL(IF(DW$1=Leccion[SubSección],MATCH(ROW(Leccion[SubSección]),ROW(Leccion[SubSección]))),ROW(DV5))),"")</f>
        <v/>
      </c>
      <c r="DX6" s="51" t="str">
        <f t="array" aca="1" ref="DX6" ca="1">IFERROR(INDEX(Leccion[selectorLeccion],SMALL(IF(DX$1=Leccion[SubSección],MATCH(ROW(Leccion[SubSección]),ROW(Leccion[SubSección]))),ROW(DW5))),"")</f>
        <v/>
      </c>
      <c r="DY6" s="51" t="str">
        <f t="array" aca="1" ref="DY6" ca="1">IFERROR(INDEX(Leccion[selectorLeccion],SMALL(IF(DY$1=Leccion[SubSección],MATCH(ROW(Leccion[SubSección]),ROW(Leccion[SubSección]))),ROW(DX5))),"")</f>
        <v/>
      </c>
      <c r="DZ6" s="51" t="str">
        <f t="array" aca="1" ref="DZ6" ca="1">IFERROR(INDEX(Leccion[selectorLeccion],SMALL(IF(DZ$1=Leccion[SubSección],MATCH(ROW(Leccion[SubSección]),ROW(Leccion[SubSección]))),ROW(DY5))),"")</f>
        <v/>
      </c>
      <c r="EA6" s="51" t="str">
        <f t="array" aca="1" ref="EA6" ca="1">IFERROR(INDEX(Leccion[selectorLeccion],SMALL(IF(EA$1=Leccion[SubSección],MATCH(ROW(Leccion[SubSección]),ROW(Leccion[SubSección]))),ROW(DZ5))),"")</f>
        <v/>
      </c>
      <c r="EB6" s="51" t="str">
        <f t="array" aca="1" ref="EB6" ca="1">IFERROR(INDEX(Leccion[selectorLeccion],SMALL(IF(EB$1=Leccion[SubSección],MATCH(ROW(Leccion[SubSección]),ROW(Leccion[SubSección]))),ROW(EA5))),"")</f>
        <v/>
      </c>
      <c r="EC6" s="51" t="str">
        <f t="array" aca="1" ref="EC6" ca="1">IFERROR(INDEX(Leccion[selectorLeccion],SMALL(IF(EC$1=Leccion[SubSección],MATCH(ROW(Leccion[SubSección]),ROW(Leccion[SubSección]))),ROW(EB5))),"")</f>
        <v/>
      </c>
      <c r="ED6" s="51" t="str">
        <f t="array" aca="1" ref="ED6" ca="1">IFERROR(INDEX(Leccion[selectorLeccion],SMALL(IF(ED$1=Leccion[SubSección],MATCH(ROW(Leccion[SubSección]),ROW(Leccion[SubSección]))),ROW(EC5))),"")</f>
        <v/>
      </c>
      <c r="EE6" s="51" t="str">
        <f t="array" aca="1" ref="EE6" ca="1">IFERROR(INDEX(Leccion[selectorLeccion],SMALL(IF(EE$1=Leccion[SubSección],MATCH(ROW(Leccion[SubSección]),ROW(Leccion[SubSección]))),ROW(ED5))),"")</f>
        <v/>
      </c>
      <c r="EF6" s="51" t="str">
        <f t="array" aca="1" ref="EF6" ca="1">IFERROR(INDEX(Leccion[selectorLeccion],SMALL(IF(EF$1=Leccion[SubSección],MATCH(ROW(Leccion[SubSección]),ROW(Leccion[SubSección]))),ROW(EE5))),"")</f>
        <v/>
      </c>
      <c r="EG6" s="51" t="str">
        <f t="array" aca="1" ref="EG6" ca="1">IFERROR(INDEX(Leccion[selectorLeccion],SMALL(IF(EG$1=Leccion[SubSección],MATCH(ROW(Leccion[SubSección]),ROW(Leccion[SubSección]))),ROW(EF5))),"")</f>
        <v/>
      </c>
      <c r="EH6" s="51" t="str">
        <f t="array" aca="1" ref="EH6" ca="1">IFERROR(INDEX(Leccion[selectorLeccion],SMALL(IF(EH$1=Leccion[SubSección],MATCH(ROW(Leccion[SubSección]),ROW(Leccion[SubSección]))),ROW(EG5))),"")</f>
        <v/>
      </c>
      <c r="EI6" s="51" t="str">
        <f t="array" aca="1" ref="EI6" ca="1">IFERROR(INDEX(Leccion[selectorLeccion],SMALL(IF(EI$1=Leccion[SubSección],MATCH(ROW(Leccion[SubSección]),ROW(Leccion[SubSección]))),ROW(EH5))),"")</f>
        <v/>
      </c>
      <c r="EJ6" s="51" t="str">
        <f t="array" aca="1" ref="EJ6" ca="1">IFERROR(INDEX(Leccion[selectorLeccion],SMALL(IF(EJ$1=Leccion[SubSección],MATCH(ROW(Leccion[SubSección]),ROW(Leccion[SubSección]))),ROW(EI5))),"")</f>
        <v/>
      </c>
      <c r="EK6" s="51" t="str">
        <f t="array" aca="1" ref="EK6" ca="1">IFERROR(INDEX(Leccion[selectorLeccion],SMALL(IF(EK$1=Leccion[SubSección],MATCH(ROW(Leccion[SubSección]),ROW(Leccion[SubSección]))),ROW(EJ5))),"")</f>
        <v/>
      </c>
      <c r="EL6" s="51" t="str">
        <f t="array" aca="1" ref="EL6" ca="1">IFERROR(INDEX(Leccion[selectorLeccion],SMALL(IF(EL$1=Leccion[SubSección],MATCH(ROW(Leccion[SubSección]),ROW(Leccion[SubSección]))),ROW(EK5))),"")</f>
        <v/>
      </c>
      <c r="EM6" s="51" t="str">
        <f t="array" aca="1" ref="EM6" ca="1">IFERROR(INDEX(Leccion[selectorLeccion],SMALL(IF(EM$1=Leccion[SubSección],MATCH(ROW(Leccion[SubSección]),ROW(Leccion[SubSección]))),ROW(EL5))),"")</f>
        <v/>
      </c>
      <c r="EN6" s="51" t="str">
        <f t="array" aca="1" ref="EN6" ca="1">IFERROR(INDEX(Leccion[selectorLeccion],SMALL(IF(EN$1=Leccion[SubSección],MATCH(ROW(Leccion[SubSección]),ROW(Leccion[SubSección]))),ROW(EM5))),"")</f>
        <v/>
      </c>
      <c r="EO6" s="51" t="str">
        <f t="array" aca="1" ref="EO6" ca="1">IFERROR(INDEX(Leccion[selectorLeccion],SMALL(IF(EO$1=Leccion[SubSección],MATCH(ROW(Leccion[SubSección]),ROW(Leccion[SubSección]))),ROW(EN5))),"")</f>
        <v/>
      </c>
      <c r="EP6" s="51" t="str">
        <f t="array" aca="1" ref="EP6" ca="1">IFERROR(INDEX(Leccion[selectorLeccion],SMALL(IF(EP$1=Leccion[SubSección],MATCH(ROW(Leccion[SubSección]),ROW(Leccion[SubSección]))),ROW(EO5))),"")</f>
        <v/>
      </c>
      <c r="EQ6" s="51" t="str">
        <f t="array" aca="1" ref="EQ6" ca="1">IFERROR(INDEX(Leccion[selectorLeccion],SMALL(IF(EQ$1=Leccion[SubSección],MATCH(ROW(Leccion[SubSección]),ROW(Leccion[SubSección]))),ROW(EP5))),"")</f>
        <v/>
      </c>
      <c r="ER6" s="51" t="str">
        <f t="array" aca="1" ref="ER6" ca="1">IFERROR(INDEX(Leccion[selectorLeccion],SMALL(IF(ER$1=Leccion[SubSección],MATCH(ROW(Leccion[SubSección]),ROW(Leccion[SubSección]))),ROW(EQ5))),"")</f>
        <v/>
      </c>
      <c r="ES6" s="51" t="str">
        <f t="array" aca="1" ref="ES6" ca="1">IFERROR(INDEX(Leccion[selectorLeccion],SMALL(IF(ES$1=Leccion[SubSección],MATCH(ROW(Leccion[SubSección]),ROW(Leccion[SubSección]))),ROW(ER5))),"")</f>
        <v/>
      </c>
      <c r="ET6" s="51" t="str">
        <f t="array" aca="1" ref="ET6" ca="1">IFERROR(INDEX(Leccion[selectorLeccion],SMALL(IF(ET$1=Leccion[SubSección],MATCH(ROW(Leccion[SubSección]),ROW(Leccion[SubSección]))),ROW(ES5))),"")</f>
        <v/>
      </c>
      <c r="EU6" s="51" t="str">
        <f t="array" aca="1" ref="EU6" ca="1">IFERROR(INDEX(Leccion[selectorLeccion],SMALL(IF(EU$1=Leccion[SubSección],MATCH(ROW(Leccion[SubSección]),ROW(Leccion[SubSección]))),ROW(ET5))),"")</f>
        <v/>
      </c>
      <c r="EV6" s="51" t="str">
        <f t="array" aca="1" ref="EV6" ca="1">IFERROR(INDEX(Leccion[selectorLeccion],SMALL(IF(EV$1=Leccion[SubSección],MATCH(ROW(Leccion[SubSección]),ROW(Leccion[SubSección]))),ROW(EU5))),"")</f>
        <v/>
      </c>
      <c r="EW6" s="51" t="str">
        <f t="array" aca="1" ref="EW6" ca="1">IFERROR(INDEX(Leccion[selectorLeccion],SMALL(IF(EW$1=Leccion[SubSección],MATCH(ROW(Leccion[SubSección]),ROW(Leccion[SubSección]))),ROW(EV5))),"")</f>
        <v/>
      </c>
      <c r="EX6" s="51" t="str">
        <f t="array" aca="1" ref="EX6" ca="1">IFERROR(INDEX(Leccion[selectorLeccion],SMALL(IF(EX$1=Leccion[SubSección],MATCH(ROW(Leccion[SubSección]),ROW(Leccion[SubSección]))),ROW(EW5))),"")</f>
        <v/>
      </c>
      <c r="EY6" s="51" t="str">
        <f t="array" aca="1" ref="EY6" ca="1">IFERROR(INDEX(Leccion[selectorLeccion],SMALL(IF(EY$1=Leccion[SubSección],MATCH(ROW(Leccion[SubSección]),ROW(Leccion[SubSección]))),ROW(EX5))),"")</f>
        <v/>
      </c>
      <c r="EZ6" s="51" t="str">
        <f t="array" aca="1" ref="EZ6" ca="1">IFERROR(INDEX(Leccion[selectorLeccion],SMALL(IF(EZ$1=Leccion[SubSección],MATCH(ROW(Leccion[SubSección]),ROW(Leccion[SubSección]))),ROW(EY5))),"")</f>
        <v/>
      </c>
    </row>
    <row r="7" spans="2:156" x14ac:dyDescent="0.3">
      <c r="B7" s="51" t="str">
        <f t="array" aca="1" ref="B7" ca="1">IFERROR(INDEX(Leccion[selectorLeccion],SMALL(IF(B$1=Leccion[SubSección],MATCH(ROW(Leccion[SubSección]),ROW(Leccion[SubSección]))),ROW(A6))),"")</f>
        <v/>
      </c>
      <c r="C7" s="51" t="str">
        <f t="array" aca="1" ref="C7" ca="1">IFERROR(INDEX(Leccion[selectorLeccion],SMALL(IF(C$1=Leccion[SubSección],MATCH(ROW(Leccion[SubSección]),ROW(Leccion[SubSección]))),ROW(B6))),"")</f>
        <v/>
      </c>
      <c r="D7" s="51" t="str">
        <f t="array" aca="1" ref="D7" ca="1">IFERROR(INDEX(Leccion[selectorLeccion],SMALL(IF(D$1=Leccion[SubSección],MATCH(ROW(Leccion[SubSección]),ROW(Leccion[SubSección]))),ROW(C6))),"")</f>
        <v/>
      </c>
      <c r="E7" s="51" t="str">
        <f t="array" aca="1" ref="E7" ca="1">IFERROR(INDEX(Leccion[selectorLeccion],SMALL(IF(E$1=Leccion[SubSección],MATCH(ROW(Leccion[SubSección]),ROW(Leccion[SubSección]))),ROW(D6))),"")</f>
        <v/>
      </c>
      <c r="F7" s="51" t="str">
        <f t="array" aca="1" ref="F7" ca="1">IFERROR(INDEX(Leccion[selectorLeccion],SMALL(IF(F$1=Leccion[SubSección],MATCH(ROW(Leccion[SubSección]),ROW(Leccion[SubSección]))),ROW(E6))),"")</f>
        <v/>
      </c>
      <c r="G7" s="51" t="str">
        <f t="array" aca="1" ref="G7" ca="1">IFERROR(INDEX(Leccion[selectorLeccion],SMALL(IF(G$1=Leccion[SubSección],MATCH(ROW(Leccion[SubSección]),ROW(Leccion[SubSección]))),ROW(F6))),"")</f>
        <v/>
      </c>
      <c r="H7" s="51" t="str">
        <f t="array" aca="1" ref="H7" ca="1">IFERROR(INDEX(Leccion[selectorLeccion],SMALL(IF(H$1=Leccion[SubSección],MATCH(ROW(Leccion[SubSección]),ROW(Leccion[SubSección]))),ROW(G6))),"")</f>
        <v/>
      </c>
      <c r="I7" s="51" t="str">
        <f t="array" aca="1" ref="I7" ca="1">IFERROR(INDEX(Leccion[selectorLeccion],SMALL(IF(I$1=Leccion[SubSección],MATCH(ROW(Leccion[SubSección]),ROW(Leccion[SubSección]))),ROW(H6))),"")</f>
        <v/>
      </c>
      <c r="J7" s="51" t="str">
        <f t="array" aca="1" ref="J7" ca="1">IFERROR(INDEX(Leccion[selectorLeccion],SMALL(IF(J$1=Leccion[SubSección],MATCH(ROW(Leccion[SubSección]),ROW(Leccion[SubSección]))),ROW(I6))),"")</f>
        <v/>
      </c>
      <c r="K7" s="51" t="str">
        <f t="array" aca="1" ref="K7" ca="1">IFERROR(INDEX(Leccion[selectorLeccion],SMALL(IF(K$1=Leccion[SubSección],MATCH(ROW(Leccion[SubSección]),ROW(Leccion[SubSección]))),ROW(J6))),"")</f>
        <v/>
      </c>
      <c r="L7" s="51" t="str">
        <f t="array" aca="1" ref="L7" ca="1">IFERROR(INDEX(Leccion[selectorLeccion],SMALL(IF(L$1=Leccion[SubSección],MATCH(ROW(Leccion[SubSección]),ROW(Leccion[SubSección]))),ROW(K6))),"")</f>
        <v/>
      </c>
      <c r="M7" s="51" t="str">
        <f t="array" aca="1" ref="M7" ca="1">IFERROR(INDEX(Leccion[selectorLeccion],SMALL(IF(M$1=Leccion[SubSección],MATCH(ROW(Leccion[SubSección]),ROW(Leccion[SubSección]))),ROW(L6))),"")</f>
        <v/>
      </c>
      <c r="N7" s="51" t="str">
        <f t="array" aca="1" ref="N7" ca="1">IFERROR(INDEX(Leccion[selectorLeccion],SMALL(IF(N$1=Leccion[SubSección],MATCH(ROW(Leccion[SubSección]),ROW(Leccion[SubSección]))),ROW(M6))),"")</f>
        <v/>
      </c>
      <c r="O7" s="51" t="str">
        <f t="array" aca="1" ref="O7" ca="1">IFERROR(INDEX(Leccion[selectorLeccion],SMALL(IF(O$1=Leccion[SubSección],MATCH(ROW(Leccion[SubSección]),ROW(Leccion[SubSección]))),ROW(N6))),"")</f>
        <v/>
      </c>
      <c r="P7" s="51" t="str">
        <f t="array" aca="1" ref="P7" ca="1">IFERROR(INDEX(Leccion[selectorLeccion],SMALL(IF(P$1=Leccion[SubSección],MATCH(ROW(Leccion[SubSección]),ROW(Leccion[SubSección]))),ROW(O6))),"")</f>
        <v/>
      </c>
      <c r="Q7" s="51" t="str">
        <f t="array" aca="1" ref="Q7" ca="1">IFERROR(INDEX(Leccion[selectorLeccion],SMALL(IF(Q$1=Leccion[SubSección],MATCH(ROW(Leccion[SubSección]),ROW(Leccion[SubSección]))),ROW(P6))),"")</f>
        <v/>
      </c>
      <c r="R7" s="51" t="str">
        <f t="array" aca="1" ref="R7" ca="1">IFERROR(INDEX(Leccion[selectorLeccion],SMALL(IF(R$1=Leccion[SubSección],MATCH(ROW(Leccion[SubSección]),ROW(Leccion[SubSección]))),ROW(Q6))),"")</f>
        <v/>
      </c>
      <c r="S7" s="51" t="str">
        <f t="array" aca="1" ref="S7" ca="1">IFERROR(INDEX(Leccion[selectorLeccion],SMALL(IF(S$1=Leccion[SubSección],MATCH(ROW(Leccion[SubSección]),ROW(Leccion[SubSección]))),ROW(R6))),"")</f>
        <v/>
      </c>
      <c r="T7" s="51" t="str">
        <f t="array" aca="1" ref="T7" ca="1">IFERROR(INDEX(Leccion[selectorLeccion],SMALL(IF(T$1=Leccion[SubSección],MATCH(ROW(Leccion[SubSección]),ROW(Leccion[SubSección]))),ROW(S6))),"")</f>
        <v/>
      </c>
      <c r="U7" s="51" t="str">
        <f t="array" aca="1" ref="U7" ca="1">IFERROR(INDEX(Leccion[selectorLeccion],SMALL(IF(U$1=Leccion[SubSección],MATCH(ROW(Leccion[SubSección]),ROW(Leccion[SubSección]))),ROW(T6))),"")</f>
        <v/>
      </c>
      <c r="V7" s="51" t="str">
        <f t="array" aca="1" ref="V7" ca="1">IFERROR(INDEX(Leccion[selectorLeccion],SMALL(IF(V$1=Leccion[SubSección],MATCH(ROW(Leccion[SubSección]),ROW(Leccion[SubSección]))),ROW(U6))),"")</f>
        <v/>
      </c>
      <c r="W7" s="51" t="str">
        <f t="array" aca="1" ref="W7" ca="1">IFERROR(INDEX(Leccion[selectorLeccion],SMALL(IF(W$1=Leccion[SubSección],MATCH(ROW(Leccion[SubSección]),ROW(Leccion[SubSección]))),ROW(V6))),"")</f>
        <v/>
      </c>
      <c r="X7" s="51" t="str">
        <f t="array" aca="1" ref="X7" ca="1">IFERROR(INDEX(Leccion[selectorLeccion],SMALL(IF(X$1=Leccion[SubSección],MATCH(ROW(Leccion[SubSección]),ROW(Leccion[SubSección]))),ROW(W6))),"")</f>
        <v/>
      </c>
      <c r="Y7" s="51" t="str">
        <f t="array" aca="1" ref="Y7" ca="1">IFERROR(INDEX(Leccion[selectorLeccion],SMALL(IF(Y$1=Leccion[SubSección],MATCH(ROW(Leccion[SubSección]),ROW(Leccion[SubSección]))),ROW(X6))),"")</f>
        <v/>
      </c>
      <c r="Z7" s="51" t="str">
        <f t="array" aca="1" ref="Z7" ca="1">IFERROR(INDEX(Leccion[selectorLeccion],SMALL(IF(Z$1=Leccion[SubSección],MATCH(ROW(Leccion[SubSección]),ROW(Leccion[SubSección]))),ROW(Y6))),"")</f>
        <v/>
      </c>
      <c r="AA7" s="51" t="str">
        <f t="array" aca="1" ref="AA7" ca="1">IFERROR(INDEX(Leccion[selectorLeccion],SMALL(IF(AA$1=Leccion[SubSección],MATCH(ROW(Leccion[SubSección]),ROW(Leccion[SubSección]))),ROW(Z6))),"")</f>
        <v/>
      </c>
      <c r="AB7" s="51" t="str">
        <f t="array" aca="1" ref="AB7" ca="1">IFERROR(INDEX(Leccion[selectorLeccion],SMALL(IF(AB$1=Leccion[SubSección],MATCH(ROW(Leccion[SubSección]),ROW(Leccion[SubSección]))),ROW(AA6))),"")</f>
        <v/>
      </c>
      <c r="AC7" s="51" t="str">
        <f t="array" aca="1" ref="AC7" ca="1">IFERROR(INDEX(Leccion[selectorLeccion],SMALL(IF(AC$1=Leccion[SubSección],MATCH(ROW(Leccion[SubSección]),ROW(Leccion[SubSección]))),ROW(AB6))),"")</f>
        <v/>
      </c>
      <c r="AD7" s="51" t="str">
        <f t="array" aca="1" ref="AD7" ca="1">IFERROR(INDEX(Leccion[selectorLeccion],SMALL(IF(AD$1=Leccion[SubSección],MATCH(ROW(Leccion[SubSección]),ROW(Leccion[SubSección]))),ROW(AC6))),"")</f>
        <v/>
      </c>
      <c r="AE7" s="51" t="str">
        <f t="array" aca="1" ref="AE7" ca="1">IFERROR(INDEX(Leccion[selectorLeccion],SMALL(IF(AE$1=Leccion[SubSección],MATCH(ROW(Leccion[SubSección]),ROW(Leccion[SubSección]))),ROW(AD6))),"")</f>
        <v/>
      </c>
      <c r="AF7" s="51" t="str">
        <f t="array" aca="1" ref="AF7" ca="1">IFERROR(INDEX(Leccion[selectorLeccion],SMALL(IF(AF$1=Leccion[SubSección],MATCH(ROW(Leccion[SubSección]),ROW(Leccion[SubSección]))),ROW(AE6))),"")</f>
        <v/>
      </c>
      <c r="AG7" s="51" t="str">
        <f t="array" aca="1" ref="AG7" ca="1">IFERROR(INDEX(Leccion[selectorLeccion],SMALL(IF(AG$1=Leccion[SubSección],MATCH(ROW(Leccion[SubSección]),ROW(Leccion[SubSección]))),ROW(AF6))),"")</f>
        <v/>
      </c>
      <c r="AH7" s="51" t="str">
        <f t="array" aca="1" ref="AH7" ca="1">IFERROR(INDEX(Leccion[selectorLeccion],SMALL(IF(AH$1=Leccion[SubSección],MATCH(ROW(Leccion[SubSección]),ROW(Leccion[SubSección]))),ROW(AG6))),"")</f>
        <v/>
      </c>
      <c r="AI7" s="51" t="str">
        <f t="array" aca="1" ref="AI7" ca="1">IFERROR(INDEX(Leccion[selectorLeccion],SMALL(IF(AI$1=Leccion[SubSección],MATCH(ROW(Leccion[SubSección]),ROW(Leccion[SubSección]))),ROW(AH6))),"")</f>
        <v/>
      </c>
      <c r="AJ7" s="51" t="str">
        <f t="array" aca="1" ref="AJ7" ca="1">IFERROR(INDEX(Leccion[selectorLeccion],SMALL(IF(AJ$1=Leccion[SubSección],MATCH(ROW(Leccion[SubSección]),ROW(Leccion[SubSección]))),ROW(AI6))),"")</f>
        <v/>
      </c>
      <c r="AK7" s="51" t="str">
        <f t="array" aca="1" ref="AK7" ca="1">IFERROR(INDEX(Leccion[selectorLeccion],SMALL(IF(AK$1=Leccion[SubSección],MATCH(ROW(Leccion[SubSección]),ROW(Leccion[SubSección]))),ROW(AJ6))),"")</f>
        <v/>
      </c>
      <c r="AL7" s="51" t="str">
        <f t="array" aca="1" ref="AL7" ca="1">IFERROR(INDEX(Leccion[selectorLeccion],SMALL(IF(AL$1=Leccion[SubSección],MATCH(ROW(Leccion[SubSección]),ROW(Leccion[SubSección]))),ROW(AK6))),"")</f>
        <v/>
      </c>
      <c r="AM7" s="51" t="str">
        <f t="array" aca="1" ref="AM7" ca="1">IFERROR(INDEX(Leccion[selectorLeccion],SMALL(IF(AM$1=Leccion[SubSección],MATCH(ROW(Leccion[SubSección]),ROW(Leccion[SubSección]))),ROW(AL6))),"")</f>
        <v/>
      </c>
      <c r="AN7" s="51" t="str">
        <f t="array" aca="1" ref="AN7" ca="1">IFERROR(INDEX(Leccion[selectorLeccion],SMALL(IF(AN$1=Leccion[SubSección],MATCH(ROW(Leccion[SubSección]),ROW(Leccion[SubSección]))),ROW(AM6))),"")</f>
        <v/>
      </c>
      <c r="AO7" s="51" t="str">
        <f t="array" aca="1" ref="AO7" ca="1">IFERROR(INDEX(Leccion[selectorLeccion],SMALL(IF(AO$1=Leccion[SubSección],MATCH(ROW(Leccion[SubSección]),ROW(Leccion[SubSección]))),ROW(AN6))),"")</f>
        <v/>
      </c>
      <c r="AP7" s="51" t="str">
        <f t="array" aca="1" ref="AP7" ca="1">IFERROR(INDEX(Leccion[selectorLeccion],SMALL(IF(AP$1=Leccion[SubSección],MATCH(ROW(Leccion[SubSección]),ROW(Leccion[SubSección]))),ROW(AO6))),"")</f>
        <v/>
      </c>
      <c r="AQ7" s="51" t="str">
        <f t="array" aca="1" ref="AQ7" ca="1">IFERROR(INDEX(Leccion[selectorLeccion],SMALL(IF(AQ$1=Leccion[SubSección],MATCH(ROW(Leccion[SubSección]),ROW(Leccion[SubSección]))),ROW(AP6))),"")</f>
        <v/>
      </c>
      <c r="AR7" s="51" t="str">
        <f t="array" aca="1" ref="AR7" ca="1">IFERROR(INDEX(Leccion[selectorLeccion],SMALL(IF(AR$1=Leccion[SubSección],MATCH(ROW(Leccion[SubSección]),ROW(Leccion[SubSección]))),ROW(AQ6))),"")</f>
        <v/>
      </c>
      <c r="AS7" s="51" t="str">
        <f t="array" aca="1" ref="AS7" ca="1">IFERROR(INDEX(Leccion[selectorLeccion],SMALL(IF(AS$1=Leccion[SubSección],MATCH(ROW(Leccion[SubSección]),ROW(Leccion[SubSección]))),ROW(AR6))),"")</f>
        <v/>
      </c>
      <c r="AT7" s="51" t="str">
        <f t="array" aca="1" ref="AT7" ca="1">IFERROR(INDEX(Leccion[selectorLeccion],SMALL(IF(AT$1=Leccion[SubSección],MATCH(ROW(Leccion[SubSección]),ROW(Leccion[SubSección]))),ROW(AS6))),"")</f>
        <v/>
      </c>
      <c r="AU7" s="51" t="str">
        <f t="array" aca="1" ref="AU7" ca="1">IFERROR(INDEX(Leccion[selectorLeccion],SMALL(IF(AU$1=Leccion[SubSección],MATCH(ROW(Leccion[SubSección]),ROW(Leccion[SubSección]))),ROW(AT6))),"")</f>
        <v/>
      </c>
      <c r="AV7" s="51" t="str">
        <f t="array" aca="1" ref="AV7" ca="1">IFERROR(INDEX(Leccion[selectorLeccion],SMALL(IF(AV$1=Leccion[SubSección],MATCH(ROW(Leccion[SubSección]),ROW(Leccion[SubSección]))),ROW(AU6))),"")</f>
        <v/>
      </c>
      <c r="AW7" s="51" t="str">
        <f t="array" aca="1" ref="AW7" ca="1">IFERROR(INDEX(Leccion[selectorLeccion],SMALL(IF(AW$1=Leccion[SubSección],MATCH(ROW(Leccion[SubSección]),ROW(Leccion[SubSección]))),ROW(AV6))),"")</f>
        <v/>
      </c>
      <c r="AX7" s="51" t="str">
        <f t="array" aca="1" ref="AX7" ca="1">IFERROR(INDEX(Leccion[selectorLeccion],SMALL(IF(AX$1=Leccion[SubSección],MATCH(ROW(Leccion[SubSección]),ROW(Leccion[SubSección]))),ROW(AW6))),"")</f>
        <v/>
      </c>
      <c r="AY7" s="51" t="str">
        <f t="array" aca="1" ref="AY7" ca="1">IFERROR(INDEX(Leccion[selectorLeccion],SMALL(IF(AY$1=Leccion[SubSección],MATCH(ROW(Leccion[SubSección]),ROW(Leccion[SubSección]))),ROW(AX6))),"")</f>
        <v/>
      </c>
      <c r="AZ7" s="51" t="str">
        <f t="array" aca="1" ref="AZ7" ca="1">IFERROR(INDEX(Leccion[selectorLeccion],SMALL(IF(AZ$1=Leccion[SubSección],MATCH(ROW(Leccion[SubSección]),ROW(Leccion[SubSección]))),ROW(AY6))),"")</f>
        <v/>
      </c>
      <c r="BA7" s="51" t="str">
        <f t="array" aca="1" ref="BA7" ca="1">IFERROR(INDEX(Leccion[selectorLeccion],SMALL(IF(BA$1=Leccion[SubSección],MATCH(ROW(Leccion[SubSección]),ROW(Leccion[SubSección]))),ROW(AZ6))),"")</f>
        <v/>
      </c>
      <c r="BB7" s="51" t="str">
        <f t="array" aca="1" ref="BB7" ca="1">IFERROR(INDEX(Leccion[selectorLeccion],SMALL(IF(BB$1=Leccion[SubSección],MATCH(ROW(Leccion[SubSección]),ROW(Leccion[SubSección]))),ROW(BA6))),"")</f>
        <v/>
      </c>
      <c r="BC7" s="51" t="str">
        <f t="array" aca="1" ref="BC7" ca="1">IFERROR(INDEX(Leccion[selectorLeccion],SMALL(IF(BC$1=Leccion[SubSección],MATCH(ROW(Leccion[SubSección]),ROW(Leccion[SubSección]))),ROW(BB6))),"")</f>
        <v/>
      </c>
      <c r="BD7" s="51" t="str">
        <f t="array" aca="1" ref="BD7" ca="1">IFERROR(INDEX(Leccion[selectorLeccion],SMALL(IF(BD$1=Leccion[SubSección],MATCH(ROW(Leccion[SubSección]),ROW(Leccion[SubSección]))),ROW(BC6))),"")</f>
        <v/>
      </c>
      <c r="BE7" s="51" t="str">
        <f t="array" aca="1" ref="BE7" ca="1">IFERROR(INDEX(Leccion[selectorLeccion],SMALL(IF(BE$1=Leccion[SubSección],MATCH(ROW(Leccion[SubSección]),ROW(Leccion[SubSección]))),ROW(BD6))),"")</f>
        <v/>
      </c>
      <c r="BF7" s="51" t="str">
        <f t="array" aca="1" ref="BF7" ca="1">IFERROR(INDEX(Leccion[selectorLeccion],SMALL(IF(BF$1=Leccion[SubSección],MATCH(ROW(Leccion[SubSección]),ROW(Leccion[SubSección]))),ROW(BE6))),"")</f>
        <v/>
      </c>
      <c r="BG7" s="51" t="str">
        <f t="array" aca="1" ref="BG7" ca="1">IFERROR(INDEX(Leccion[selectorLeccion],SMALL(IF(BG$1=Leccion[SubSección],MATCH(ROW(Leccion[SubSección]),ROW(Leccion[SubSección]))),ROW(BF6))),"")</f>
        <v/>
      </c>
      <c r="BH7" s="51" t="str">
        <f t="array" aca="1" ref="BH7" ca="1">IFERROR(INDEX(Leccion[selectorLeccion],SMALL(IF(BH$1=Leccion[SubSección],MATCH(ROW(Leccion[SubSección]),ROW(Leccion[SubSección]))),ROW(BG6))),"")</f>
        <v/>
      </c>
      <c r="BI7" s="51" t="str">
        <f t="array" aca="1" ref="BI7" ca="1">IFERROR(INDEX(Leccion[selectorLeccion],SMALL(IF(BI$1=Leccion[SubSección],MATCH(ROW(Leccion[SubSección]),ROW(Leccion[SubSección]))),ROW(BH6))),"")</f>
        <v/>
      </c>
      <c r="BJ7" s="51" t="str">
        <f t="array" aca="1" ref="BJ7" ca="1">IFERROR(INDEX(Leccion[selectorLeccion],SMALL(IF(BJ$1=Leccion[SubSección],MATCH(ROW(Leccion[SubSección]),ROW(Leccion[SubSección]))),ROW(BI6))),"")</f>
        <v/>
      </c>
      <c r="BK7" s="51" t="str">
        <f t="array" aca="1" ref="BK7" ca="1">IFERROR(INDEX(Leccion[selectorLeccion],SMALL(IF(BK$1=Leccion[SubSección],MATCH(ROW(Leccion[SubSección]),ROW(Leccion[SubSección]))),ROW(BJ6))),"")</f>
        <v/>
      </c>
      <c r="BL7" s="51" t="str">
        <f t="array" aca="1" ref="BL7" ca="1">IFERROR(INDEX(Leccion[selectorLeccion],SMALL(IF(BL$1=Leccion[SubSección],MATCH(ROW(Leccion[SubSección]),ROW(Leccion[SubSección]))),ROW(BK6))),"")</f>
        <v/>
      </c>
      <c r="BM7" s="51" t="str">
        <f t="array" aca="1" ref="BM7" ca="1">IFERROR(INDEX(Leccion[selectorLeccion],SMALL(IF(BM$1=Leccion[SubSección],MATCH(ROW(Leccion[SubSección]),ROW(Leccion[SubSección]))),ROW(BL6))),"")</f>
        <v/>
      </c>
      <c r="BN7" s="51" t="str">
        <f t="array" aca="1" ref="BN7" ca="1">IFERROR(INDEX(Leccion[selectorLeccion],SMALL(IF(BN$1=Leccion[SubSección],MATCH(ROW(Leccion[SubSección]),ROW(Leccion[SubSección]))),ROW(BM6))),"")</f>
        <v/>
      </c>
      <c r="BO7" s="51" t="str">
        <f t="array" aca="1" ref="BO7" ca="1">IFERROR(INDEX(Leccion[selectorLeccion],SMALL(IF(BO$1=Leccion[SubSección],MATCH(ROW(Leccion[SubSección]),ROW(Leccion[SubSección]))),ROW(BN6))),"")</f>
        <v/>
      </c>
      <c r="BP7" s="51" t="str">
        <f t="array" aca="1" ref="BP7" ca="1">IFERROR(INDEX(Leccion[selectorLeccion],SMALL(IF(BP$1=Leccion[SubSección],MATCH(ROW(Leccion[SubSección]),ROW(Leccion[SubSección]))),ROW(BO6))),"")</f>
        <v/>
      </c>
      <c r="BQ7" s="51" t="str">
        <f t="array" aca="1" ref="BQ7" ca="1">IFERROR(INDEX(Leccion[selectorLeccion],SMALL(IF(BQ$1=Leccion[SubSección],MATCH(ROW(Leccion[SubSección]),ROW(Leccion[SubSección]))),ROW(BP6))),"")</f>
        <v/>
      </c>
      <c r="BR7" s="51" t="str">
        <f t="array" aca="1" ref="BR7" ca="1">IFERROR(INDEX(Leccion[selectorLeccion],SMALL(IF(BR$1=Leccion[SubSección],MATCH(ROW(Leccion[SubSección]),ROW(Leccion[SubSección]))),ROW(BQ6))),"")</f>
        <v/>
      </c>
      <c r="BS7" s="51" t="str">
        <f t="array" aca="1" ref="BS7" ca="1">IFERROR(INDEX(Leccion[selectorLeccion],SMALL(IF(BS$1=Leccion[SubSección],MATCH(ROW(Leccion[SubSección]),ROW(Leccion[SubSección]))),ROW(BR6))),"")</f>
        <v/>
      </c>
      <c r="BT7" s="51" t="str">
        <f t="array" aca="1" ref="BT7" ca="1">IFERROR(INDEX(Leccion[selectorLeccion],SMALL(IF(BT$1=Leccion[SubSección],MATCH(ROW(Leccion[SubSección]),ROW(Leccion[SubSección]))),ROW(BS6))),"")</f>
        <v/>
      </c>
      <c r="BU7" s="51" t="str">
        <f t="array" aca="1" ref="BU7" ca="1">IFERROR(INDEX(Leccion[selectorLeccion],SMALL(IF(BU$1=Leccion[SubSección],MATCH(ROW(Leccion[SubSección]),ROW(Leccion[SubSección]))),ROW(BT6))),"")</f>
        <v/>
      </c>
      <c r="BV7" s="51" t="str">
        <f t="array" aca="1" ref="BV7" ca="1">IFERROR(INDEX(Leccion[selectorLeccion],SMALL(IF(BV$1=Leccion[SubSección],MATCH(ROW(Leccion[SubSección]),ROW(Leccion[SubSección]))),ROW(BU6))),"")</f>
        <v/>
      </c>
      <c r="BW7" s="51" t="str">
        <f t="array" aca="1" ref="BW7" ca="1">IFERROR(INDEX(Leccion[selectorLeccion],SMALL(IF(BW$1=Leccion[SubSección],MATCH(ROW(Leccion[SubSección]),ROW(Leccion[SubSección]))),ROW(BV6))),"")</f>
        <v/>
      </c>
      <c r="BX7" s="51" t="str">
        <f t="array" aca="1" ref="BX7" ca="1">IFERROR(INDEX(Leccion[selectorLeccion],SMALL(IF(BX$1=Leccion[SubSección],MATCH(ROW(Leccion[SubSección]),ROW(Leccion[SubSección]))),ROW(BW6))),"")</f>
        <v/>
      </c>
      <c r="BY7" s="51" t="str">
        <f t="array" aca="1" ref="BY7" ca="1">IFERROR(INDEX(Leccion[selectorLeccion],SMALL(IF(BY$1=Leccion[SubSección],MATCH(ROW(Leccion[SubSección]),ROW(Leccion[SubSección]))),ROW(BX6))),"")</f>
        <v/>
      </c>
      <c r="BZ7" s="51" t="str">
        <f t="array" aca="1" ref="BZ7" ca="1">IFERROR(INDEX(Leccion[selectorLeccion],SMALL(IF(BZ$1=Leccion[SubSección],MATCH(ROW(Leccion[SubSección]),ROW(Leccion[SubSección]))),ROW(BY6))),"")</f>
        <v/>
      </c>
      <c r="CA7" s="51" t="str">
        <f t="array" aca="1" ref="CA7" ca="1">IFERROR(INDEX(Leccion[selectorLeccion],SMALL(IF(CA$1=Leccion[SubSección],MATCH(ROW(Leccion[SubSección]),ROW(Leccion[SubSección]))),ROW(BZ6))),"")</f>
        <v/>
      </c>
      <c r="CB7" s="51" t="str">
        <f t="array" aca="1" ref="CB7" ca="1">IFERROR(INDEX(Leccion[selectorLeccion],SMALL(IF(CB$1=Leccion[SubSección],MATCH(ROW(Leccion[SubSección]),ROW(Leccion[SubSección]))),ROW(CA6))),"")</f>
        <v/>
      </c>
      <c r="CC7" s="51" t="str">
        <f t="array" aca="1" ref="CC7" ca="1">IFERROR(INDEX(Leccion[selectorLeccion],SMALL(IF(CC$1=Leccion[SubSección],MATCH(ROW(Leccion[SubSección]),ROW(Leccion[SubSección]))),ROW(CB6))),"")</f>
        <v/>
      </c>
      <c r="CD7" s="51" t="str">
        <f t="array" aca="1" ref="CD7" ca="1">IFERROR(INDEX(Leccion[selectorLeccion],SMALL(IF(CD$1=Leccion[SubSección],MATCH(ROW(Leccion[SubSección]),ROW(Leccion[SubSección]))),ROW(CC6))),"")</f>
        <v/>
      </c>
      <c r="CE7" s="51" t="str">
        <f t="array" aca="1" ref="CE7" ca="1">IFERROR(INDEX(Leccion[selectorLeccion],SMALL(IF(CE$1=Leccion[SubSección],MATCH(ROW(Leccion[SubSección]),ROW(Leccion[SubSección]))),ROW(CD6))),"")</f>
        <v/>
      </c>
      <c r="CF7" s="51" t="str">
        <f t="array" aca="1" ref="CF7" ca="1">IFERROR(INDEX(Leccion[selectorLeccion],SMALL(IF(CF$1=Leccion[SubSección],MATCH(ROW(Leccion[SubSección]),ROW(Leccion[SubSección]))),ROW(CE6))),"")</f>
        <v/>
      </c>
      <c r="CG7" s="51" t="str">
        <f t="array" aca="1" ref="CG7" ca="1">IFERROR(INDEX(Leccion[selectorLeccion],SMALL(IF(CG$1=Leccion[SubSección],MATCH(ROW(Leccion[SubSección]),ROW(Leccion[SubSección]))),ROW(CF6))),"")</f>
        <v/>
      </c>
      <c r="CH7" s="51" t="str">
        <f t="array" aca="1" ref="CH7" ca="1">IFERROR(INDEX(Leccion[selectorLeccion],SMALL(IF(CH$1=Leccion[SubSección],MATCH(ROW(Leccion[SubSección]),ROW(Leccion[SubSección]))),ROW(CG6))),"")</f>
        <v/>
      </c>
      <c r="CI7" s="51" t="str">
        <f t="array" aca="1" ref="CI7" ca="1">IFERROR(INDEX(Leccion[selectorLeccion],SMALL(IF(CI$1=Leccion[SubSección],MATCH(ROW(Leccion[SubSección]),ROW(Leccion[SubSección]))),ROW(CH6))),"")</f>
        <v/>
      </c>
      <c r="CJ7" s="51" t="str">
        <f t="array" aca="1" ref="CJ7" ca="1">IFERROR(INDEX(Leccion[selectorLeccion],SMALL(IF(CJ$1=Leccion[SubSección],MATCH(ROW(Leccion[SubSección]),ROW(Leccion[SubSección]))),ROW(CI6))),"")</f>
        <v/>
      </c>
      <c r="CK7" s="51" t="str">
        <f t="array" aca="1" ref="CK7" ca="1">IFERROR(INDEX(Leccion[selectorLeccion],SMALL(IF(CK$1=Leccion[SubSección],MATCH(ROW(Leccion[SubSección]),ROW(Leccion[SubSección]))),ROW(CJ6))),"")</f>
        <v/>
      </c>
      <c r="CL7" s="51" t="str">
        <f t="array" aca="1" ref="CL7" ca="1">IFERROR(INDEX(Leccion[selectorLeccion],SMALL(IF(CL$1=Leccion[SubSección],MATCH(ROW(Leccion[SubSección]),ROW(Leccion[SubSección]))),ROW(CK6))),"")</f>
        <v/>
      </c>
      <c r="CM7" s="51" t="str">
        <f t="array" aca="1" ref="CM7" ca="1">IFERROR(INDEX(Leccion[selectorLeccion],SMALL(IF(CM$1=Leccion[SubSección],MATCH(ROW(Leccion[SubSección]),ROW(Leccion[SubSección]))),ROW(CL6))),"")</f>
        <v/>
      </c>
      <c r="CN7" s="51" t="str">
        <f t="array" aca="1" ref="CN7" ca="1">IFERROR(INDEX(Leccion[selectorLeccion],SMALL(IF(CN$1=Leccion[SubSección],MATCH(ROW(Leccion[SubSección]),ROW(Leccion[SubSección]))),ROW(CM6))),"")</f>
        <v/>
      </c>
      <c r="CO7" s="51" t="str">
        <f t="array" aca="1" ref="CO7" ca="1">IFERROR(INDEX(Leccion[selectorLeccion],SMALL(IF(CO$1=Leccion[SubSección],MATCH(ROW(Leccion[SubSección]),ROW(Leccion[SubSección]))),ROW(CN6))),"")</f>
        <v/>
      </c>
      <c r="CP7" s="51" t="str">
        <f t="array" aca="1" ref="CP7" ca="1">IFERROR(INDEX(Leccion[selectorLeccion],SMALL(IF(CP$1=Leccion[SubSección],MATCH(ROW(Leccion[SubSección]),ROW(Leccion[SubSección]))),ROW(CO6))),"")</f>
        <v/>
      </c>
      <c r="CQ7" s="51" t="str">
        <f t="array" aca="1" ref="CQ7" ca="1">IFERROR(INDEX(Leccion[selectorLeccion],SMALL(IF(CQ$1=Leccion[SubSección],MATCH(ROW(Leccion[SubSección]),ROW(Leccion[SubSección]))),ROW(CP6))),"")</f>
        <v/>
      </c>
      <c r="CR7" s="51" t="str">
        <f t="array" aca="1" ref="CR7" ca="1">IFERROR(INDEX(Leccion[selectorLeccion],SMALL(IF(CR$1=Leccion[SubSección],MATCH(ROW(Leccion[SubSección]),ROW(Leccion[SubSección]))),ROW(CQ6))),"")</f>
        <v/>
      </c>
      <c r="CS7" s="51" t="str">
        <f t="array" aca="1" ref="CS7" ca="1">IFERROR(INDEX(Leccion[selectorLeccion],SMALL(IF(CS$1=Leccion[SubSección],MATCH(ROW(Leccion[SubSección]),ROW(Leccion[SubSección]))),ROW(CR6))),"")</f>
        <v/>
      </c>
      <c r="CT7" s="51" t="str">
        <f t="array" aca="1" ref="CT7" ca="1">IFERROR(INDEX(Leccion[selectorLeccion],SMALL(IF(CT$1=Leccion[SubSección],MATCH(ROW(Leccion[SubSección]),ROW(Leccion[SubSección]))),ROW(CS6))),"")</f>
        <v/>
      </c>
      <c r="CU7" s="51" t="str">
        <f t="array" aca="1" ref="CU7" ca="1">IFERROR(INDEX(Leccion[selectorLeccion],SMALL(IF(CU$1=Leccion[SubSección],MATCH(ROW(Leccion[SubSección]),ROW(Leccion[SubSección]))),ROW(CT6))),"")</f>
        <v/>
      </c>
      <c r="CV7" s="51" t="str">
        <f t="array" aca="1" ref="CV7" ca="1">IFERROR(INDEX(Leccion[selectorLeccion],SMALL(IF(CV$1=Leccion[SubSección],MATCH(ROW(Leccion[SubSección]),ROW(Leccion[SubSección]))),ROW(CU6))),"")</f>
        <v/>
      </c>
      <c r="CW7" s="51" t="str">
        <f t="array" aca="1" ref="CW7" ca="1">IFERROR(INDEX(Leccion[selectorLeccion],SMALL(IF(CW$1=Leccion[SubSección],MATCH(ROW(Leccion[SubSección]),ROW(Leccion[SubSección]))),ROW(CV6))),"")</f>
        <v/>
      </c>
      <c r="CX7" s="51" t="str">
        <f t="array" aca="1" ref="CX7" ca="1">IFERROR(INDEX(Leccion[selectorLeccion],SMALL(IF(CX$1=Leccion[SubSección],MATCH(ROW(Leccion[SubSección]),ROW(Leccion[SubSección]))),ROW(CW6))),"")</f>
        <v/>
      </c>
      <c r="CY7" s="51" t="str">
        <f t="array" aca="1" ref="CY7" ca="1">IFERROR(INDEX(Leccion[selectorLeccion],SMALL(IF(CY$1=Leccion[SubSección],MATCH(ROW(Leccion[SubSección]),ROW(Leccion[SubSección]))),ROW(CX6))),"")</f>
        <v/>
      </c>
      <c r="CZ7" s="51" t="str">
        <f t="array" aca="1" ref="CZ7" ca="1">IFERROR(INDEX(Leccion[selectorLeccion],SMALL(IF(CZ$1=Leccion[SubSección],MATCH(ROW(Leccion[SubSección]),ROW(Leccion[SubSección]))),ROW(CY6))),"")</f>
        <v/>
      </c>
      <c r="DA7" s="51" t="str">
        <f t="array" aca="1" ref="DA7" ca="1">IFERROR(INDEX(Leccion[selectorLeccion],SMALL(IF(DA$1=Leccion[SubSección],MATCH(ROW(Leccion[SubSección]),ROW(Leccion[SubSección]))),ROW(CZ6))),"")</f>
        <v/>
      </c>
      <c r="DB7" s="51" t="str">
        <f t="array" aca="1" ref="DB7" ca="1">IFERROR(INDEX(Leccion[selectorLeccion],SMALL(IF(DB$1=Leccion[SubSección],MATCH(ROW(Leccion[SubSección]),ROW(Leccion[SubSección]))),ROW(DA6))),"")</f>
        <v/>
      </c>
      <c r="DC7" s="51" t="str">
        <f t="array" aca="1" ref="DC7" ca="1">IFERROR(INDEX(Leccion[selectorLeccion],SMALL(IF(DC$1=Leccion[SubSección],MATCH(ROW(Leccion[SubSección]),ROW(Leccion[SubSección]))),ROW(DB6))),"")</f>
        <v/>
      </c>
      <c r="DD7" s="51" t="str">
        <f t="array" aca="1" ref="DD7" ca="1">IFERROR(INDEX(Leccion[selectorLeccion],SMALL(IF(DD$1=Leccion[SubSección],MATCH(ROW(Leccion[SubSección]),ROW(Leccion[SubSección]))),ROW(DC6))),"")</f>
        <v/>
      </c>
      <c r="DE7" s="51" t="str">
        <f t="array" aca="1" ref="DE7" ca="1">IFERROR(INDEX(Leccion[selectorLeccion],SMALL(IF(DE$1=Leccion[SubSección],MATCH(ROW(Leccion[SubSección]),ROW(Leccion[SubSección]))),ROW(DD6))),"")</f>
        <v/>
      </c>
      <c r="DF7" s="51" t="str">
        <f t="array" aca="1" ref="DF7" ca="1">IFERROR(INDEX(Leccion[selectorLeccion],SMALL(IF(DF$1=Leccion[SubSección],MATCH(ROW(Leccion[SubSección]),ROW(Leccion[SubSección]))),ROW(DE6))),"")</f>
        <v/>
      </c>
      <c r="DG7" s="51" t="str">
        <f t="array" aca="1" ref="DG7" ca="1">IFERROR(INDEX(Leccion[selectorLeccion],SMALL(IF(DG$1=Leccion[SubSección],MATCH(ROW(Leccion[SubSección]),ROW(Leccion[SubSección]))),ROW(DF6))),"")</f>
        <v/>
      </c>
      <c r="DH7" s="51" t="str">
        <f t="array" aca="1" ref="DH7" ca="1">IFERROR(INDEX(Leccion[selectorLeccion],SMALL(IF(DH$1=Leccion[SubSección],MATCH(ROW(Leccion[SubSección]),ROW(Leccion[SubSección]))),ROW(DG6))),"")</f>
        <v/>
      </c>
      <c r="DI7" s="51" t="str">
        <f t="array" aca="1" ref="DI7" ca="1">IFERROR(INDEX(Leccion[selectorLeccion],SMALL(IF(DI$1=Leccion[SubSección],MATCH(ROW(Leccion[SubSección]),ROW(Leccion[SubSección]))),ROW(DH6))),"")</f>
        <v/>
      </c>
      <c r="DJ7" s="51" t="str">
        <f t="array" aca="1" ref="DJ7" ca="1">IFERROR(INDEX(Leccion[selectorLeccion],SMALL(IF(DJ$1=Leccion[SubSección],MATCH(ROW(Leccion[SubSección]),ROW(Leccion[SubSección]))),ROW(DI6))),"")</f>
        <v/>
      </c>
      <c r="DK7" s="51" t="str">
        <f t="array" aca="1" ref="DK7" ca="1">IFERROR(INDEX(Leccion[selectorLeccion],SMALL(IF(DK$1=Leccion[SubSección],MATCH(ROW(Leccion[SubSección]),ROW(Leccion[SubSección]))),ROW(DJ6))),"")</f>
        <v/>
      </c>
      <c r="DL7" s="51" t="str">
        <f t="array" aca="1" ref="DL7" ca="1">IFERROR(INDEX(Leccion[selectorLeccion],SMALL(IF(DL$1=Leccion[SubSección],MATCH(ROW(Leccion[SubSección]),ROW(Leccion[SubSección]))),ROW(DK6))),"")</f>
        <v/>
      </c>
      <c r="DM7" s="51" t="str">
        <f t="array" aca="1" ref="DM7" ca="1">IFERROR(INDEX(Leccion[selectorLeccion],SMALL(IF(DM$1=Leccion[SubSección],MATCH(ROW(Leccion[SubSección]),ROW(Leccion[SubSección]))),ROW(DL6))),"")</f>
        <v/>
      </c>
      <c r="DN7" s="51" t="str">
        <f t="array" aca="1" ref="DN7" ca="1">IFERROR(INDEX(Leccion[selectorLeccion],SMALL(IF(DN$1=Leccion[SubSección],MATCH(ROW(Leccion[SubSección]),ROW(Leccion[SubSección]))),ROW(DM6))),"")</f>
        <v/>
      </c>
      <c r="DO7" s="51" t="str">
        <f t="array" aca="1" ref="DO7" ca="1">IFERROR(INDEX(Leccion[selectorLeccion],SMALL(IF(DO$1=Leccion[SubSección],MATCH(ROW(Leccion[SubSección]),ROW(Leccion[SubSección]))),ROW(DN6))),"")</f>
        <v/>
      </c>
      <c r="DP7" s="51" t="str">
        <f t="array" aca="1" ref="DP7" ca="1">IFERROR(INDEX(Leccion[selectorLeccion],SMALL(IF(DP$1=Leccion[SubSección],MATCH(ROW(Leccion[SubSección]),ROW(Leccion[SubSección]))),ROW(DO6))),"")</f>
        <v/>
      </c>
      <c r="DQ7" s="51" t="str">
        <f t="array" aca="1" ref="DQ7" ca="1">IFERROR(INDEX(Leccion[selectorLeccion],SMALL(IF(DQ$1=Leccion[SubSección],MATCH(ROW(Leccion[SubSección]),ROW(Leccion[SubSección]))),ROW(DP6))),"")</f>
        <v/>
      </c>
      <c r="DR7" s="51" t="str">
        <f t="array" aca="1" ref="DR7" ca="1">IFERROR(INDEX(Leccion[selectorLeccion],SMALL(IF(DR$1=Leccion[SubSección],MATCH(ROW(Leccion[SubSección]),ROW(Leccion[SubSección]))),ROW(DQ6))),"")</f>
        <v/>
      </c>
      <c r="DS7" s="51" t="str">
        <f t="array" aca="1" ref="DS7" ca="1">IFERROR(INDEX(Leccion[selectorLeccion],SMALL(IF(DS$1=Leccion[SubSección],MATCH(ROW(Leccion[SubSección]),ROW(Leccion[SubSección]))),ROW(DR6))),"")</f>
        <v/>
      </c>
      <c r="DT7" s="51" t="str">
        <f t="array" aca="1" ref="DT7" ca="1">IFERROR(INDEX(Leccion[selectorLeccion],SMALL(IF(DT$1=Leccion[SubSección],MATCH(ROW(Leccion[SubSección]),ROW(Leccion[SubSección]))),ROW(DS6))),"")</f>
        <v/>
      </c>
      <c r="DU7" s="51" t="str">
        <f t="array" aca="1" ref="DU7" ca="1">IFERROR(INDEX(Leccion[selectorLeccion],SMALL(IF(DU$1=Leccion[SubSección],MATCH(ROW(Leccion[SubSección]),ROW(Leccion[SubSección]))),ROW(DT6))),"")</f>
        <v/>
      </c>
      <c r="DV7" s="51" t="str">
        <f t="array" aca="1" ref="DV7" ca="1">IFERROR(INDEX(Leccion[selectorLeccion],SMALL(IF(DV$1=Leccion[SubSección],MATCH(ROW(Leccion[SubSección]),ROW(Leccion[SubSección]))),ROW(DU6))),"")</f>
        <v/>
      </c>
      <c r="DW7" s="51" t="str">
        <f t="array" aca="1" ref="DW7" ca="1">IFERROR(INDEX(Leccion[selectorLeccion],SMALL(IF(DW$1=Leccion[SubSección],MATCH(ROW(Leccion[SubSección]),ROW(Leccion[SubSección]))),ROW(DV6))),"")</f>
        <v/>
      </c>
      <c r="DX7" s="51" t="str">
        <f t="array" aca="1" ref="DX7" ca="1">IFERROR(INDEX(Leccion[selectorLeccion],SMALL(IF(DX$1=Leccion[SubSección],MATCH(ROW(Leccion[SubSección]),ROW(Leccion[SubSección]))),ROW(DW6))),"")</f>
        <v/>
      </c>
      <c r="DY7" s="51" t="str">
        <f t="array" aca="1" ref="DY7" ca="1">IFERROR(INDEX(Leccion[selectorLeccion],SMALL(IF(DY$1=Leccion[SubSección],MATCH(ROW(Leccion[SubSección]),ROW(Leccion[SubSección]))),ROW(DX6))),"")</f>
        <v/>
      </c>
      <c r="DZ7" s="51" t="str">
        <f t="array" aca="1" ref="DZ7" ca="1">IFERROR(INDEX(Leccion[selectorLeccion],SMALL(IF(DZ$1=Leccion[SubSección],MATCH(ROW(Leccion[SubSección]),ROW(Leccion[SubSección]))),ROW(DY6))),"")</f>
        <v/>
      </c>
      <c r="EA7" s="51" t="str">
        <f t="array" aca="1" ref="EA7" ca="1">IFERROR(INDEX(Leccion[selectorLeccion],SMALL(IF(EA$1=Leccion[SubSección],MATCH(ROW(Leccion[SubSección]),ROW(Leccion[SubSección]))),ROW(DZ6))),"")</f>
        <v/>
      </c>
      <c r="EB7" s="51" t="str">
        <f t="array" aca="1" ref="EB7" ca="1">IFERROR(INDEX(Leccion[selectorLeccion],SMALL(IF(EB$1=Leccion[SubSección],MATCH(ROW(Leccion[SubSección]),ROW(Leccion[SubSección]))),ROW(EA6))),"")</f>
        <v/>
      </c>
      <c r="EC7" s="51" t="str">
        <f t="array" aca="1" ref="EC7" ca="1">IFERROR(INDEX(Leccion[selectorLeccion],SMALL(IF(EC$1=Leccion[SubSección],MATCH(ROW(Leccion[SubSección]),ROW(Leccion[SubSección]))),ROW(EB6))),"")</f>
        <v/>
      </c>
      <c r="ED7" s="51" t="str">
        <f t="array" aca="1" ref="ED7" ca="1">IFERROR(INDEX(Leccion[selectorLeccion],SMALL(IF(ED$1=Leccion[SubSección],MATCH(ROW(Leccion[SubSección]),ROW(Leccion[SubSección]))),ROW(EC6))),"")</f>
        <v/>
      </c>
      <c r="EE7" s="51" t="str">
        <f t="array" aca="1" ref="EE7" ca="1">IFERROR(INDEX(Leccion[selectorLeccion],SMALL(IF(EE$1=Leccion[SubSección],MATCH(ROW(Leccion[SubSección]),ROW(Leccion[SubSección]))),ROW(ED6))),"")</f>
        <v/>
      </c>
      <c r="EF7" s="51" t="str">
        <f t="array" aca="1" ref="EF7" ca="1">IFERROR(INDEX(Leccion[selectorLeccion],SMALL(IF(EF$1=Leccion[SubSección],MATCH(ROW(Leccion[SubSección]),ROW(Leccion[SubSección]))),ROW(EE6))),"")</f>
        <v/>
      </c>
      <c r="EG7" s="51" t="str">
        <f t="array" aca="1" ref="EG7" ca="1">IFERROR(INDEX(Leccion[selectorLeccion],SMALL(IF(EG$1=Leccion[SubSección],MATCH(ROW(Leccion[SubSección]),ROW(Leccion[SubSección]))),ROW(EF6))),"")</f>
        <v/>
      </c>
      <c r="EH7" s="51" t="str">
        <f t="array" aca="1" ref="EH7" ca="1">IFERROR(INDEX(Leccion[selectorLeccion],SMALL(IF(EH$1=Leccion[SubSección],MATCH(ROW(Leccion[SubSección]),ROW(Leccion[SubSección]))),ROW(EG6))),"")</f>
        <v/>
      </c>
      <c r="EI7" s="51" t="str">
        <f t="array" aca="1" ref="EI7" ca="1">IFERROR(INDEX(Leccion[selectorLeccion],SMALL(IF(EI$1=Leccion[SubSección],MATCH(ROW(Leccion[SubSección]),ROW(Leccion[SubSección]))),ROW(EH6))),"")</f>
        <v/>
      </c>
      <c r="EJ7" s="51" t="str">
        <f t="array" aca="1" ref="EJ7" ca="1">IFERROR(INDEX(Leccion[selectorLeccion],SMALL(IF(EJ$1=Leccion[SubSección],MATCH(ROW(Leccion[SubSección]),ROW(Leccion[SubSección]))),ROW(EI6))),"")</f>
        <v/>
      </c>
      <c r="EK7" s="51" t="str">
        <f t="array" aca="1" ref="EK7" ca="1">IFERROR(INDEX(Leccion[selectorLeccion],SMALL(IF(EK$1=Leccion[SubSección],MATCH(ROW(Leccion[SubSección]),ROW(Leccion[SubSección]))),ROW(EJ6))),"")</f>
        <v/>
      </c>
      <c r="EL7" s="51" t="str">
        <f t="array" aca="1" ref="EL7" ca="1">IFERROR(INDEX(Leccion[selectorLeccion],SMALL(IF(EL$1=Leccion[SubSección],MATCH(ROW(Leccion[SubSección]),ROW(Leccion[SubSección]))),ROW(EK6))),"")</f>
        <v/>
      </c>
      <c r="EM7" s="51" t="str">
        <f t="array" aca="1" ref="EM7" ca="1">IFERROR(INDEX(Leccion[selectorLeccion],SMALL(IF(EM$1=Leccion[SubSección],MATCH(ROW(Leccion[SubSección]),ROW(Leccion[SubSección]))),ROW(EL6))),"")</f>
        <v/>
      </c>
      <c r="EN7" s="51" t="str">
        <f t="array" aca="1" ref="EN7" ca="1">IFERROR(INDEX(Leccion[selectorLeccion],SMALL(IF(EN$1=Leccion[SubSección],MATCH(ROW(Leccion[SubSección]),ROW(Leccion[SubSección]))),ROW(EM6))),"")</f>
        <v/>
      </c>
      <c r="EO7" s="51" t="str">
        <f t="array" aca="1" ref="EO7" ca="1">IFERROR(INDEX(Leccion[selectorLeccion],SMALL(IF(EO$1=Leccion[SubSección],MATCH(ROW(Leccion[SubSección]),ROW(Leccion[SubSección]))),ROW(EN6))),"")</f>
        <v/>
      </c>
      <c r="EP7" s="51" t="str">
        <f t="array" aca="1" ref="EP7" ca="1">IFERROR(INDEX(Leccion[selectorLeccion],SMALL(IF(EP$1=Leccion[SubSección],MATCH(ROW(Leccion[SubSección]),ROW(Leccion[SubSección]))),ROW(EO6))),"")</f>
        <v/>
      </c>
      <c r="EQ7" s="51" t="str">
        <f t="array" aca="1" ref="EQ7" ca="1">IFERROR(INDEX(Leccion[selectorLeccion],SMALL(IF(EQ$1=Leccion[SubSección],MATCH(ROW(Leccion[SubSección]),ROW(Leccion[SubSección]))),ROW(EP6))),"")</f>
        <v/>
      </c>
      <c r="ER7" s="51" t="str">
        <f t="array" aca="1" ref="ER7" ca="1">IFERROR(INDEX(Leccion[selectorLeccion],SMALL(IF(ER$1=Leccion[SubSección],MATCH(ROW(Leccion[SubSección]),ROW(Leccion[SubSección]))),ROW(EQ6))),"")</f>
        <v/>
      </c>
      <c r="ES7" s="51" t="str">
        <f t="array" aca="1" ref="ES7" ca="1">IFERROR(INDEX(Leccion[selectorLeccion],SMALL(IF(ES$1=Leccion[SubSección],MATCH(ROW(Leccion[SubSección]),ROW(Leccion[SubSección]))),ROW(ER6))),"")</f>
        <v/>
      </c>
      <c r="ET7" s="51" t="str">
        <f t="array" aca="1" ref="ET7" ca="1">IFERROR(INDEX(Leccion[selectorLeccion],SMALL(IF(ET$1=Leccion[SubSección],MATCH(ROW(Leccion[SubSección]),ROW(Leccion[SubSección]))),ROW(ES6))),"")</f>
        <v/>
      </c>
      <c r="EU7" s="51" t="str">
        <f t="array" aca="1" ref="EU7" ca="1">IFERROR(INDEX(Leccion[selectorLeccion],SMALL(IF(EU$1=Leccion[SubSección],MATCH(ROW(Leccion[SubSección]),ROW(Leccion[SubSección]))),ROW(ET6))),"")</f>
        <v/>
      </c>
      <c r="EV7" s="51" t="str">
        <f t="array" aca="1" ref="EV7" ca="1">IFERROR(INDEX(Leccion[selectorLeccion],SMALL(IF(EV$1=Leccion[SubSección],MATCH(ROW(Leccion[SubSección]),ROW(Leccion[SubSección]))),ROW(EU6))),"")</f>
        <v/>
      </c>
      <c r="EW7" s="51" t="str">
        <f t="array" aca="1" ref="EW7" ca="1">IFERROR(INDEX(Leccion[selectorLeccion],SMALL(IF(EW$1=Leccion[SubSección],MATCH(ROW(Leccion[SubSección]),ROW(Leccion[SubSección]))),ROW(EV6))),"")</f>
        <v/>
      </c>
      <c r="EX7" s="51" t="str">
        <f t="array" aca="1" ref="EX7" ca="1">IFERROR(INDEX(Leccion[selectorLeccion],SMALL(IF(EX$1=Leccion[SubSección],MATCH(ROW(Leccion[SubSección]),ROW(Leccion[SubSección]))),ROW(EW6))),"")</f>
        <v/>
      </c>
      <c r="EY7" s="51" t="str">
        <f t="array" aca="1" ref="EY7" ca="1">IFERROR(INDEX(Leccion[selectorLeccion],SMALL(IF(EY$1=Leccion[SubSección],MATCH(ROW(Leccion[SubSección]),ROW(Leccion[SubSección]))),ROW(EX6))),"")</f>
        <v/>
      </c>
      <c r="EZ7" s="51" t="str">
        <f t="array" aca="1" ref="EZ7" ca="1">IFERROR(INDEX(Leccion[selectorLeccion],SMALL(IF(EZ$1=Leccion[SubSección],MATCH(ROW(Leccion[SubSección]),ROW(Leccion[SubSección]))),ROW(EY6))),"")</f>
        <v/>
      </c>
    </row>
    <row r="8" spans="2:156" x14ac:dyDescent="0.3">
      <c r="B8" s="51" t="str">
        <f t="array" aca="1" ref="B8" ca="1">IFERROR(INDEX(Leccion[selectorLeccion],SMALL(IF(B$1=Leccion[SubSección],MATCH(ROW(Leccion[SubSección]),ROW(Leccion[SubSección]))),ROW(A7))),"")</f>
        <v/>
      </c>
      <c r="C8" s="51" t="str">
        <f t="array" aca="1" ref="C8" ca="1">IFERROR(INDEX(Leccion[selectorLeccion],SMALL(IF(C$1=Leccion[SubSección],MATCH(ROW(Leccion[SubSección]),ROW(Leccion[SubSección]))),ROW(B7))),"")</f>
        <v/>
      </c>
      <c r="D8" s="51" t="str">
        <f t="array" aca="1" ref="D8" ca="1">IFERROR(INDEX(Leccion[selectorLeccion],SMALL(IF(D$1=Leccion[SubSección],MATCH(ROW(Leccion[SubSección]),ROW(Leccion[SubSección]))),ROW(C7))),"")</f>
        <v/>
      </c>
      <c r="E8" s="51" t="str">
        <f t="array" aca="1" ref="E8" ca="1">IFERROR(INDEX(Leccion[selectorLeccion],SMALL(IF(E$1=Leccion[SubSección],MATCH(ROW(Leccion[SubSección]),ROW(Leccion[SubSección]))),ROW(D7))),"")</f>
        <v/>
      </c>
      <c r="F8" s="51" t="str">
        <f t="array" aca="1" ref="F8" ca="1">IFERROR(INDEX(Leccion[selectorLeccion],SMALL(IF(F$1=Leccion[SubSección],MATCH(ROW(Leccion[SubSección]),ROW(Leccion[SubSección]))),ROW(E7))),"")</f>
        <v/>
      </c>
      <c r="G8" s="51" t="str">
        <f t="array" aca="1" ref="G8" ca="1">IFERROR(INDEX(Leccion[selectorLeccion],SMALL(IF(G$1=Leccion[SubSección],MATCH(ROW(Leccion[SubSección]),ROW(Leccion[SubSección]))),ROW(F7))),"")</f>
        <v/>
      </c>
      <c r="H8" s="51" t="str">
        <f t="array" aca="1" ref="H8" ca="1">IFERROR(INDEX(Leccion[selectorLeccion],SMALL(IF(H$1=Leccion[SubSección],MATCH(ROW(Leccion[SubSección]),ROW(Leccion[SubSección]))),ROW(G7))),"")</f>
        <v/>
      </c>
      <c r="I8" s="51" t="str">
        <f t="array" aca="1" ref="I8" ca="1">IFERROR(INDEX(Leccion[selectorLeccion],SMALL(IF(I$1=Leccion[SubSección],MATCH(ROW(Leccion[SubSección]),ROW(Leccion[SubSección]))),ROW(H7))),"")</f>
        <v/>
      </c>
      <c r="J8" s="51" t="str">
        <f t="array" aca="1" ref="J8" ca="1">IFERROR(INDEX(Leccion[selectorLeccion],SMALL(IF(J$1=Leccion[SubSección],MATCH(ROW(Leccion[SubSección]),ROW(Leccion[SubSección]))),ROW(I7))),"")</f>
        <v/>
      </c>
      <c r="K8" s="51" t="str">
        <f t="array" aca="1" ref="K8" ca="1">IFERROR(INDEX(Leccion[selectorLeccion],SMALL(IF(K$1=Leccion[SubSección],MATCH(ROW(Leccion[SubSección]),ROW(Leccion[SubSección]))),ROW(J7))),"")</f>
        <v/>
      </c>
      <c r="L8" s="51" t="str">
        <f t="array" aca="1" ref="L8" ca="1">IFERROR(INDEX(Leccion[selectorLeccion],SMALL(IF(L$1=Leccion[SubSección],MATCH(ROW(Leccion[SubSección]),ROW(Leccion[SubSección]))),ROW(K7))),"")</f>
        <v/>
      </c>
      <c r="M8" s="51" t="str">
        <f t="array" aca="1" ref="M8" ca="1">IFERROR(INDEX(Leccion[selectorLeccion],SMALL(IF(M$1=Leccion[SubSección],MATCH(ROW(Leccion[SubSección]),ROW(Leccion[SubSección]))),ROW(L7))),"")</f>
        <v/>
      </c>
      <c r="N8" s="51" t="str">
        <f t="array" aca="1" ref="N8" ca="1">IFERROR(INDEX(Leccion[selectorLeccion],SMALL(IF(N$1=Leccion[SubSección],MATCH(ROW(Leccion[SubSección]),ROW(Leccion[SubSección]))),ROW(M7))),"")</f>
        <v/>
      </c>
      <c r="O8" s="51" t="str">
        <f t="array" aca="1" ref="O8" ca="1">IFERROR(INDEX(Leccion[selectorLeccion],SMALL(IF(O$1=Leccion[SubSección],MATCH(ROW(Leccion[SubSección]),ROW(Leccion[SubSección]))),ROW(N7))),"")</f>
        <v/>
      </c>
      <c r="P8" s="51" t="str">
        <f t="array" aca="1" ref="P8" ca="1">IFERROR(INDEX(Leccion[selectorLeccion],SMALL(IF(P$1=Leccion[SubSección],MATCH(ROW(Leccion[SubSección]),ROW(Leccion[SubSección]))),ROW(O7))),"")</f>
        <v/>
      </c>
      <c r="Q8" s="51" t="str">
        <f t="array" aca="1" ref="Q8" ca="1">IFERROR(INDEX(Leccion[selectorLeccion],SMALL(IF(Q$1=Leccion[SubSección],MATCH(ROW(Leccion[SubSección]),ROW(Leccion[SubSección]))),ROW(P7))),"")</f>
        <v/>
      </c>
      <c r="R8" s="51" t="str">
        <f t="array" aca="1" ref="R8" ca="1">IFERROR(INDEX(Leccion[selectorLeccion],SMALL(IF(R$1=Leccion[SubSección],MATCH(ROW(Leccion[SubSección]),ROW(Leccion[SubSección]))),ROW(Q7))),"")</f>
        <v/>
      </c>
      <c r="S8" s="51" t="str">
        <f t="array" aca="1" ref="S8" ca="1">IFERROR(INDEX(Leccion[selectorLeccion],SMALL(IF(S$1=Leccion[SubSección],MATCH(ROW(Leccion[SubSección]),ROW(Leccion[SubSección]))),ROW(R7))),"")</f>
        <v/>
      </c>
      <c r="T8" s="51" t="str">
        <f t="array" aca="1" ref="T8" ca="1">IFERROR(INDEX(Leccion[selectorLeccion],SMALL(IF(T$1=Leccion[SubSección],MATCH(ROW(Leccion[SubSección]),ROW(Leccion[SubSección]))),ROW(S7))),"")</f>
        <v/>
      </c>
      <c r="U8" s="51" t="str">
        <f t="array" aca="1" ref="U8" ca="1">IFERROR(INDEX(Leccion[selectorLeccion],SMALL(IF(U$1=Leccion[SubSección],MATCH(ROW(Leccion[SubSección]),ROW(Leccion[SubSección]))),ROW(T7))),"")</f>
        <v/>
      </c>
      <c r="V8" s="51" t="str">
        <f t="array" aca="1" ref="V8" ca="1">IFERROR(INDEX(Leccion[selectorLeccion],SMALL(IF(V$1=Leccion[SubSección],MATCH(ROW(Leccion[SubSección]),ROW(Leccion[SubSección]))),ROW(U7))),"")</f>
        <v/>
      </c>
      <c r="W8" s="51" t="str">
        <f t="array" aca="1" ref="W8" ca="1">IFERROR(INDEX(Leccion[selectorLeccion],SMALL(IF(W$1=Leccion[SubSección],MATCH(ROW(Leccion[SubSección]),ROW(Leccion[SubSección]))),ROW(V7))),"")</f>
        <v/>
      </c>
      <c r="X8" s="51" t="str">
        <f t="array" aca="1" ref="X8" ca="1">IFERROR(INDEX(Leccion[selectorLeccion],SMALL(IF(X$1=Leccion[SubSección],MATCH(ROW(Leccion[SubSección]),ROW(Leccion[SubSección]))),ROW(W7))),"")</f>
        <v/>
      </c>
      <c r="Y8" s="51" t="str">
        <f t="array" aca="1" ref="Y8" ca="1">IFERROR(INDEX(Leccion[selectorLeccion],SMALL(IF(Y$1=Leccion[SubSección],MATCH(ROW(Leccion[SubSección]),ROW(Leccion[SubSección]))),ROW(X7))),"")</f>
        <v/>
      </c>
      <c r="Z8" s="51" t="str">
        <f t="array" aca="1" ref="Z8" ca="1">IFERROR(INDEX(Leccion[selectorLeccion],SMALL(IF(Z$1=Leccion[SubSección],MATCH(ROW(Leccion[SubSección]),ROW(Leccion[SubSección]))),ROW(Y7))),"")</f>
        <v/>
      </c>
      <c r="AA8" s="51" t="str">
        <f t="array" aca="1" ref="AA8" ca="1">IFERROR(INDEX(Leccion[selectorLeccion],SMALL(IF(AA$1=Leccion[SubSección],MATCH(ROW(Leccion[SubSección]),ROW(Leccion[SubSección]))),ROW(Z7))),"")</f>
        <v/>
      </c>
      <c r="AB8" s="51" t="str">
        <f t="array" aca="1" ref="AB8" ca="1">IFERROR(INDEX(Leccion[selectorLeccion],SMALL(IF(AB$1=Leccion[SubSección],MATCH(ROW(Leccion[SubSección]),ROW(Leccion[SubSección]))),ROW(AA7))),"")</f>
        <v/>
      </c>
      <c r="AC8" s="51" t="str">
        <f t="array" aca="1" ref="AC8" ca="1">IFERROR(INDEX(Leccion[selectorLeccion],SMALL(IF(AC$1=Leccion[SubSección],MATCH(ROW(Leccion[SubSección]),ROW(Leccion[SubSección]))),ROW(AB7))),"")</f>
        <v/>
      </c>
      <c r="AD8" s="51" t="str">
        <f t="array" aca="1" ref="AD8" ca="1">IFERROR(INDEX(Leccion[selectorLeccion],SMALL(IF(AD$1=Leccion[SubSección],MATCH(ROW(Leccion[SubSección]),ROW(Leccion[SubSección]))),ROW(AC7))),"")</f>
        <v/>
      </c>
      <c r="AE8" s="51" t="str">
        <f t="array" aca="1" ref="AE8" ca="1">IFERROR(INDEX(Leccion[selectorLeccion],SMALL(IF(AE$1=Leccion[SubSección],MATCH(ROW(Leccion[SubSección]),ROW(Leccion[SubSección]))),ROW(AD7))),"")</f>
        <v/>
      </c>
      <c r="AF8" s="51" t="str">
        <f t="array" aca="1" ref="AF8" ca="1">IFERROR(INDEX(Leccion[selectorLeccion],SMALL(IF(AF$1=Leccion[SubSección],MATCH(ROW(Leccion[SubSección]),ROW(Leccion[SubSección]))),ROW(AE7))),"")</f>
        <v/>
      </c>
      <c r="AG8" s="51" t="str">
        <f t="array" aca="1" ref="AG8" ca="1">IFERROR(INDEX(Leccion[selectorLeccion],SMALL(IF(AG$1=Leccion[SubSección],MATCH(ROW(Leccion[SubSección]),ROW(Leccion[SubSección]))),ROW(AF7))),"")</f>
        <v/>
      </c>
      <c r="AH8" s="51" t="str">
        <f t="array" aca="1" ref="AH8" ca="1">IFERROR(INDEX(Leccion[selectorLeccion],SMALL(IF(AH$1=Leccion[SubSección],MATCH(ROW(Leccion[SubSección]),ROW(Leccion[SubSección]))),ROW(AG7))),"")</f>
        <v/>
      </c>
      <c r="AI8" s="51" t="str">
        <f t="array" aca="1" ref="AI8" ca="1">IFERROR(INDEX(Leccion[selectorLeccion],SMALL(IF(AI$1=Leccion[SubSección],MATCH(ROW(Leccion[SubSección]),ROW(Leccion[SubSección]))),ROW(AH7))),"")</f>
        <v/>
      </c>
      <c r="AJ8" s="51" t="str">
        <f t="array" aca="1" ref="AJ8" ca="1">IFERROR(INDEX(Leccion[selectorLeccion],SMALL(IF(AJ$1=Leccion[SubSección],MATCH(ROW(Leccion[SubSección]),ROW(Leccion[SubSección]))),ROW(AI7))),"")</f>
        <v/>
      </c>
      <c r="AK8" s="51" t="str">
        <f t="array" aca="1" ref="AK8" ca="1">IFERROR(INDEX(Leccion[selectorLeccion],SMALL(IF(AK$1=Leccion[SubSección],MATCH(ROW(Leccion[SubSección]),ROW(Leccion[SubSección]))),ROW(AJ7))),"")</f>
        <v/>
      </c>
      <c r="AL8" s="51" t="str">
        <f t="array" aca="1" ref="AL8" ca="1">IFERROR(INDEX(Leccion[selectorLeccion],SMALL(IF(AL$1=Leccion[SubSección],MATCH(ROW(Leccion[SubSección]),ROW(Leccion[SubSección]))),ROW(AK7))),"")</f>
        <v/>
      </c>
      <c r="AM8" s="51" t="str">
        <f t="array" aca="1" ref="AM8" ca="1">IFERROR(INDEX(Leccion[selectorLeccion],SMALL(IF(AM$1=Leccion[SubSección],MATCH(ROW(Leccion[SubSección]),ROW(Leccion[SubSección]))),ROW(AL7))),"")</f>
        <v/>
      </c>
      <c r="AN8" s="51" t="str">
        <f t="array" aca="1" ref="AN8" ca="1">IFERROR(INDEX(Leccion[selectorLeccion],SMALL(IF(AN$1=Leccion[SubSección],MATCH(ROW(Leccion[SubSección]),ROW(Leccion[SubSección]))),ROW(AM7))),"")</f>
        <v/>
      </c>
      <c r="AO8" s="51" t="str">
        <f t="array" aca="1" ref="AO8" ca="1">IFERROR(INDEX(Leccion[selectorLeccion],SMALL(IF(AO$1=Leccion[SubSección],MATCH(ROW(Leccion[SubSección]),ROW(Leccion[SubSección]))),ROW(AN7))),"")</f>
        <v/>
      </c>
      <c r="AP8" s="51" t="str">
        <f t="array" aca="1" ref="AP8" ca="1">IFERROR(INDEX(Leccion[selectorLeccion],SMALL(IF(AP$1=Leccion[SubSección],MATCH(ROW(Leccion[SubSección]),ROW(Leccion[SubSección]))),ROW(AO7))),"")</f>
        <v/>
      </c>
      <c r="AQ8" s="51" t="str">
        <f t="array" aca="1" ref="AQ8" ca="1">IFERROR(INDEX(Leccion[selectorLeccion],SMALL(IF(AQ$1=Leccion[SubSección],MATCH(ROW(Leccion[SubSección]),ROW(Leccion[SubSección]))),ROW(AP7))),"")</f>
        <v/>
      </c>
      <c r="AR8" s="51" t="str">
        <f t="array" aca="1" ref="AR8" ca="1">IFERROR(INDEX(Leccion[selectorLeccion],SMALL(IF(AR$1=Leccion[SubSección],MATCH(ROW(Leccion[SubSección]),ROW(Leccion[SubSección]))),ROW(AQ7))),"")</f>
        <v/>
      </c>
      <c r="AS8" s="51" t="str">
        <f t="array" aca="1" ref="AS8" ca="1">IFERROR(INDEX(Leccion[selectorLeccion],SMALL(IF(AS$1=Leccion[SubSección],MATCH(ROW(Leccion[SubSección]),ROW(Leccion[SubSección]))),ROW(AR7))),"")</f>
        <v/>
      </c>
      <c r="AT8" s="51" t="str">
        <f t="array" aca="1" ref="AT8" ca="1">IFERROR(INDEX(Leccion[selectorLeccion],SMALL(IF(AT$1=Leccion[SubSección],MATCH(ROW(Leccion[SubSección]),ROW(Leccion[SubSección]))),ROW(AS7))),"")</f>
        <v/>
      </c>
      <c r="AU8" s="51" t="str">
        <f t="array" aca="1" ref="AU8" ca="1">IFERROR(INDEX(Leccion[selectorLeccion],SMALL(IF(AU$1=Leccion[SubSección],MATCH(ROW(Leccion[SubSección]),ROW(Leccion[SubSección]))),ROW(AT7))),"")</f>
        <v/>
      </c>
      <c r="AV8" s="51" t="str">
        <f t="array" aca="1" ref="AV8" ca="1">IFERROR(INDEX(Leccion[selectorLeccion],SMALL(IF(AV$1=Leccion[SubSección],MATCH(ROW(Leccion[SubSección]),ROW(Leccion[SubSección]))),ROW(AU7))),"")</f>
        <v/>
      </c>
      <c r="AW8" s="51" t="str">
        <f t="array" aca="1" ref="AW8" ca="1">IFERROR(INDEX(Leccion[selectorLeccion],SMALL(IF(AW$1=Leccion[SubSección],MATCH(ROW(Leccion[SubSección]),ROW(Leccion[SubSección]))),ROW(AV7))),"")</f>
        <v/>
      </c>
      <c r="AX8" s="51" t="str">
        <f t="array" aca="1" ref="AX8" ca="1">IFERROR(INDEX(Leccion[selectorLeccion],SMALL(IF(AX$1=Leccion[SubSección],MATCH(ROW(Leccion[SubSección]),ROW(Leccion[SubSección]))),ROW(AW7))),"")</f>
        <v/>
      </c>
      <c r="AY8" s="51" t="str">
        <f t="array" aca="1" ref="AY8" ca="1">IFERROR(INDEX(Leccion[selectorLeccion],SMALL(IF(AY$1=Leccion[SubSección],MATCH(ROW(Leccion[SubSección]),ROW(Leccion[SubSección]))),ROW(AX7))),"")</f>
        <v/>
      </c>
      <c r="AZ8" s="51" t="str">
        <f t="array" aca="1" ref="AZ8" ca="1">IFERROR(INDEX(Leccion[selectorLeccion],SMALL(IF(AZ$1=Leccion[SubSección],MATCH(ROW(Leccion[SubSección]),ROW(Leccion[SubSección]))),ROW(AY7))),"")</f>
        <v/>
      </c>
      <c r="BA8" s="51" t="str">
        <f t="array" aca="1" ref="BA8" ca="1">IFERROR(INDEX(Leccion[selectorLeccion],SMALL(IF(BA$1=Leccion[SubSección],MATCH(ROW(Leccion[SubSección]),ROW(Leccion[SubSección]))),ROW(AZ7))),"")</f>
        <v/>
      </c>
      <c r="BB8" s="51" t="str">
        <f t="array" aca="1" ref="BB8" ca="1">IFERROR(INDEX(Leccion[selectorLeccion],SMALL(IF(BB$1=Leccion[SubSección],MATCH(ROW(Leccion[SubSección]),ROW(Leccion[SubSección]))),ROW(BA7))),"")</f>
        <v/>
      </c>
      <c r="BC8" s="51" t="str">
        <f t="array" aca="1" ref="BC8" ca="1">IFERROR(INDEX(Leccion[selectorLeccion],SMALL(IF(BC$1=Leccion[SubSección],MATCH(ROW(Leccion[SubSección]),ROW(Leccion[SubSección]))),ROW(BB7))),"")</f>
        <v/>
      </c>
      <c r="BD8" s="51" t="str">
        <f t="array" aca="1" ref="BD8" ca="1">IFERROR(INDEX(Leccion[selectorLeccion],SMALL(IF(BD$1=Leccion[SubSección],MATCH(ROW(Leccion[SubSección]),ROW(Leccion[SubSección]))),ROW(BC7))),"")</f>
        <v/>
      </c>
      <c r="BE8" s="51" t="str">
        <f t="array" aca="1" ref="BE8" ca="1">IFERROR(INDEX(Leccion[selectorLeccion],SMALL(IF(BE$1=Leccion[SubSección],MATCH(ROW(Leccion[SubSección]),ROW(Leccion[SubSección]))),ROW(BD7))),"")</f>
        <v/>
      </c>
      <c r="BF8" s="51" t="str">
        <f t="array" aca="1" ref="BF8" ca="1">IFERROR(INDEX(Leccion[selectorLeccion],SMALL(IF(BF$1=Leccion[SubSección],MATCH(ROW(Leccion[SubSección]),ROW(Leccion[SubSección]))),ROW(BE7))),"")</f>
        <v/>
      </c>
      <c r="BG8" s="51" t="str">
        <f t="array" aca="1" ref="BG8" ca="1">IFERROR(INDEX(Leccion[selectorLeccion],SMALL(IF(BG$1=Leccion[SubSección],MATCH(ROW(Leccion[SubSección]),ROW(Leccion[SubSección]))),ROW(BF7))),"")</f>
        <v/>
      </c>
      <c r="BH8" s="51" t="str">
        <f t="array" aca="1" ref="BH8" ca="1">IFERROR(INDEX(Leccion[selectorLeccion],SMALL(IF(BH$1=Leccion[SubSección],MATCH(ROW(Leccion[SubSección]),ROW(Leccion[SubSección]))),ROW(BG7))),"")</f>
        <v/>
      </c>
      <c r="BI8" s="51" t="str">
        <f t="array" aca="1" ref="BI8" ca="1">IFERROR(INDEX(Leccion[selectorLeccion],SMALL(IF(BI$1=Leccion[SubSección],MATCH(ROW(Leccion[SubSección]),ROW(Leccion[SubSección]))),ROW(BH7))),"")</f>
        <v/>
      </c>
      <c r="BJ8" s="51" t="str">
        <f t="array" aca="1" ref="BJ8" ca="1">IFERROR(INDEX(Leccion[selectorLeccion],SMALL(IF(BJ$1=Leccion[SubSección],MATCH(ROW(Leccion[SubSección]),ROW(Leccion[SubSección]))),ROW(BI7))),"")</f>
        <v/>
      </c>
      <c r="BK8" s="51" t="str">
        <f t="array" aca="1" ref="BK8" ca="1">IFERROR(INDEX(Leccion[selectorLeccion],SMALL(IF(BK$1=Leccion[SubSección],MATCH(ROW(Leccion[SubSección]),ROW(Leccion[SubSección]))),ROW(BJ7))),"")</f>
        <v/>
      </c>
      <c r="BL8" s="51" t="str">
        <f t="array" aca="1" ref="BL8" ca="1">IFERROR(INDEX(Leccion[selectorLeccion],SMALL(IF(BL$1=Leccion[SubSección],MATCH(ROW(Leccion[SubSección]),ROW(Leccion[SubSección]))),ROW(BK7))),"")</f>
        <v/>
      </c>
      <c r="BM8" s="51" t="str">
        <f t="array" aca="1" ref="BM8" ca="1">IFERROR(INDEX(Leccion[selectorLeccion],SMALL(IF(BM$1=Leccion[SubSección],MATCH(ROW(Leccion[SubSección]),ROW(Leccion[SubSección]))),ROW(BL7))),"")</f>
        <v/>
      </c>
      <c r="BN8" s="51" t="str">
        <f t="array" aca="1" ref="BN8" ca="1">IFERROR(INDEX(Leccion[selectorLeccion],SMALL(IF(BN$1=Leccion[SubSección],MATCH(ROW(Leccion[SubSección]),ROW(Leccion[SubSección]))),ROW(BM7))),"")</f>
        <v/>
      </c>
      <c r="BO8" s="51" t="str">
        <f t="array" aca="1" ref="BO8" ca="1">IFERROR(INDEX(Leccion[selectorLeccion],SMALL(IF(BO$1=Leccion[SubSección],MATCH(ROW(Leccion[SubSección]),ROW(Leccion[SubSección]))),ROW(BN7))),"")</f>
        <v/>
      </c>
      <c r="BP8" s="51" t="str">
        <f t="array" aca="1" ref="BP8" ca="1">IFERROR(INDEX(Leccion[selectorLeccion],SMALL(IF(BP$1=Leccion[SubSección],MATCH(ROW(Leccion[SubSección]),ROW(Leccion[SubSección]))),ROW(BO7))),"")</f>
        <v/>
      </c>
      <c r="BQ8" s="51" t="str">
        <f t="array" aca="1" ref="BQ8" ca="1">IFERROR(INDEX(Leccion[selectorLeccion],SMALL(IF(BQ$1=Leccion[SubSección],MATCH(ROW(Leccion[SubSección]),ROW(Leccion[SubSección]))),ROW(BP7))),"")</f>
        <v/>
      </c>
      <c r="BR8" s="51" t="str">
        <f t="array" aca="1" ref="BR8" ca="1">IFERROR(INDEX(Leccion[selectorLeccion],SMALL(IF(BR$1=Leccion[SubSección],MATCH(ROW(Leccion[SubSección]),ROW(Leccion[SubSección]))),ROW(BQ7))),"")</f>
        <v/>
      </c>
      <c r="BS8" s="51" t="str">
        <f t="array" aca="1" ref="BS8" ca="1">IFERROR(INDEX(Leccion[selectorLeccion],SMALL(IF(BS$1=Leccion[SubSección],MATCH(ROW(Leccion[SubSección]),ROW(Leccion[SubSección]))),ROW(BR7))),"")</f>
        <v/>
      </c>
      <c r="BT8" s="51" t="str">
        <f t="array" aca="1" ref="BT8" ca="1">IFERROR(INDEX(Leccion[selectorLeccion],SMALL(IF(BT$1=Leccion[SubSección],MATCH(ROW(Leccion[SubSección]),ROW(Leccion[SubSección]))),ROW(BS7))),"")</f>
        <v/>
      </c>
      <c r="BU8" s="51" t="str">
        <f t="array" aca="1" ref="BU8" ca="1">IFERROR(INDEX(Leccion[selectorLeccion],SMALL(IF(BU$1=Leccion[SubSección],MATCH(ROW(Leccion[SubSección]),ROW(Leccion[SubSección]))),ROW(BT7))),"")</f>
        <v/>
      </c>
      <c r="BV8" s="51" t="str">
        <f t="array" aca="1" ref="BV8" ca="1">IFERROR(INDEX(Leccion[selectorLeccion],SMALL(IF(BV$1=Leccion[SubSección],MATCH(ROW(Leccion[SubSección]),ROW(Leccion[SubSección]))),ROW(BU7))),"")</f>
        <v/>
      </c>
      <c r="BW8" s="51" t="str">
        <f t="array" aca="1" ref="BW8" ca="1">IFERROR(INDEX(Leccion[selectorLeccion],SMALL(IF(BW$1=Leccion[SubSección],MATCH(ROW(Leccion[SubSección]),ROW(Leccion[SubSección]))),ROW(BV7))),"")</f>
        <v/>
      </c>
      <c r="BX8" s="51" t="str">
        <f t="array" aca="1" ref="BX8" ca="1">IFERROR(INDEX(Leccion[selectorLeccion],SMALL(IF(BX$1=Leccion[SubSección],MATCH(ROW(Leccion[SubSección]),ROW(Leccion[SubSección]))),ROW(BW7))),"")</f>
        <v/>
      </c>
      <c r="BY8" s="51" t="str">
        <f t="array" aca="1" ref="BY8" ca="1">IFERROR(INDEX(Leccion[selectorLeccion],SMALL(IF(BY$1=Leccion[SubSección],MATCH(ROW(Leccion[SubSección]),ROW(Leccion[SubSección]))),ROW(BX7))),"")</f>
        <v/>
      </c>
      <c r="BZ8" s="51" t="str">
        <f t="array" aca="1" ref="BZ8" ca="1">IFERROR(INDEX(Leccion[selectorLeccion],SMALL(IF(BZ$1=Leccion[SubSección],MATCH(ROW(Leccion[SubSección]),ROW(Leccion[SubSección]))),ROW(BY7))),"")</f>
        <v/>
      </c>
      <c r="CA8" s="51" t="str">
        <f t="array" aca="1" ref="CA8" ca="1">IFERROR(INDEX(Leccion[selectorLeccion],SMALL(IF(CA$1=Leccion[SubSección],MATCH(ROW(Leccion[SubSección]),ROW(Leccion[SubSección]))),ROW(BZ7))),"")</f>
        <v/>
      </c>
      <c r="CB8" s="51" t="str">
        <f t="array" aca="1" ref="CB8" ca="1">IFERROR(INDEX(Leccion[selectorLeccion],SMALL(IF(CB$1=Leccion[SubSección],MATCH(ROW(Leccion[SubSección]),ROW(Leccion[SubSección]))),ROW(CA7))),"")</f>
        <v/>
      </c>
      <c r="CC8" s="51" t="str">
        <f t="array" aca="1" ref="CC8" ca="1">IFERROR(INDEX(Leccion[selectorLeccion],SMALL(IF(CC$1=Leccion[SubSección],MATCH(ROW(Leccion[SubSección]),ROW(Leccion[SubSección]))),ROW(CB7))),"")</f>
        <v/>
      </c>
      <c r="CD8" s="51" t="str">
        <f t="array" aca="1" ref="CD8" ca="1">IFERROR(INDEX(Leccion[selectorLeccion],SMALL(IF(CD$1=Leccion[SubSección],MATCH(ROW(Leccion[SubSección]),ROW(Leccion[SubSección]))),ROW(CC7))),"")</f>
        <v/>
      </c>
      <c r="CE8" s="51" t="str">
        <f t="array" aca="1" ref="CE8" ca="1">IFERROR(INDEX(Leccion[selectorLeccion],SMALL(IF(CE$1=Leccion[SubSección],MATCH(ROW(Leccion[SubSección]),ROW(Leccion[SubSección]))),ROW(CD7))),"")</f>
        <v/>
      </c>
      <c r="CF8" s="51" t="str">
        <f t="array" aca="1" ref="CF8" ca="1">IFERROR(INDEX(Leccion[selectorLeccion],SMALL(IF(CF$1=Leccion[SubSección],MATCH(ROW(Leccion[SubSección]),ROW(Leccion[SubSección]))),ROW(CE7))),"")</f>
        <v/>
      </c>
      <c r="CG8" s="51" t="str">
        <f t="array" aca="1" ref="CG8" ca="1">IFERROR(INDEX(Leccion[selectorLeccion],SMALL(IF(CG$1=Leccion[SubSección],MATCH(ROW(Leccion[SubSección]),ROW(Leccion[SubSección]))),ROW(CF7))),"")</f>
        <v/>
      </c>
      <c r="CH8" s="51" t="str">
        <f t="array" aca="1" ref="CH8" ca="1">IFERROR(INDEX(Leccion[selectorLeccion],SMALL(IF(CH$1=Leccion[SubSección],MATCH(ROW(Leccion[SubSección]),ROW(Leccion[SubSección]))),ROW(CG7))),"")</f>
        <v/>
      </c>
      <c r="CI8" s="51" t="str">
        <f t="array" aca="1" ref="CI8" ca="1">IFERROR(INDEX(Leccion[selectorLeccion],SMALL(IF(CI$1=Leccion[SubSección],MATCH(ROW(Leccion[SubSección]),ROW(Leccion[SubSección]))),ROW(CH7))),"")</f>
        <v/>
      </c>
      <c r="CJ8" s="51" t="str">
        <f t="array" aca="1" ref="CJ8" ca="1">IFERROR(INDEX(Leccion[selectorLeccion],SMALL(IF(CJ$1=Leccion[SubSección],MATCH(ROW(Leccion[SubSección]),ROW(Leccion[SubSección]))),ROW(CI7))),"")</f>
        <v/>
      </c>
      <c r="CK8" s="51" t="str">
        <f t="array" aca="1" ref="CK8" ca="1">IFERROR(INDEX(Leccion[selectorLeccion],SMALL(IF(CK$1=Leccion[SubSección],MATCH(ROW(Leccion[SubSección]),ROW(Leccion[SubSección]))),ROW(CJ7))),"")</f>
        <v/>
      </c>
      <c r="CL8" s="51" t="str">
        <f t="array" aca="1" ref="CL8" ca="1">IFERROR(INDEX(Leccion[selectorLeccion],SMALL(IF(CL$1=Leccion[SubSección],MATCH(ROW(Leccion[SubSección]),ROW(Leccion[SubSección]))),ROW(CK7))),"")</f>
        <v/>
      </c>
      <c r="CM8" s="51" t="str">
        <f t="array" aca="1" ref="CM8" ca="1">IFERROR(INDEX(Leccion[selectorLeccion],SMALL(IF(CM$1=Leccion[SubSección],MATCH(ROW(Leccion[SubSección]),ROW(Leccion[SubSección]))),ROW(CL7))),"")</f>
        <v/>
      </c>
      <c r="CN8" s="51" t="str">
        <f t="array" aca="1" ref="CN8" ca="1">IFERROR(INDEX(Leccion[selectorLeccion],SMALL(IF(CN$1=Leccion[SubSección],MATCH(ROW(Leccion[SubSección]),ROW(Leccion[SubSección]))),ROW(CM7))),"")</f>
        <v/>
      </c>
      <c r="CO8" s="51" t="str">
        <f t="array" aca="1" ref="CO8" ca="1">IFERROR(INDEX(Leccion[selectorLeccion],SMALL(IF(CO$1=Leccion[SubSección],MATCH(ROW(Leccion[SubSección]),ROW(Leccion[SubSección]))),ROW(CN7))),"")</f>
        <v/>
      </c>
      <c r="CP8" s="51" t="str">
        <f t="array" aca="1" ref="CP8" ca="1">IFERROR(INDEX(Leccion[selectorLeccion],SMALL(IF(CP$1=Leccion[SubSección],MATCH(ROW(Leccion[SubSección]),ROW(Leccion[SubSección]))),ROW(CO7))),"")</f>
        <v/>
      </c>
      <c r="CQ8" s="51" t="str">
        <f t="array" aca="1" ref="CQ8" ca="1">IFERROR(INDEX(Leccion[selectorLeccion],SMALL(IF(CQ$1=Leccion[SubSección],MATCH(ROW(Leccion[SubSección]),ROW(Leccion[SubSección]))),ROW(CP7))),"")</f>
        <v/>
      </c>
      <c r="CR8" s="51" t="str">
        <f t="array" aca="1" ref="CR8" ca="1">IFERROR(INDEX(Leccion[selectorLeccion],SMALL(IF(CR$1=Leccion[SubSección],MATCH(ROW(Leccion[SubSección]),ROW(Leccion[SubSección]))),ROW(CQ7))),"")</f>
        <v/>
      </c>
      <c r="CS8" s="51" t="str">
        <f t="array" aca="1" ref="CS8" ca="1">IFERROR(INDEX(Leccion[selectorLeccion],SMALL(IF(CS$1=Leccion[SubSección],MATCH(ROW(Leccion[SubSección]),ROW(Leccion[SubSección]))),ROW(CR7))),"")</f>
        <v/>
      </c>
      <c r="CT8" s="51" t="str">
        <f t="array" aca="1" ref="CT8" ca="1">IFERROR(INDEX(Leccion[selectorLeccion],SMALL(IF(CT$1=Leccion[SubSección],MATCH(ROW(Leccion[SubSección]),ROW(Leccion[SubSección]))),ROW(CS7))),"")</f>
        <v/>
      </c>
      <c r="CU8" s="51" t="str">
        <f t="array" aca="1" ref="CU8" ca="1">IFERROR(INDEX(Leccion[selectorLeccion],SMALL(IF(CU$1=Leccion[SubSección],MATCH(ROW(Leccion[SubSección]),ROW(Leccion[SubSección]))),ROW(CT7))),"")</f>
        <v/>
      </c>
      <c r="CV8" s="51" t="str">
        <f t="array" aca="1" ref="CV8" ca="1">IFERROR(INDEX(Leccion[selectorLeccion],SMALL(IF(CV$1=Leccion[SubSección],MATCH(ROW(Leccion[SubSección]),ROW(Leccion[SubSección]))),ROW(CU7))),"")</f>
        <v/>
      </c>
      <c r="CW8" s="51" t="str">
        <f t="array" aca="1" ref="CW8" ca="1">IFERROR(INDEX(Leccion[selectorLeccion],SMALL(IF(CW$1=Leccion[SubSección],MATCH(ROW(Leccion[SubSección]),ROW(Leccion[SubSección]))),ROW(CV7))),"")</f>
        <v/>
      </c>
      <c r="CX8" s="51" t="str">
        <f t="array" aca="1" ref="CX8" ca="1">IFERROR(INDEX(Leccion[selectorLeccion],SMALL(IF(CX$1=Leccion[SubSección],MATCH(ROW(Leccion[SubSección]),ROW(Leccion[SubSección]))),ROW(CW7))),"")</f>
        <v/>
      </c>
      <c r="CY8" s="51" t="str">
        <f t="array" aca="1" ref="CY8" ca="1">IFERROR(INDEX(Leccion[selectorLeccion],SMALL(IF(CY$1=Leccion[SubSección],MATCH(ROW(Leccion[SubSección]),ROW(Leccion[SubSección]))),ROW(CX7))),"")</f>
        <v/>
      </c>
      <c r="CZ8" s="51" t="str">
        <f t="array" aca="1" ref="CZ8" ca="1">IFERROR(INDEX(Leccion[selectorLeccion],SMALL(IF(CZ$1=Leccion[SubSección],MATCH(ROW(Leccion[SubSección]),ROW(Leccion[SubSección]))),ROW(CY7))),"")</f>
        <v/>
      </c>
      <c r="DA8" s="51" t="str">
        <f t="array" aca="1" ref="DA8" ca="1">IFERROR(INDEX(Leccion[selectorLeccion],SMALL(IF(DA$1=Leccion[SubSección],MATCH(ROW(Leccion[SubSección]),ROW(Leccion[SubSección]))),ROW(CZ7))),"")</f>
        <v/>
      </c>
      <c r="DB8" s="51" t="str">
        <f t="array" aca="1" ref="DB8" ca="1">IFERROR(INDEX(Leccion[selectorLeccion],SMALL(IF(DB$1=Leccion[SubSección],MATCH(ROW(Leccion[SubSección]),ROW(Leccion[SubSección]))),ROW(DA7))),"")</f>
        <v/>
      </c>
      <c r="DC8" s="51" t="str">
        <f t="array" aca="1" ref="DC8" ca="1">IFERROR(INDEX(Leccion[selectorLeccion],SMALL(IF(DC$1=Leccion[SubSección],MATCH(ROW(Leccion[SubSección]),ROW(Leccion[SubSección]))),ROW(DB7))),"")</f>
        <v/>
      </c>
      <c r="DD8" s="51" t="str">
        <f t="array" aca="1" ref="DD8" ca="1">IFERROR(INDEX(Leccion[selectorLeccion],SMALL(IF(DD$1=Leccion[SubSección],MATCH(ROW(Leccion[SubSección]),ROW(Leccion[SubSección]))),ROW(DC7))),"")</f>
        <v/>
      </c>
      <c r="DE8" s="51" t="str">
        <f t="array" aca="1" ref="DE8" ca="1">IFERROR(INDEX(Leccion[selectorLeccion],SMALL(IF(DE$1=Leccion[SubSección],MATCH(ROW(Leccion[SubSección]),ROW(Leccion[SubSección]))),ROW(DD7))),"")</f>
        <v/>
      </c>
      <c r="DF8" s="51" t="str">
        <f t="array" aca="1" ref="DF8" ca="1">IFERROR(INDEX(Leccion[selectorLeccion],SMALL(IF(DF$1=Leccion[SubSección],MATCH(ROW(Leccion[SubSección]),ROW(Leccion[SubSección]))),ROW(DE7))),"")</f>
        <v/>
      </c>
      <c r="DG8" s="51" t="str">
        <f t="array" aca="1" ref="DG8" ca="1">IFERROR(INDEX(Leccion[selectorLeccion],SMALL(IF(DG$1=Leccion[SubSección],MATCH(ROW(Leccion[SubSección]),ROW(Leccion[SubSección]))),ROW(DF7))),"")</f>
        <v/>
      </c>
      <c r="DH8" s="51" t="str">
        <f t="array" aca="1" ref="DH8" ca="1">IFERROR(INDEX(Leccion[selectorLeccion],SMALL(IF(DH$1=Leccion[SubSección],MATCH(ROW(Leccion[SubSección]),ROW(Leccion[SubSección]))),ROW(DG7))),"")</f>
        <v/>
      </c>
      <c r="DI8" s="51" t="str">
        <f t="array" aca="1" ref="DI8" ca="1">IFERROR(INDEX(Leccion[selectorLeccion],SMALL(IF(DI$1=Leccion[SubSección],MATCH(ROW(Leccion[SubSección]),ROW(Leccion[SubSección]))),ROW(DH7))),"")</f>
        <v/>
      </c>
      <c r="DJ8" s="51" t="str">
        <f t="array" aca="1" ref="DJ8" ca="1">IFERROR(INDEX(Leccion[selectorLeccion],SMALL(IF(DJ$1=Leccion[SubSección],MATCH(ROW(Leccion[SubSección]),ROW(Leccion[SubSección]))),ROW(DI7))),"")</f>
        <v/>
      </c>
      <c r="DK8" s="51" t="str">
        <f t="array" aca="1" ref="DK8" ca="1">IFERROR(INDEX(Leccion[selectorLeccion],SMALL(IF(DK$1=Leccion[SubSección],MATCH(ROW(Leccion[SubSección]),ROW(Leccion[SubSección]))),ROW(DJ7))),"")</f>
        <v/>
      </c>
      <c r="DL8" s="51" t="str">
        <f t="array" aca="1" ref="DL8" ca="1">IFERROR(INDEX(Leccion[selectorLeccion],SMALL(IF(DL$1=Leccion[SubSección],MATCH(ROW(Leccion[SubSección]),ROW(Leccion[SubSección]))),ROW(DK7))),"")</f>
        <v/>
      </c>
      <c r="DM8" s="51" t="str">
        <f t="array" aca="1" ref="DM8" ca="1">IFERROR(INDEX(Leccion[selectorLeccion],SMALL(IF(DM$1=Leccion[SubSección],MATCH(ROW(Leccion[SubSección]),ROW(Leccion[SubSección]))),ROW(DL7))),"")</f>
        <v/>
      </c>
      <c r="DN8" s="51" t="str">
        <f t="array" aca="1" ref="DN8" ca="1">IFERROR(INDEX(Leccion[selectorLeccion],SMALL(IF(DN$1=Leccion[SubSección],MATCH(ROW(Leccion[SubSección]),ROW(Leccion[SubSección]))),ROW(DM7))),"")</f>
        <v/>
      </c>
      <c r="DO8" s="51" t="str">
        <f t="array" aca="1" ref="DO8" ca="1">IFERROR(INDEX(Leccion[selectorLeccion],SMALL(IF(DO$1=Leccion[SubSección],MATCH(ROW(Leccion[SubSección]),ROW(Leccion[SubSección]))),ROW(DN7))),"")</f>
        <v/>
      </c>
      <c r="DP8" s="51" t="str">
        <f t="array" aca="1" ref="DP8" ca="1">IFERROR(INDEX(Leccion[selectorLeccion],SMALL(IF(DP$1=Leccion[SubSección],MATCH(ROW(Leccion[SubSección]),ROW(Leccion[SubSección]))),ROW(DO7))),"")</f>
        <v/>
      </c>
      <c r="DQ8" s="51" t="str">
        <f t="array" aca="1" ref="DQ8" ca="1">IFERROR(INDEX(Leccion[selectorLeccion],SMALL(IF(DQ$1=Leccion[SubSección],MATCH(ROW(Leccion[SubSección]),ROW(Leccion[SubSección]))),ROW(DP7))),"")</f>
        <v/>
      </c>
      <c r="DR8" s="51" t="str">
        <f t="array" aca="1" ref="DR8" ca="1">IFERROR(INDEX(Leccion[selectorLeccion],SMALL(IF(DR$1=Leccion[SubSección],MATCH(ROW(Leccion[SubSección]),ROW(Leccion[SubSección]))),ROW(DQ7))),"")</f>
        <v/>
      </c>
      <c r="DS8" s="51" t="str">
        <f t="array" aca="1" ref="DS8" ca="1">IFERROR(INDEX(Leccion[selectorLeccion],SMALL(IF(DS$1=Leccion[SubSección],MATCH(ROW(Leccion[SubSección]),ROW(Leccion[SubSección]))),ROW(DR7))),"")</f>
        <v/>
      </c>
      <c r="DT8" s="51" t="str">
        <f t="array" aca="1" ref="DT8" ca="1">IFERROR(INDEX(Leccion[selectorLeccion],SMALL(IF(DT$1=Leccion[SubSección],MATCH(ROW(Leccion[SubSección]),ROW(Leccion[SubSección]))),ROW(DS7))),"")</f>
        <v/>
      </c>
      <c r="DU8" s="51" t="str">
        <f t="array" aca="1" ref="DU8" ca="1">IFERROR(INDEX(Leccion[selectorLeccion],SMALL(IF(DU$1=Leccion[SubSección],MATCH(ROW(Leccion[SubSección]),ROW(Leccion[SubSección]))),ROW(DT7))),"")</f>
        <v/>
      </c>
      <c r="DV8" s="51" t="str">
        <f t="array" aca="1" ref="DV8" ca="1">IFERROR(INDEX(Leccion[selectorLeccion],SMALL(IF(DV$1=Leccion[SubSección],MATCH(ROW(Leccion[SubSección]),ROW(Leccion[SubSección]))),ROW(DU7))),"")</f>
        <v/>
      </c>
      <c r="DW8" s="51" t="str">
        <f t="array" aca="1" ref="DW8" ca="1">IFERROR(INDEX(Leccion[selectorLeccion],SMALL(IF(DW$1=Leccion[SubSección],MATCH(ROW(Leccion[SubSección]),ROW(Leccion[SubSección]))),ROW(DV7))),"")</f>
        <v/>
      </c>
      <c r="DX8" s="51" t="str">
        <f t="array" aca="1" ref="DX8" ca="1">IFERROR(INDEX(Leccion[selectorLeccion],SMALL(IF(DX$1=Leccion[SubSección],MATCH(ROW(Leccion[SubSección]),ROW(Leccion[SubSección]))),ROW(DW7))),"")</f>
        <v/>
      </c>
      <c r="DY8" s="51" t="str">
        <f t="array" aca="1" ref="DY8" ca="1">IFERROR(INDEX(Leccion[selectorLeccion],SMALL(IF(DY$1=Leccion[SubSección],MATCH(ROW(Leccion[SubSección]),ROW(Leccion[SubSección]))),ROW(DX7))),"")</f>
        <v/>
      </c>
      <c r="DZ8" s="51" t="str">
        <f t="array" aca="1" ref="DZ8" ca="1">IFERROR(INDEX(Leccion[selectorLeccion],SMALL(IF(DZ$1=Leccion[SubSección],MATCH(ROW(Leccion[SubSección]),ROW(Leccion[SubSección]))),ROW(DY7))),"")</f>
        <v/>
      </c>
      <c r="EA8" s="51" t="str">
        <f t="array" aca="1" ref="EA8" ca="1">IFERROR(INDEX(Leccion[selectorLeccion],SMALL(IF(EA$1=Leccion[SubSección],MATCH(ROW(Leccion[SubSección]),ROW(Leccion[SubSección]))),ROW(DZ7))),"")</f>
        <v/>
      </c>
      <c r="EB8" s="51" t="str">
        <f t="array" aca="1" ref="EB8" ca="1">IFERROR(INDEX(Leccion[selectorLeccion],SMALL(IF(EB$1=Leccion[SubSección],MATCH(ROW(Leccion[SubSección]),ROW(Leccion[SubSección]))),ROW(EA7))),"")</f>
        <v/>
      </c>
      <c r="EC8" s="51" t="str">
        <f t="array" aca="1" ref="EC8" ca="1">IFERROR(INDEX(Leccion[selectorLeccion],SMALL(IF(EC$1=Leccion[SubSección],MATCH(ROW(Leccion[SubSección]),ROW(Leccion[SubSección]))),ROW(EB7))),"")</f>
        <v/>
      </c>
      <c r="ED8" s="51" t="str">
        <f t="array" aca="1" ref="ED8" ca="1">IFERROR(INDEX(Leccion[selectorLeccion],SMALL(IF(ED$1=Leccion[SubSección],MATCH(ROW(Leccion[SubSección]),ROW(Leccion[SubSección]))),ROW(EC7))),"")</f>
        <v/>
      </c>
      <c r="EE8" s="51" t="str">
        <f t="array" aca="1" ref="EE8" ca="1">IFERROR(INDEX(Leccion[selectorLeccion],SMALL(IF(EE$1=Leccion[SubSección],MATCH(ROW(Leccion[SubSección]),ROW(Leccion[SubSección]))),ROW(ED7))),"")</f>
        <v/>
      </c>
      <c r="EF8" s="51" t="str">
        <f t="array" aca="1" ref="EF8" ca="1">IFERROR(INDEX(Leccion[selectorLeccion],SMALL(IF(EF$1=Leccion[SubSección],MATCH(ROW(Leccion[SubSección]),ROW(Leccion[SubSección]))),ROW(EE7))),"")</f>
        <v/>
      </c>
      <c r="EG8" s="51" t="str">
        <f t="array" aca="1" ref="EG8" ca="1">IFERROR(INDEX(Leccion[selectorLeccion],SMALL(IF(EG$1=Leccion[SubSección],MATCH(ROW(Leccion[SubSección]),ROW(Leccion[SubSección]))),ROW(EF7))),"")</f>
        <v/>
      </c>
      <c r="EH8" s="51" t="str">
        <f t="array" aca="1" ref="EH8" ca="1">IFERROR(INDEX(Leccion[selectorLeccion],SMALL(IF(EH$1=Leccion[SubSección],MATCH(ROW(Leccion[SubSección]),ROW(Leccion[SubSección]))),ROW(EG7))),"")</f>
        <v/>
      </c>
      <c r="EI8" s="51" t="str">
        <f t="array" aca="1" ref="EI8" ca="1">IFERROR(INDEX(Leccion[selectorLeccion],SMALL(IF(EI$1=Leccion[SubSección],MATCH(ROW(Leccion[SubSección]),ROW(Leccion[SubSección]))),ROW(EH7))),"")</f>
        <v/>
      </c>
      <c r="EJ8" s="51" t="str">
        <f t="array" aca="1" ref="EJ8" ca="1">IFERROR(INDEX(Leccion[selectorLeccion],SMALL(IF(EJ$1=Leccion[SubSección],MATCH(ROW(Leccion[SubSección]),ROW(Leccion[SubSección]))),ROW(EI7))),"")</f>
        <v/>
      </c>
      <c r="EK8" s="51" t="str">
        <f t="array" aca="1" ref="EK8" ca="1">IFERROR(INDEX(Leccion[selectorLeccion],SMALL(IF(EK$1=Leccion[SubSección],MATCH(ROW(Leccion[SubSección]),ROW(Leccion[SubSección]))),ROW(EJ7))),"")</f>
        <v/>
      </c>
      <c r="EL8" s="51" t="str">
        <f t="array" aca="1" ref="EL8" ca="1">IFERROR(INDEX(Leccion[selectorLeccion],SMALL(IF(EL$1=Leccion[SubSección],MATCH(ROW(Leccion[SubSección]),ROW(Leccion[SubSección]))),ROW(EK7))),"")</f>
        <v/>
      </c>
      <c r="EM8" s="51" t="str">
        <f t="array" aca="1" ref="EM8" ca="1">IFERROR(INDEX(Leccion[selectorLeccion],SMALL(IF(EM$1=Leccion[SubSección],MATCH(ROW(Leccion[SubSección]),ROW(Leccion[SubSección]))),ROW(EL7))),"")</f>
        <v/>
      </c>
      <c r="EN8" s="51" t="str">
        <f t="array" aca="1" ref="EN8" ca="1">IFERROR(INDEX(Leccion[selectorLeccion],SMALL(IF(EN$1=Leccion[SubSección],MATCH(ROW(Leccion[SubSección]),ROW(Leccion[SubSección]))),ROW(EM7))),"")</f>
        <v/>
      </c>
      <c r="EO8" s="51" t="str">
        <f t="array" aca="1" ref="EO8" ca="1">IFERROR(INDEX(Leccion[selectorLeccion],SMALL(IF(EO$1=Leccion[SubSección],MATCH(ROW(Leccion[SubSección]),ROW(Leccion[SubSección]))),ROW(EN7))),"")</f>
        <v/>
      </c>
      <c r="EP8" s="51" t="str">
        <f t="array" aca="1" ref="EP8" ca="1">IFERROR(INDEX(Leccion[selectorLeccion],SMALL(IF(EP$1=Leccion[SubSección],MATCH(ROW(Leccion[SubSección]),ROW(Leccion[SubSección]))),ROW(EO7))),"")</f>
        <v/>
      </c>
      <c r="EQ8" s="51" t="str">
        <f t="array" aca="1" ref="EQ8" ca="1">IFERROR(INDEX(Leccion[selectorLeccion],SMALL(IF(EQ$1=Leccion[SubSección],MATCH(ROW(Leccion[SubSección]),ROW(Leccion[SubSección]))),ROW(EP7))),"")</f>
        <v/>
      </c>
      <c r="ER8" s="51" t="str">
        <f t="array" aca="1" ref="ER8" ca="1">IFERROR(INDEX(Leccion[selectorLeccion],SMALL(IF(ER$1=Leccion[SubSección],MATCH(ROW(Leccion[SubSección]),ROW(Leccion[SubSección]))),ROW(EQ7))),"")</f>
        <v/>
      </c>
      <c r="ES8" s="51" t="str">
        <f t="array" aca="1" ref="ES8" ca="1">IFERROR(INDEX(Leccion[selectorLeccion],SMALL(IF(ES$1=Leccion[SubSección],MATCH(ROW(Leccion[SubSección]),ROW(Leccion[SubSección]))),ROW(ER7))),"")</f>
        <v/>
      </c>
      <c r="ET8" s="51" t="str">
        <f t="array" aca="1" ref="ET8" ca="1">IFERROR(INDEX(Leccion[selectorLeccion],SMALL(IF(ET$1=Leccion[SubSección],MATCH(ROW(Leccion[SubSección]),ROW(Leccion[SubSección]))),ROW(ES7))),"")</f>
        <v/>
      </c>
      <c r="EU8" s="51" t="str">
        <f t="array" aca="1" ref="EU8" ca="1">IFERROR(INDEX(Leccion[selectorLeccion],SMALL(IF(EU$1=Leccion[SubSección],MATCH(ROW(Leccion[SubSección]),ROW(Leccion[SubSección]))),ROW(ET7))),"")</f>
        <v/>
      </c>
      <c r="EV8" s="51" t="str">
        <f t="array" aca="1" ref="EV8" ca="1">IFERROR(INDEX(Leccion[selectorLeccion],SMALL(IF(EV$1=Leccion[SubSección],MATCH(ROW(Leccion[SubSección]),ROW(Leccion[SubSección]))),ROW(EU7))),"")</f>
        <v/>
      </c>
      <c r="EW8" s="51" t="str">
        <f t="array" aca="1" ref="EW8" ca="1">IFERROR(INDEX(Leccion[selectorLeccion],SMALL(IF(EW$1=Leccion[SubSección],MATCH(ROW(Leccion[SubSección]),ROW(Leccion[SubSección]))),ROW(EV7))),"")</f>
        <v/>
      </c>
      <c r="EX8" s="51" t="str">
        <f t="array" aca="1" ref="EX8" ca="1">IFERROR(INDEX(Leccion[selectorLeccion],SMALL(IF(EX$1=Leccion[SubSección],MATCH(ROW(Leccion[SubSección]),ROW(Leccion[SubSección]))),ROW(EW7))),"")</f>
        <v/>
      </c>
      <c r="EY8" s="51" t="str">
        <f t="array" aca="1" ref="EY8" ca="1">IFERROR(INDEX(Leccion[selectorLeccion],SMALL(IF(EY$1=Leccion[SubSección],MATCH(ROW(Leccion[SubSección]),ROW(Leccion[SubSección]))),ROW(EX7))),"")</f>
        <v/>
      </c>
      <c r="EZ8" s="51" t="str">
        <f t="array" aca="1" ref="EZ8" ca="1">IFERROR(INDEX(Leccion[selectorLeccion],SMALL(IF(EZ$1=Leccion[SubSección],MATCH(ROW(Leccion[SubSección]),ROW(Leccion[SubSección]))),ROW(EY7))),"")</f>
        <v/>
      </c>
    </row>
    <row r="9" spans="2:156" x14ac:dyDescent="0.3">
      <c r="B9" s="51" t="str">
        <f t="array" aca="1" ref="B9" ca="1">IFERROR(INDEX(Leccion[selectorLeccion],SMALL(IF(B$1=Leccion[SubSección],MATCH(ROW(Leccion[SubSección]),ROW(Leccion[SubSección]))),ROW(A8))),"")</f>
        <v/>
      </c>
      <c r="C9" s="51" t="str">
        <f t="array" aca="1" ref="C9" ca="1">IFERROR(INDEX(Leccion[selectorLeccion],SMALL(IF(C$1=Leccion[SubSección],MATCH(ROW(Leccion[SubSección]),ROW(Leccion[SubSección]))),ROW(B8))),"")</f>
        <v/>
      </c>
      <c r="D9" s="51" t="str">
        <f t="array" aca="1" ref="D9" ca="1">IFERROR(INDEX(Leccion[selectorLeccion],SMALL(IF(D$1=Leccion[SubSección],MATCH(ROW(Leccion[SubSección]),ROW(Leccion[SubSección]))),ROW(C8))),"")</f>
        <v/>
      </c>
      <c r="E9" s="51" t="str">
        <f t="array" aca="1" ref="E9" ca="1">IFERROR(INDEX(Leccion[selectorLeccion],SMALL(IF(E$1=Leccion[SubSección],MATCH(ROW(Leccion[SubSección]),ROW(Leccion[SubSección]))),ROW(D8))),"")</f>
        <v/>
      </c>
      <c r="F9" s="51" t="str">
        <f t="array" aca="1" ref="F9" ca="1">IFERROR(INDEX(Leccion[selectorLeccion],SMALL(IF(F$1=Leccion[SubSección],MATCH(ROW(Leccion[SubSección]),ROW(Leccion[SubSección]))),ROW(E8))),"")</f>
        <v/>
      </c>
      <c r="G9" s="51" t="str">
        <f t="array" aca="1" ref="G9" ca="1">IFERROR(INDEX(Leccion[selectorLeccion],SMALL(IF(G$1=Leccion[SubSección],MATCH(ROW(Leccion[SubSección]),ROW(Leccion[SubSección]))),ROW(F8))),"")</f>
        <v/>
      </c>
      <c r="H9" s="51" t="str">
        <f t="array" aca="1" ref="H9" ca="1">IFERROR(INDEX(Leccion[selectorLeccion],SMALL(IF(H$1=Leccion[SubSección],MATCH(ROW(Leccion[SubSección]),ROW(Leccion[SubSección]))),ROW(G8))),"")</f>
        <v/>
      </c>
      <c r="I9" s="51" t="str">
        <f t="array" aca="1" ref="I9" ca="1">IFERROR(INDEX(Leccion[selectorLeccion],SMALL(IF(I$1=Leccion[SubSección],MATCH(ROW(Leccion[SubSección]),ROW(Leccion[SubSección]))),ROW(H8))),"")</f>
        <v/>
      </c>
      <c r="J9" s="51" t="str">
        <f t="array" aca="1" ref="J9" ca="1">IFERROR(INDEX(Leccion[selectorLeccion],SMALL(IF(J$1=Leccion[SubSección],MATCH(ROW(Leccion[SubSección]),ROW(Leccion[SubSección]))),ROW(I8))),"")</f>
        <v/>
      </c>
      <c r="K9" s="51" t="str">
        <f t="array" aca="1" ref="K9" ca="1">IFERROR(INDEX(Leccion[selectorLeccion],SMALL(IF(K$1=Leccion[SubSección],MATCH(ROW(Leccion[SubSección]),ROW(Leccion[SubSección]))),ROW(J8))),"")</f>
        <v/>
      </c>
      <c r="L9" s="51" t="str">
        <f t="array" aca="1" ref="L9" ca="1">IFERROR(INDEX(Leccion[selectorLeccion],SMALL(IF(L$1=Leccion[SubSección],MATCH(ROW(Leccion[SubSección]),ROW(Leccion[SubSección]))),ROW(K8))),"")</f>
        <v/>
      </c>
      <c r="M9" s="51" t="str">
        <f t="array" aca="1" ref="M9" ca="1">IFERROR(INDEX(Leccion[selectorLeccion],SMALL(IF(M$1=Leccion[SubSección],MATCH(ROW(Leccion[SubSección]),ROW(Leccion[SubSección]))),ROW(L8))),"")</f>
        <v/>
      </c>
      <c r="N9" s="51" t="str">
        <f t="array" aca="1" ref="N9" ca="1">IFERROR(INDEX(Leccion[selectorLeccion],SMALL(IF(N$1=Leccion[SubSección],MATCH(ROW(Leccion[SubSección]),ROW(Leccion[SubSección]))),ROW(M8))),"")</f>
        <v/>
      </c>
      <c r="O9" s="51" t="str">
        <f t="array" aca="1" ref="O9" ca="1">IFERROR(INDEX(Leccion[selectorLeccion],SMALL(IF(O$1=Leccion[SubSección],MATCH(ROW(Leccion[SubSección]),ROW(Leccion[SubSección]))),ROW(N8))),"")</f>
        <v/>
      </c>
      <c r="P9" s="51" t="str">
        <f t="array" aca="1" ref="P9" ca="1">IFERROR(INDEX(Leccion[selectorLeccion],SMALL(IF(P$1=Leccion[SubSección],MATCH(ROW(Leccion[SubSección]),ROW(Leccion[SubSección]))),ROW(O8))),"")</f>
        <v/>
      </c>
      <c r="Q9" s="51" t="str">
        <f t="array" aca="1" ref="Q9" ca="1">IFERROR(INDEX(Leccion[selectorLeccion],SMALL(IF(Q$1=Leccion[SubSección],MATCH(ROW(Leccion[SubSección]),ROW(Leccion[SubSección]))),ROW(P8))),"")</f>
        <v/>
      </c>
      <c r="R9" s="51" t="str">
        <f t="array" aca="1" ref="R9" ca="1">IFERROR(INDEX(Leccion[selectorLeccion],SMALL(IF(R$1=Leccion[SubSección],MATCH(ROW(Leccion[SubSección]),ROW(Leccion[SubSección]))),ROW(Q8))),"")</f>
        <v/>
      </c>
      <c r="S9" s="51" t="str">
        <f t="array" aca="1" ref="S9" ca="1">IFERROR(INDEX(Leccion[selectorLeccion],SMALL(IF(S$1=Leccion[SubSección],MATCH(ROW(Leccion[SubSección]),ROW(Leccion[SubSección]))),ROW(R8))),"")</f>
        <v/>
      </c>
      <c r="T9" s="51" t="str">
        <f t="array" aca="1" ref="T9" ca="1">IFERROR(INDEX(Leccion[selectorLeccion],SMALL(IF(T$1=Leccion[SubSección],MATCH(ROW(Leccion[SubSección]),ROW(Leccion[SubSección]))),ROW(S8))),"")</f>
        <v/>
      </c>
      <c r="U9" s="51" t="str">
        <f t="array" aca="1" ref="U9" ca="1">IFERROR(INDEX(Leccion[selectorLeccion],SMALL(IF(U$1=Leccion[SubSección],MATCH(ROW(Leccion[SubSección]),ROW(Leccion[SubSección]))),ROW(T8))),"")</f>
        <v/>
      </c>
      <c r="V9" s="51" t="str">
        <f t="array" aca="1" ref="V9" ca="1">IFERROR(INDEX(Leccion[selectorLeccion],SMALL(IF(V$1=Leccion[SubSección],MATCH(ROW(Leccion[SubSección]),ROW(Leccion[SubSección]))),ROW(U8))),"")</f>
        <v/>
      </c>
      <c r="W9" s="51" t="str">
        <f t="array" aca="1" ref="W9" ca="1">IFERROR(INDEX(Leccion[selectorLeccion],SMALL(IF(W$1=Leccion[SubSección],MATCH(ROW(Leccion[SubSección]),ROW(Leccion[SubSección]))),ROW(V8))),"")</f>
        <v/>
      </c>
      <c r="X9" s="51" t="str">
        <f t="array" aca="1" ref="X9" ca="1">IFERROR(INDEX(Leccion[selectorLeccion],SMALL(IF(X$1=Leccion[SubSección],MATCH(ROW(Leccion[SubSección]),ROW(Leccion[SubSección]))),ROW(W8))),"")</f>
        <v/>
      </c>
      <c r="Y9" s="51" t="str">
        <f t="array" aca="1" ref="Y9" ca="1">IFERROR(INDEX(Leccion[selectorLeccion],SMALL(IF(Y$1=Leccion[SubSección],MATCH(ROW(Leccion[SubSección]),ROW(Leccion[SubSección]))),ROW(X8))),"")</f>
        <v/>
      </c>
      <c r="Z9" s="51" t="str">
        <f t="array" aca="1" ref="Z9" ca="1">IFERROR(INDEX(Leccion[selectorLeccion],SMALL(IF(Z$1=Leccion[SubSección],MATCH(ROW(Leccion[SubSección]),ROW(Leccion[SubSección]))),ROW(Y8))),"")</f>
        <v/>
      </c>
      <c r="AA9" s="51" t="str">
        <f t="array" aca="1" ref="AA9" ca="1">IFERROR(INDEX(Leccion[selectorLeccion],SMALL(IF(AA$1=Leccion[SubSección],MATCH(ROW(Leccion[SubSección]),ROW(Leccion[SubSección]))),ROW(Z8))),"")</f>
        <v/>
      </c>
      <c r="AB9" s="51" t="str">
        <f t="array" aca="1" ref="AB9" ca="1">IFERROR(INDEX(Leccion[selectorLeccion],SMALL(IF(AB$1=Leccion[SubSección],MATCH(ROW(Leccion[SubSección]),ROW(Leccion[SubSección]))),ROW(AA8))),"")</f>
        <v/>
      </c>
      <c r="AC9" s="51" t="str">
        <f t="array" aca="1" ref="AC9" ca="1">IFERROR(INDEX(Leccion[selectorLeccion],SMALL(IF(AC$1=Leccion[SubSección],MATCH(ROW(Leccion[SubSección]),ROW(Leccion[SubSección]))),ROW(AB8))),"")</f>
        <v/>
      </c>
      <c r="AD9" s="51" t="str">
        <f t="array" aca="1" ref="AD9" ca="1">IFERROR(INDEX(Leccion[selectorLeccion],SMALL(IF(AD$1=Leccion[SubSección],MATCH(ROW(Leccion[SubSección]),ROW(Leccion[SubSección]))),ROW(AC8))),"")</f>
        <v/>
      </c>
      <c r="AE9" s="51" t="str">
        <f t="array" aca="1" ref="AE9" ca="1">IFERROR(INDEX(Leccion[selectorLeccion],SMALL(IF(AE$1=Leccion[SubSección],MATCH(ROW(Leccion[SubSección]),ROW(Leccion[SubSección]))),ROW(AD8))),"")</f>
        <v/>
      </c>
      <c r="AF9" s="51" t="str">
        <f t="array" aca="1" ref="AF9" ca="1">IFERROR(INDEX(Leccion[selectorLeccion],SMALL(IF(AF$1=Leccion[SubSección],MATCH(ROW(Leccion[SubSección]),ROW(Leccion[SubSección]))),ROW(AE8))),"")</f>
        <v/>
      </c>
      <c r="AG9" s="51" t="str">
        <f t="array" aca="1" ref="AG9" ca="1">IFERROR(INDEX(Leccion[selectorLeccion],SMALL(IF(AG$1=Leccion[SubSección],MATCH(ROW(Leccion[SubSección]),ROW(Leccion[SubSección]))),ROW(AF8))),"")</f>
        <v/>
      </c>
      <c r="AH9" s="51" t="str">
        <f t="array" aca="1" ref="AH9" ca="1">IFERROR(INDEX(Leccion[selectorLeccion],SMALL(IF(AH$1=Leccion[SubSección],MATCH(ROW(Leccion[SubSección]),ROW(Leccion[SubSección]))),ROW(AG8))),"")</f>
        <v/>
      </c>
      <c r="AI9" s="51" t="str">
        <f t="array" aca="1" ref="AI9" ca="1">IFERROR(INDEX(Leccion[selectorLeccion],SMALL(IF(AI$1=Leccion[SubSección],MATCH(ROW(Leccion[SubSección]),ROW(Leccion[SubSección]))),ROW(AH8))),"")</f>
        <v/>
      </c>
      <c r="AJ9" s="51" t="str">
        <f t="array" aca="1" ref="AJ9" ca="1">IFERROR(INDEX(Leccion[selectorLeccion],SMALL(IF(AJ$1=Leccion[SubSección],MATCH(ROW(Leccion[SubSección]),ROW(Leccion[SubSección]))),ROW(AI8))),"")</f>
        <v/>
      </c>
      <c r="AK9" s="51" t="str">
        <f t="array" aca="1" ref="AK9" ca="1">IFERROR(INDEX(Leccion[selectorLeccion],SMALL(IF(AK$1=Leccion[SubSección],MATCH(ROW(Leccion[SubSección]),ROW(Leccion[SubSección]))),ROW(AJ8))),"")</f>
        <v/>
      </c>
      <c r="AL9" s="51" t="str">
        <f t="array" aca="1" ref="AL9" ca="1">IFERROR(INDEX(Leccion[selectorLeccion],SMALL(IF(AL$1=Leccion[SubSección],MATCH(ROW(Leccion[SubSección]),ROW(Leccion[SubSección]))),ROW(AK8))),"")</f>
        <v/>
      </c>
      <c r="AM9" s="51" t="str">
        <f t="array" aca="1" ref="AM9" ca="1">IFERROR(INDEX(Leccion[selectorLeccion],SMALL(IF(AM$1=Leccion[SubSección],MATCH(ROW(Leccion[SubSección]),ROW(Leccion[SubSección]))),ROW(AL8))),"")</f>
        <v/>
      </c>
      <c r="AN9" s="51" t="str">
        <f t="array" aca="1" ref="AN9" ca="1">IFERROR(INDEX(Leccion[selectorLeccion],SMALL(IF(AN$1=Leccion[SubSección],MATCH(ROW(Leccion[SubSección]),ROW(Leccion[SubSección]))),ROW(AM8))),"")</f>
        <v/>
      </c>
      <c r="AO9" s="51" t="str">
        <f t="array" aca="1" ref="AO9" ca="1">IFERROR(INDEX(Leccion[selectorLeccion],SMALL(IF(AO$1=Leccion[SubSección],MATCH(ROW(Leccion[SubSección]),ROW(Leccion[SubSección]))),ROW(AN8))),"")</f>
        <v/>
      </c>
      <c r="AP9" s="51" t="str">
        <f t="array" aca="1" ref="AP9" ca="1">IFERROR(INDEX(Leccion[selectorLeccion],SMALL(IF(AP$1=Leccion[SubSección],MATCH(ROW(Leccion[SubSección]),ROW(Leccion[SubSección]))),ROW(AO8))),"")</f>
        <v/>
      </c>
      <c r="AQ9" s="51" t="str">
        <f t="array" aca="1" ref="AQ9" ca="1">IFERROR(INDEX(Leccion[selectorLeccion],SMALL(IF(AQ$1=Leccion[SubSección],MATCH(ROW(Leccion[SubSección]),ROW(Leccion[SubSección]))),ROW(AP8))),"")</f>
        <v/>
      </c>
      <c r="AR9" s="51" t="str">
        <f t="array" aca="1" ref="AR9" ca="1">IFERROR(INDEX(Leccion[selectorLeccion],SMALL(IF(AR$1=Leccion[SubSección],MATCH(ROW(Leccion[SubSección]),ROW(Leccion[SubSección]))),ROW(AQ8))),"")</f>
        <v/>
      </c>
      <c r="AS9" s="51" t="str">
        <f t="array" aca="1" ref="AS9" ca="1">IFERROR(INDEX(Leccion[selectorLeccion],SMALL(IF(AS$1=Leccion[SubSección],MATCH(ROW(Leccion[SubSección]),ROW(Leccion[SubSección]))),ROW(AR8))),"")</f>
        <v/>
      </c>
      <c r="AT9" s="51" t="str">
        <f t="array" aca="1" ref="AT9" ca="1">IFERROR(INDEX(Leccion[selectorLeccion],SMALL(IF(AT$1=Leccion[SubSección],MATCH(ROW(Leccion[SubSección]),ROW(Leccion[SubSección]))),ROW(AS8))),"")</f>
        <v/>
      </c>
      <c r="AU9" s="51" t="str">
        <f t="array" aca="1" ref="AU9" ca="1">IFERROR(INDEX(Leccion[selectorLeccion],SMALL(IF(AU$1=Leccion[SubSección],MATCH(ROW(Leccion[SubSección]),ROW(Leccion[SubSección]))),ROW(AT8))),"")</f>
        <v/>
      </c>
      <c r="AV9" s="51" t="str">
        <f t="array" aca="1" ref="AV9" ca="1">IFERROR(INDEX(Leccion[selectorLeccion],SMALL(IF(AV$1=Leccion[SubSección],MATCH(ROW(Leccion[SubSección]),ROW(Leccion[SubSección]))),ROW(AU8))),"")</f>
        <v/>
      </c>
      <c r="AW9" s="51" t="str">
        <f t="array" aca="1" ref="AW9" ca="1">IFERROR(INDEX(Leccion[selectorLeccion],SMALL(IF(AW$1=Leccion[SubSección],MATCH(ROW(Leccion[SubSección]),ROW(Leccion[SubSección]))),ROW(AV8))),"")</f>
        <v/>
      </c>
      <c r="AX9" s="51" t="str">
        <f t="array" aca="1" ref="AX9" ca="1">IFERROR(INDEX(Leccion[selectorLeccion],SMALL(IF(AX$1=Leccion[SubSección],MATCH(ROW(Leccion[SubSección]),ROW(Leccion[SubSección]))),ROW(AW8))),"")</f>
        <v/>
      </c>
      <c r="AY9" s="51" t="str">
        <f t="array" aca="1" ref="AY9" ca="1">IFERROR(INDEX(Leccion[selectorLeccion],SMALL(IF(AY$1=Leccion[SubSección],MATCH(ROW(Leccion[SubSección]),ROW(Leccion[SubSección]))),ROW(AX8))),"")</f>
        <v/>
      </c>
      <c r="AZ9" s="51" t="str">
        <f t="array" aca="1" ref="AZ9" ca="1">IFERROR(INDEX(Leccion[selectorLeccion],SMALL(IF(AZ$1=Leccion[SubSección],MATCH(ROW(Leccion[SubSección]),ROW(Leccion[SubSección]))),ROW(AY8))),"")</f>
        <v/>
      </c>
      <c r="BA9" s="51" t="str">
        <f t="array" aca="1" ref="BA9" ca="1">IFERROR(INDEX(Leccion[selectorLeccion],SMALL(IF(BA$1=Leccion[SubSección],MATCH(ROW(Leccion[SubSección]),ROW(Leccion[SubSección]))),ROW(AZ8))),"")</f>
        <v/>
      </c>
      <c r="BB9" s="51" t="str">
        <f t="array" aca="1" ref="BB9" ca="1">IFERROR(INDEX(Leccion[selectorLeccion],SMALL(IF(BB$1=Leccion[SubSección],MATCH(ROW(Leccion[SubSección]),ROW(Leccion[SubSección]))),ROW(BA8))),"")</f>
        <v/>
      </c>
      <c r="BC9" s="51" t="str">
        <f t="array" aca="1" ref="BC9" ca="1">IFERROR(INDEX(Leccion[selectorLeccion],SMALL(IF(BC$1=Leccion[SubSección],MATCH(ROW(Leccion[SubSección]),ROW(Leccion[SubSección]))),ROW(BB8))),"")</f>
        <v/>
      </c>
      <c r="BD9" s="51" t="str">
        <f t="array" aca="1" ref="BD9" ca="1">IFERROR(INDEX(Leccion[selectorLeccion],SMALL(IF(BD$1=Leccion[SubSección],MATCH(ROW(Leccion[SubSección]),ROW(Leccion[SubSección]))),ROW(BC8))),"")</f>
        <v/>
      </c>
      <c r="BE9" s="51" t="str">
        <f t="array" aca="1" ref="BE9" ca="1">IFERROR(INDEX(Leccion[selectorLeccion],SMALL(IF(BE$1=Leccion[SubSección],MATCH(ROW(Leccion[SubSección]),ROW(Leccion[SubSección]))),ROW(BD8))),"")</f>
        <v/>
      </c>
      <c r="BF9" s="51" t="str">
        <f t="array" aca="1" ref="BF9" ca="1">IFERROR(INDEX(Leccion[selectorLeccion],SMALL(IF(BF$1=Leccion[SubSección],MATCH(ROW(Leccion[SubSección]),ROW(Leccion[SubSección]))),ROW(BE8))),"")</f>
        <v/>
      </c>
      <c r="BG9" s="51" t="str">
        <f t="array" aca="1" ref="BG9" ca="1">IFERROR(INDEX(Leccion[selectorLeccion],SMALL(IF(BG$1=Leccion[SubSección],MATCH(ROW(Leccion[SubSección]),ROW(Leccion[SubSección]))),ROW(BF8))),"")</f>
        <v/>
      </c>
      <c r="BH9" s="51" t="str">
        <f t="array" aca="1" ref="BH9" ca="1">IFERROR(INDEX(Leccion[selectorLeccion],SMALL(IF(BH$1=Leccion[SubSección],MATCH(ROW(Leccion[SubSección]),ROW(Leccion[SubSección]))),ROW(BG8))),"")</f>
        <v/>
      </c>
      <c r="BI9" s="51" t="str">
        <f t="array" aca="1" ref="BI9" ca="1">IFERROR(INDEX(Leccion[selectorLeccion],SMALL(IF(BI$1=Leccion[SubSección],MATCH(ROW(Leccion[SubSección]),ROW(Leccion[SubSección]))),ROW(BH8))),"")</f>
        <v/>
      </c>
      <c r="BJ9" s="51" t="str">
        <f t="array" aca="1" ref="BJ9" ca="1">IFERROR(INDEX(Leccion[selectorLeccion],SMALL(IF(BJ$1=Leccion[SubSección],MATCH(ROW(Leccion[SubSección]),ROW(Leccion[SubSección]))),ROW(BI8))),"")</f>
        <v/>
      </c>
      <c r="BK9" s="51" t="str">
        <f t="array" aca="1" ref="BK9" ca="1">IFERROR(INDEX(Leccion[selectorLeccion],SMALL(IF(BK$1=Leccion[SubSección],MATCH(ROW(Leccion[SubSección]),ROW(Leccion[SubSección]))),ROW(BJ8))),"")</f>
        <v/>
      </c>
      <c r="BL9" s="51" t="str">
        <f t="array" aca="1" ref="BL9" ca="1">IFERROR(INDEX(Leccion[selectorLeccion],SMALL(IF(BL$1=Leccion[SubSección],MATCH(ROW(Leccion[SubSección]),ROW(Leccion[SubSección]))),ROW(BK8))),"")</f>
        <v/>
      </c>
      <c r="BM9" s="51" t="str">
        <f t="array" aca="1" ref="BM9" ca="1">IFERROR(INDEX(Leccion[selectorLeccion],SMALL(IF(BM$1=Leccion[SubSección],MATCH(ROW(Leccion[SubSección]),ROW(Leccion[SubSección]))),ROW(BL8))),"")</f>
        <v/>
      </c>
      <c r="BN9" s="51" t="str">
        <f t="array" aca="1" ref="BN9" ca="1">IFERROR(INDEX(Leccion[selectorLeccion],SMALL(IF(BN$1=Leccion[SubSección],MATCH(ROW(Leccion[SubSección]),ROW(Leccion[SubSección]))),ROW(BM8))),"")</f>
        <v/>
      </c>
      <c r="BO9" s="51" t="str">
        <f t="array" aca="1" ref="BO9" ca="1">IFERROR(INDEX(Leccion[selectorLeccion],SMALL(IF(BO$1=Leccion[SubSección],MATCH(ROW(Leccion[SubSección]),ROW(Leccion[SubSección]))),ROW(BN8))),"")</f>
        <v/>
      </c>
      <c r="BP9" s="51" t="str">
        <f t="array" aca="1" ref="BP9" ca="1">IFERROR(INDEX(Leccion[selectorLeccion],SMALL(IF(BP$1=Leccion[SubSección],MATCH(ROW(Leccion[SubSección]),ROW(Leccion[SubSección]))),ROW(BO8))),"")</f>
        <v/>
      </c>
      <c r="BQ9" s="51" t="str">
        <f t="array" aca="1" ref="BQ9" ca="1">IFERROR(INDEX(Leccion[selectorLeccion],SMALL(IF(BQ$1=Leccion[SubSección],MATCH(ROW(Leccion[SubSección]),ROW(Leccion[SubSección]))),ROW(BP8))),"")</f>
        <v/>
      </c>
      <c r="BR9" s="51" t="str">
        <f t="array" aca="1" ref="BR9" ca="1">IFERROR(INDEX(Leccion[selectorLeccion],SMALL(IF(BR$1=Leccion[SubSección],MATCH(ROW(Leccion[SubSección]),ROW(Leccion[SubSección]))),ROW(BQ8))),"")</f>
        <v/>
      </c>
      <c r="BS9" s="51" t="str">
        <f t="array" aca="1" ref="BS9" ca="1">IFERROR(INDEX(Leccion[selectorLeccion],SMALL(IF(BS$1=Leccion[SubSección],MATCH(ROW(Leccion[SubSección]),ROW(Leccion[SubSección]))),ROW(BR8))),"")</f>
        <v/>
      </c>
      <c r="BT9" s="51" t="str">
        <f t="array" aca="1" ref="BT9" ca="1">IFERROR(INDEX(Leccion[selectorLeccion],SMALL(IF(BT$1=Leccion[SubSección],MATCH(ROW(Leccion[SubSección]),ROW(Leccion[SubSección]))),ROW(BS8))),"")</f>
        <v/>
      </c>
      <c r="BU9" s="51" t="str">
        <f t="array" aca="1" ref="BU9" ca="1">IFERROR(INDEX(Leccion[selectorLeccion],SMALL(IF(BU$1=Leccion[SubSección],MATCH(ROW(Leccion[SubSección]),ROW(Leccion[SubSección]))),ROW(BT8))),"")</f>
        <v/>
      </c>
      <c r="BV9" s="51" t="str">
        <f t="array" aca="1" ref="BV9" ca="1">IFERROR(INDEX(Leccion[selectorLeccion],SMALL(IF(BV$1=Leccion[SubSección],MATCH(ROW(Leccion[SubSección]),ROW(Leccion[SubSección]))),ROW(BU8))),"")</f>
        <v/>
      </c>
      <c r="BW9" s="51" t="str">
        <f t="array" aca="1" ref="BW9" ca="1">IFERROR(INDEX(Leccion[selectorLeccion],SMALL(IF(BW$1=Leccion[SubSección],MATCH(ROW(Leccion[SubSección]),ROW(Leccion[SubSección]))),ROW(BV8))),"")</f>
        <v/>
      </c>
      <c r="BX9" s="51" t="str">
        <f t="array" aca="1" ref="BX9" ca="1">IFERROR(INDEX(Leccion[selectorLeccion],SMALL(IF(BX$1=Leccion[SubSección],MATCH(ROW(Leccion[SubSección]),ROW(Leccion[SubSección]))),ROW(BW8))),"")</f>
        <v/>
      </c>
      <c r="BY9" s="51" t="str">
        <f t="array" aca="1" ref="BY9" ca="1">IFERROR(INDEX(Leccion[selectorLeccion],SMALL(IF(BY$1=Leccion[SubSección],MATCH(ROW(Leccion[SubSección]),ROW(Leccion[SubSección]))),ROW(BX8))),"")</f>
        <v/>
      </c>
      <c r="BZ9" s="51" t="str">
        <f t="array" aca="1" ref="BZ9" ca="1">IFERROR(INDEX(Leccion[selectorLeccion],SMALL(IF(BZ$1=Leccion[SubSección],MATCH(ROW(Leccion[SubSección]),ROW(Leccion[SubSección]))),ROW(BY8))),"")</f>
        <v/>
      </c>
      <c r="CA9" s="51" t="str">
        <f t="array" aca="1" ref="CA9" ca="1">IFERROR(INDEX(Leccion[selectorLeccion],SMALL(IF(CA$1=Leccion[SubSección],MATCH(ROW(Leccion[SubSección]),ROW(Leccion[SubSección]))),ROW(BZ8))),"")</f>
        <v/>
      </c>
      <c r="CB9" s="51" t="str">
        <f t="array" aca="1" ref="CB9" ca="1">IFERROR(INDEX(Leccion[selectorLeccion],SMALL(IF(CB$1=Leccion[SubSección],MATCH(ROW(Leccion[SubSección]),ROW(Leccion[SubSección]))),ROW(CA8))),"")</f>
        <v/>
      </c>
      <c r="CC9" s="51" t="str">
        <f t="array" aca="1" ref="CC9" ca="1">IFERROR(INDEX(Leccion[selectorLeccion],SMALL(IF(CC$1=Leccion[SubSección],MATCH(ROW(Leccion[SubSección]),ROW(Leccion[SubSección]))),ROW(CB8))),"")</f>
        <v/>
      </c>
      <c r="CD9" s="51" t="str">
        <f t="array" aca="1" ref="CD9" ca="1">IFERROR(INDEX(Leccion[selectorLeccion],SMALL(IF(CD$1=Leccion[SubSección],MATCH(ROW(Leccion[SubSección]),ROW(Leccion[SubSección]))),ROW(CC8))),"")</f>
        <v/>
      </c>
      <c r="CE9" s="51" t="str">
        <f t="array" aca="1" ref="CE9" ca="1">IFERROR(INDEX(Leccion[selectorLeccion],SMALL(IF(CE$1=Leccion[SubSección],MATCH(ROW(Leccion[SubSección]),ROW(Leccion[SubSección]))),ROW(CD8))),"")</f>
        <v/>
      </c>
      <c r="CF9" s="51" t="str">
        <f t="array" aca="1" ref="CF9" ca="1">IFERROR(INDEX(Leccion[selectorLeccion],SMALL(IF(CF$1=Leccion[SubSección],MATCH(ROW(Leccion[SubSección]),ROW(Leccion[SubSección]))),ROW(CE8))),"")</f>
        <v/>
      </c>
      <c r="CG9" s="51" t="str">
        <f t="array" aca="1" ref="CG9" ca="1">IFERROR(INDEX(Leccion[selectorLeccion],SMALL(IF(CG$1=Leccion[SubSección],MATCH(ROW(Leccion[SubSección]),ROW(Leccion[SubSección]))),ROW(CF8))),"")</f>
        <v/>
      </c>
      <c r="CH9" s="51" t="str">
        <f t="array" aca="1" ref="CH9" ca="1">IFERROR(INDEX(Leccion[selectorLeccion],SMALL(IF(CH$1=Leccion[SubSección],MATCH(ROW(Leccion[SubSección]),ROW(Leccion[SubSección]))),ROW(CG8))),"")</f>
        <v/>
      </c>
      <c r="CI9" s="51" t="str">
        <f t="array" aca="1" ref="CI9" ca="1">IFERROR(INDEX(Leccion[selectorLeccion],SMALL(IF(CI$1=Leccion[SubSección],MATCH(ROW(Leccion[SubSección]),ROW(Leccion[SubSección]))),ROW(CH8))),"")</f>
        <v/>
      </c>
      <c r="CJ9" s="51" t="str">
        <f t="array" aca="1" ref="CJ9" ca="1">IFERROR(INDEX(Leccion[selectorLeccion],SMALL(IF(CJ$1=Leccion[SubSección],MATCH(ROW(Leccion[SubSección]),ROW(Leccion[SubSección]))),ROW(CI8))),"")</f>
        <v/>
      </c>
      <c r="CK9" s="51" t="str">
        <f t="array" aca="1" ref="CK9" ca="1">IFERROR(INDEX(Leccion[selectorLeccion],SMALL(IF(CK$1=Leccion[SubSección],MATCH(ROW(Leccion[SubSección]),ROW(Leccion[SubSección]))),ROW(CJ8))),"")</f>
        <v/>
      </c>
      <c r="CL9" s="51" t="str">
        <f t="array" aca="1" ref="CL9" ca="1">IFERROR(INDEX(Leccion[selectorLeccion],SMALL(IF(CL$1=Leccion[SubSección],MATCH(ROW(Leccion[SubSección]),ROW(Leccion[SubSección]))),ROW(CK8))),"")</f>
        <v/>
      </c>
      <c r="CM9" s="51" t="str">
        <f t="array" aca="1" ref="CM9" ca="1">IFERROR(INDEX(Leccion[selectorLeccion],SMALL(IF(CM$1=Leccion[SubSección],MATCH(ROW(Leccion[SubSección]),ROW(Leccion[SubSección]))),ROW(CL8))),"")</f>
        <v/>
      </c>
      <c r="CN9" s="51" t="str">
        <f t="array" aca="1" ref="CN9" ca="1">IFERROR(INDEX(Leccion[selectorLeccion],SMALL(IF(CN$1=Leccion[SubSección],MATCH(ROW(Leccion[SubSección]),ROW(Leccion[SubSección]))),ROW(CM8))),"")</f>
        <v/>
      </c>
      <c r="CO9" s="51" t="str">
        <f t="array" aca="1" ref="CO9" ca="1">IFERROR(INDEX(Leccion[selectorLeccion],SMALL(IF(CO$1=Leccion[SubSección],MATCH(ROW(Leccion[SubSección]),ROW(Leccion[SubSección]))),ROW(CN8))),"")</f>
        <v/>
      </c>
      <c r="CP9" s="51" t="str">
        <f t="array" aca="1" ref="CP9" ca="1">IFERROR(INDEX(Leccion[selectorLeccion],SMALL(IF(CP$1=Leccion[SubSección],MATCH(ROW(Leccion[SubSección]),ROW(Leccion[SubSección]))),ROW(CO8))),"")</f>
        <v/>
      </c>
      <c r="CQ9" s="51" t="str">
        <f t="array" aca="1" ref="CQ9" ca="1">IFERROR(INDEX(Leccion[selectorLeccion],SMALL(IF(CQ$1=Leccion[SubSección],MATCH(ROW(Leccion[SubSección]),ROW(Leccion[SubSección]))),ROW(CP8))),"")</f>
        <v/>
      </c>
      <c r="CR9" s="51" t="str">
        <f t="array" aca="1" ref="CR9" ca="1">IFERROR(INDEX(Leccion[selectorLeccion],SMALL(IF(CR$1=Leccion[SubSección],MATCH(ROW(Leccion[SubSección]),ROW(Leccion[SubSección]))),ROW(CQ8))),"")</f>
        <v/>
      </c>
      <c r="CS9" s="51" t="str">
        <f t="array" aca="1" ref="CS9" ca="1">IFERROR(INDEX(Leccion[selectorLeccion],SMALL(IF(CS$1=Leccion[SubSección],MATCH(ROW(Leccion[SubSección]),ROW(Leccion[SubSección]))),ROW(CR8))),"")</f>
        <v/>
      </c>
      <c r="CT9" s="51" t="str">
        <f t="array" aca="1" ref="CT9" ca="1">IFERROR(INDEX(Leccion[selectorLeccion],SMALL(IF(CT$1=Leccion[SubSección],MATCH(ROW(Leccion[SubSección]),ROW(Leccion[SubSección]))),ROW(CS8))),"")</f>
        <v/>
      </c>
      <c r="CU9" s="51" t="str">
        <f t="array" aca="1" ref="CU9" ca="1">IFERROR(INDEX(Leccion[selectorLeccion],SMALL(IF(CU$1=Leccion[SubSección],MATCH(ROW(Leccion[SubSección]),ROW(Leccion[SubSección]))),ROW(CT8))),"")</f>
        <v/>
      </c>
      <c r="CV9" s="51" t="str">
        <f t="array" aca="1" ref="CV9" ca="1">IFERROR(INDEX(Leccion[selectorLeccion],SMALL(IF(CV$1=Leccion[SubSección],MATCH(ROW(Leccion[SubSección]),ROW(Leccion[SubSección]))),ROW(CU8))),"")</f>
        <v/>
      </c>
      <c r="CW9" s="51" t="str">
        <f t="array" aca="1" ref="CW9" ca="1">IFERROR(INDEX(Leccion[selectorLeccion],SMALL(IF(CW$1=Leccion[SubSección],MATCH(ROW(Leccion[SubSección]),ROW(Leccion[SubSección]))),ROW(CV8))),"")</f>
        <v/>
      </c>
      <c r="CX9" s="51" t="str">
        <f t="array" aca="1" ref="CX9" ca="1">IFERROR(INDEX(Leccion[selectorLeccion],SMALL(IF(CX$1=Leccion[SubSección],MATCH(ROW(Leccion[SubSección]),ROW(Leccion[SubSección]))),ROW(CW8))),"")</f>
        <v/>
      </c>
      <c r="CY9" s="51" t="str">
        <f t="array" aca="1" ref="CY9" ca="1">IFERROR(INDEX(Leccion[selectorLeccion],SMALL(IF(CY$1=Leccion[SubSección],MATCH(ROW(Leccion[SubSección]),ROW(Leccion[SubSección]))),ROW(CX8))),"")</f>
        <v/>
      </c>
      <c r="CZ9" s="51" t="str">
        <f t="array" aca="1" ref="CZ9" ca="1">IFERROR(INDEX(Leccion[selectorLeccion],SMALL(IF(CZ$1=Leccion[SubSección],MATCH(ROW(Leccion[SubSección]),ROW(Leccion[SubSección]))),ROW(CY8))),"")</f>
        <v/>
      </c>
      <c r="DA9" s="51" t="str">
        <f t="array" aca="1" ref="DA9" ca="1">IFERROR(INDEX(Leccion[selectorLeccion],SMALL(IF(DA$1=Leccion[SubSección],MATCH(ROW(Leccion[SubSección]),ROW(Leccion[SubSección]))),ROW(CZ8))),"")</f>
        <v/>
      </c>
      <c r="DB9" s="51" t="str">
        <f t="array" aca="1" ref="DB9" ca="1">IFERROR(INDEX(Leccion[selectorLeccion],SMALL(IF(DB$1=Leccion[SubSección],MATCH(ROW(Leccion[SubSección]),ROW(Leccion[SubSección]))),ROW(DA8))),"")</f>
        <v/>
      </c>
      <c r="DC9" s="51" t="str">
        <f t="array" aca="1" ref="DC9" ca="1">IFERROR(INDEX(Leccion[selectorLeccion],SMALL(IF(DC$1=Leccion[SubSección],MATCH(ROW(Leccion[SubSección]),ROW(Leccion[SubSección]))),ROW(DB8))),"")</f>
        <v/>
      </c>
      <c r="DD9" s="51" t="str">
        <f t="array" aca="1" ref="DD9" ca="1">IFERROR(INDEX(Leccion[selectorLeccion],SMALL(IF(DD$1=Leccion[SubSección],MATCH(ROW(Leccion[SubSección]),ROW(Leccion[SubSección]))),ROW(DC8))),"")</f>
        <v/>
      </c>
      <c r="DE9" s="51" t="str">
        <f t="array" aca="1" ref="DE9" ca="1">IFERROR(INDEX(Leccion[selectorLeccion],SMALL(IF(DE$1=Leccion[SubSección],MATCH(ROW(Leccion[SubSección]),ROW(Leccion[SubSección]))),ROW(DD8))),"")</f>
        <v/>
      </c>
      <c r="DF9" s="51" t="str">
        <f t="array" aca="1" ref="DF9" ca="1">IFERROR(INDEX(Leccion[selectorLeccion],SMALL(IF(DF$1=Leccion[SubSección],MATCH(ROW(Leccion[SubSección]),ROW(Leccion[SubSección]))),ROW(DE8))),"")</f>
        <v/>
      </c>
      <c r="DG9" s="51" t="str">
        <f t="array" aca="1" ref="DG9" ca="1">IFERROR(INDEX(Leccion[selectorLeccion],SMALL(IF(DG$1=Leccion[SubSección],MATCH(ROW(Leccion[SubSección]),ROW(Leccion[SubSección]))),ROW(DF8))),"")</f>
        <v/>
      </c>
      <c r="DH9" s="51" t="str">
        <f t="array" aca="1" ref="DH9" ca="1">IFERROR(INDEX(Leccion[selectorLeccion],SMALL(IF(DH$1=Leccion[SubSección],MATCH(ROW(Leccion[SubSección]),ROW(Leccion[SubSección]))),ROW(DG8))),"")</f>
        <v/>
      </c>
      <c r="DI9" s="51" t="str">
        <f t="array" aca="1" ref="DI9" ca="1">IFERROR(INDEX(Leccion[selectorLeccion],SMALL(IF(DI$1=Leccion[SubSección],MATCH(ROW(Leccion[SubSección]),ROW(Leccion[SubSección]))),ROW(DH8))),"")</f>
        <v/>
      </c>
      <c r="DJ9" s="51" t="str">
        <f t="array" aca="1" ref="DJ9" ca="1">IFERROR(INDEX(Leccion[selectorLeccion],SMALL(IF(DJ$1=Leccion[SubSección],MATCH(ROW(Leccion[SubSección]),ROW(Leccion[SubSección]))),ROW(DI8))),"")</f>
        <v/>
      </c>
      <c r="DK9" s="51" t="str">
        <f t="array" aca="1" ref="DK9" ca="1">IFERROR(INDEX(Leccion[selectorLeccion],SMALL(IF(DK$1=Leccion[SubSección],MATCH(ROW(Leccion[SubSección]),ROW(Leccion[SubSección]))),ROW(DJ8))),"")</f>
        <v/>
      </c>
      <c r="DL9" s="51" t="str">
        <f t="array" aca="1" ref="DL9" ca="1">IFERROR(INDEX(Leccion[selectorLeccion],SMALL(IF(DL$1=Leccion[SubSección],MATCH(ROW(Leccion[SubSección]),ROW(Leccion[SubSección]))),ROW(DK8))),"")</f>
        <v/>
      </c>
      <c r="DM9" s="51" t="str">
        <f t="array" aca="1" ref="DM9" ca="1">IFERROR(INDEX(Leccion[selectorLeccion],SMALL(IF(DM$1=Leccion[SubSección],MATCH(ROW(Leccion[SubSección]),ROW(Leccion[SubSección]))),ROW(DL8))),"")</f>
        <v/>
      </c>
      <c r="DN9" s="51" t="str">
        <f t="array" aca="1" ref="DN9" ca="1">IFERROR(INDEX(Leccion[selectorLeccion],SMALL(IF(DN$1=Leccion[SubSección],MATCH(ROW(Leccion[SubSección]),ROW(Leccion[SubSección]))),ROW(DM8))),"")</f>
        <v/>
      </c>
      <c r="DO9" s="51" t="str">
        <f t="array" aca="1" ref="DO9" ca="1">IFERROR(INDEX(Leccion[selectorLeccion],SMALL(IF(DO$1=Leccion[SubSección],MATCH(ROW(Leccion[SubSección]),ROW(Leccion[SubSección]))),ROW(DN8))),"")</f>
        <v/>
      </c>
      <c r="DP9" s="51" t="str">
        <f t="array" aca="1" ref="DP9" ca="1">IFERROR(INDEX(Leccion[selectorLeccion],SMALL(IF(DP$1=Leccion[SubSección],MATCH(ROW(Leccion[SubSección]),ROW(Leccion[SubSección]))),ROW(DO8))),"")</f>
        <v/>
      </c>
      <c r="DQ9" s="51" t="str">
        <f t="array" aca="1" ref="DQ9" ca="1">IFERROR(INDEX(Leccion[selectorLeccion],SMALL(IF(DQ$1=Leccion[SubSección],MATCH(ROW(Leccion[SubSección]),ROW(Leccion[SubSección]))),ROW(DP8))),"")</f>
        <v/>
      </c>
      <c r="DR9" s="51" t="str">
        <f t="array" aca="1" ref="DR9" ca="1">IFERROR(INDEX(Leccion[selectorLeccion],SMALL(IF(DR$1=Leccion[SubSección],MATCH(ROW(Leccion[SubSección]),ROW(Leccion[SubSección]))),ROW(DQ8))),"")</f>
        <v/>
      </c>
      <c r="DS9" s="51" t="str">
        <f t="array" aca="1" ref="DS9" ca="1">IFERROR(INDEX(Leccion[selectorLeccion],SMALL(IF(DS$1=Leccion[SubSección],MATCH(ROW(Leccion[SubSección]),ROW(Leccion[SubSección]))),ROW(DR8))),"")</f>
        <v/>
      </c>
      <c r="DT9" s="51" t="str">
        <f t="array" aca="1" ref="DT9" ca="1">IFERROR(INDEX(Leccion[selectorLeccion],SMALL(IF(DT$1=Leccion[SubSección],MATCH(ROW(Leccion[SubSección]),ROW(Leccion[SubSección]))),ROW(DS8))),"")</f>
        <v/>
      </c>
      <c r="DU9" s="51" t="str">
        <f t="array" aca="1" ref="DU9" ca="1">IFERROR(INDEX(Leccion[selectorLeccion],SMALL(IF(DU$1=Leccion[SubSección],MATCH(ROW(Leccion[SubSección]),ROW(Leccion[SubSección]))),ROW(DT8))),"")</f>
        <v/>
      </c>
      <c r="DV9" s="51" t="str">
        <f t="array" aca="1" ref="DV9" ca="1">IFERROR(INDEX(Leccion[selectorLeccion],SMALL(IF(DV$1=Leccion[SubSección],MATCH(ROW(Leccion[SubSección]),ROW(Leccion[SubSección]))),ROW(DU8))),"")</f>
        <v/>
      </c>
      <c r="DW9" s="51" t="str">
        <f t="array" aca="1" ref="DW9" ca="1">IFERROR(INDEX(Leccion[selectorLeccion],SMALL(IF(DW$1=Leccion[SubSección],MATCH(ROW(Leccion[SubSección]),ROW(Leccion[SubSección]))),ROW(DV8))),"")</f>
        <v/>
      </c>
      <c r="DX9" s="51" t="str">
        <f t="array" aca="1" ref="DX9" ca="1">IFERROR(INDEX(Leccion[selectorLeccion],SMALL(IF(DX$1=Leccion[SubSección],MATCH(ROW(Leccion[SubSección]),ROW(Leccion[SubSección]))),ROW(DW8))),"")</f>
        <v/>
      </c>
      <c r="DY9" s="51" t="str">
        <f t="array" aca="1" ref="DY9" ca="1">IFERROR(INDEX(Leccion[selectorLeccion],SMALL(IF(DY$1=Leccion[SubSección],MATCH(ROW(Leccion[SubSección]),ROW(Leccion[SubSección]))),ROW(DX8))),"")</f>
        <v/>
      </c>
      <c r="DZ9" s="51" t="str">
        <f t="array" aca="1" ref="DZ9" ca="1">IFERROR(INDEX(Leccion[selectorLeccion],SMALL(IF(DZ$1=Leccion[SubSección],MATCH(ROW(Leccion[SubSección]),ROW(Leccion[SubSección]))),ROW(DY8))),"")</f>
        <v/>
      </c>
      <c r="EA9" s="51" t="str">
        <f t="array" aca="1" ref="EA9" ca="1">IFERROR(INDEX(Leccion[selectorLeccion],SMALL(IF(EA$1=Leccion[SubSección],MATCH(ROW(Leccion[SubSección]),ROW(Leccion[SubSección]))),ROW(DZ8))),"")</f>
        <v/>
      </c>
      <c r="EB9" s="51" t="str">
        <f t="array" aca="1" ref="EB9" ca="1">IFERROR(INDEX(Leccion[selectorLeccion],SMALL(IF(EB$1=Leccion[SubSección],MATCH(ROW(Leccion[SubSección]),ROW(Leccion[SubSección]))),ROW(EA8))),"")</f>
        <v/>
      </c>
      <c r="EC9" s="51" t="str">
        <f t="array" aca="1" ref="EC9" ca="1">IFERROR(INDEX(Leccion[selectorLeccion],SMALL(IF(EC$1=Leccion[SubSección],MATCH(ROW(Leccion[SubSección]),ROW(Leccion[SubSección]))),ROW(EB8))),"")</f>
        <v/>
      </c>
      <c r="ED9" s="51" t="str">
        <f t="array" aca="1" ref="ED9" ca="1">IFERROR(INDEX(Leccion[selectorLeccion],SMALL(IF(ED$1=Leccion[SubSección],MATCH(ROW(Leccion[SubSección]),ROW(Leccion[SubSección]))),ROW(EC8))),"")</f>
        <v/>
      </c>
      <c r="EE9" s="51" t="str">
        <f t="array" aca="1" ref="EE9" ca="1">IFERROR(INDEX(Leccion[selectorLeccion],SMALL(IF(EE$1=Leccion[SubSección],MATCH(ROW(Leccion[SubSección]),ROW(Leccion[SubSección]))),ROW(ED8))),"")</f>
        <v/>
      </c>
      <c r="EF9" s="51" t="str">
        <f t="array" aca="1" ref="EF9" ca="1">IFERROR(INDEX(Leccion[selectorLeccion],SMALL(IF(EF$1=Leccion[SubSección],MATCH(ROW(Leccion[SubSección]),ROW(Leccion[SubSección]))),ROW(EE8))),"")</f>
        <v/>
      </c>
      <c r="EG9" s="51" t="str">
        <f t="array" aca="1" ref="EG9" ca="1">IFERROR(INDEX(Leccion[selectorLeccion],SMALL(IF(EG$1=Leccion[SubSección],MATCH(ROW(Leccion[SubSección]),ROW(Leccion[SubSección]))),ROW(EF8))),"")</f>
        <v/>
      </c>
      <c r="EH9" s="51" t="str">
        <f t="array" aca="1" ref="EH9" ca="1">IFERROR(INDEX(Leccion[selectorLeccion],SMALL(IF(EH$1=Leccion[SubSección],MATCH(ROW(Leccion[SubSección]),ROW(Leccion[SubSección]))),ROW(EG8))),"")</f>
        <v/>
      </c>
      <c r="EI9" s="51" t="str">
        <f t="array" aca="1" ref="EI9" ca="1">IFERROR(INDEX(Leccion[selectorLeccion],SMALL(IF(EI$1=Leccion[SubSección],MATCH(ROW(Leccion[SubSección]),ROW(Leccion[SubSección]))),ROW(EH8))),"")</f>
        <v/>
      </c>
      <c r="EJ9" s="51" t="str">
        <f t="array" aca="1" ref="EJ9" ca="1">IFERROR(INDEX(Leccion[selectorLeccion],SMALL(IF(EJ$1=Leccion[SubSección],MATCH(ROW(Leccion[SubSección]),ROW(Leccion[SubSección]))),ROW(EI8))),"")</f>
        <v/>
      </c>
      <c r="EK9" s="51" t="str">
        <f t="array" aca="1" ref="EK9" ca="1">IFERROR(INDEX(Leccion[selectorLeccion],SMALL(IF(EK$1=Leccion[SubSección],MATCH(ROW(Leccion[SubSección]),ROW(Leccion[SubSección]))),ROW(EJ8))),"")</f>
        <v/>
      </c>
      <c r="EL9" s="51" t="str">
        <f t="array" aca="1" ref="EL9" ca="1">IFERROR(INDEX(Leccion[selectorLeccion],SMALL(IF(EL$1=Leccion[SubSección],MATCH(ROW(Leccion[SubSección]),ROW(Leccion[SubSección]))),ROW(EK8))),"")</f>
        <v/>
      </c>
      <c r="EM9" s="51" t="str">
        <f t="array" aca="1" ref="EM9" ca="1">IFERROR(INDEX(Leccion[selectorLeccion],SMALL(IF(EM$1=Leccion[SubSección],MATCH(ROW(Leccion[SubSección]),ROW(Leccion[SubSección]))),ROW(EL8))),"")</f>
        <v/>
      </c>
      <c r="EN9" s="51" t="str">
        <f t="array" aca="1" ref="EN9" ca="1">IFERROR(INDEX(Leccion[selectorLeccion],SMALL(IF(EN$1=Leccion[SubSección],MATCH(ROW(Leccion[SubSección]),ROW(Leccion[SubSección]))),ROW(EM8))),"")</f>
        <v/>
      </c>
      <c r="EO9" s="51" t="str">
        <f t="array" aca="1" ref="EO9" ca="1">IFERROR(INDEX(Leccion[selectorLeccion],SMALL(IF(EO$1=Leccion[SubSección],MATCH(ROW(Leccion[SubSección]),ROW(Leccion[SubSección]))),ROW(EN8))),"")</f>
        <v/>
      </c>
      <c r="EP9" s="51" t="str">
        <f t="array" aca="1" ref="EP9" ca="1">IFERROR(INDEX(Leccion[selectorLeccion],SMALL(IF(EP$1=Leccion[SubSección],MATCH(ROW(Leccion[SubSección]),ROW(Leccion[SubSección]))),ROW(EO8))),"")</f>
        <v/>
      </c>
      <c r="EQ9" s="51" t="str">
        <f t="array" aca="1" ref="EQ9" ca="1">IFERROR(INDEX(Leccion[selectorLeccion],SMALL(IF(EQ$1=Leccion[SubSección],MATCH(ROW(Leccion[SubSección]),ROW(Leccion[SubSección]))),ROW(EP8))),"")</f>
        <v/>
      </c>
      <c r="ER9" s="51" t="str">
        <f t="array" aca="1" ref="ER9" ca="1">IFERROR(INDEX(Leccion[selectorLeccion],SMALL(IF(ER$1=Leccion[SubSección],MATCH(ROW(Leccion[SubSección]),ROW(Leccion[SubSección]))),ROW(EQ8))),"")</f>
        <v/>
      </c>
      <c r="ES9" s="51" t="str">
        <f t="array" aca="1" ref="ES9" ca="1">IFERROR(INDEX(Leccion[selectorLeccion],SMALL(IF(ES$1=Leccion[SubSección],MATCH(ROW(Leccion[SubSección]),ROW(Leccion[SubSección]))),ROW(ER8))),"")</f>
        <v/>
      </c>
      <c r="ET9" s="51" t="str">
        <f t="array" aca="1" ref="ET9" ca="1">IFERROR(INDEX(Leccion[selectorLeccion],SMALL(IF(ET$1=Leccion[SubSección],MATCH(ROW(Leccion[SubSección]),ROW(Leccion[SubSección]))),ROW(ES8))),"")</f>
        <v/>
      </c>
      <c r="EU9" s="51" t="str">
        <f t="array" aca="1" ref="EU9" ca="1">IFERROR(INDEX(Leccion[selectorLeccion],SMALL(IF(EU$1=Leccion[SubSección],MATCH(ROW(Leccion[SubSección]),ROW(Leccion[SubSección]))),ROW(ET8))),"")</f>
        <v/>
      </c>
      <c r="EV9" s="51" t="str">
        <f t="array" aca="1" ref="EV9" ca="1">IFERROR(INDEX(Leccion[selectorLeccion],SMALL(IF(EV$1=Leccion[SubSección],MATCH(ROW(Leccion[SubSección]),ROW(Leccion[SubSección]))),ROW(EU8))),"")</f>
        <v/>
      </c>
      <c r="EW9" s="51" t="str">
        <f t="array" aca="1" ref="EW9" ca="1">IFERROR(INDEX(Leccion[selectorLeccion],SMALL(IF(EW$1=Leccion[SubSección],MATCH(ROW(Leccion[SubSección]),ROW(Leccion[SubSección]))),ROW(EV8))),"")</f>
        <v/>
      </c>
      <c r="EX9" s="51" t="str">
        <f t="array" aca="1" ref="EX9" ca="1">IFERROR(INDEX(Leccion[selectorLeccion],SMALL(IF(EX$1=Leccion[SubSección],MATCH(ROW(Leccion[SubSección]),ROW(Leccion[SubSección]))),ROW(EW8))),"")</f>
        <v/>
      </c>
      <c r="EY9" s="51" t="str">
        <f t="array" aca="1" ref="EY9" ca="1">IFERROR(INDEX(Leccion[selectorLeccion],SMALL(IF(EY$1=Leccion[SubSección],MATCH(ROW(Leccion[SubSección]),ROW(Leccion[SubSección]))),ROW(EX8))),"")</f>
        <v/>
      </c>
      <c r="EZ9" s="51" t="str">
        <f t="array" aca="1" ref="EZ9" ca="1">IFERROR(INDEX(Leccion[selectorLeccion],SMALL(IF(EZ$1=Leccion[SubSección],MATCH(ROW(Leccion[SubSección]),ROW(Leccion[SubSección]))),ROW(EY8))),"")</f>
        <v/>
      </c>
    </row>
    <row r="10" spans="2:156" x14ac:dyDescent="0.3">
      <c r="B10" s="51" t="str">
        <f t="array" aca="1" ref="B10" ca="1">IFERROR(INDEX(Leccion[selectorLeccion],SMALL(IF(B$1=Leccion[SubSección],MATCH(ROW(Leccion[SubSección]),ROW(Leccion[SubSección]))),ROW(A9))),"")</f>
        <v/>
      </c>
      <c r="C10" s="51" t="str">
        <f t="array" aca="1" ref="C10" ca="1">IFERROR(INDEX(Leccion[selectorLeccion],SMALL(IF(C$1=Leccion[SubSección],MATCH(ROW(Leccion[SubSección]),ROW(Leccion[SubSección]))),ROW(B9))),"")</f>
        <v/>
      </c>
      <c r="D10" s="51" t="str">
        <f t="array" aca="1" ref="D10" ca="1">IFERROR(INDEX(Leccion[selectorLeccion],SMALL(IF(D$1=Leccion[SubSección],MATCH(ROW(Leccion[SubSección]),ROW(Leccion[SubSección]))),ROW(C9))),"")</f>
        <v/>
      </c>
      <c r="E10" s="51" t="str">
        <f t="array" aca="1" ref="E10" ca="1">IFERROR(INDEX(Leccion[selectorLeccion],SMALL(IF(E$1=Leccion[SubSección],MATCH(ROW(Leccion[SubSección]),ROW(Leccion[SubSección]))),ROW(D9))),"")</f>
        <v/>
      </c>
      <c r="F10" s="51" t="str">
        <f t="array" aca="1" ref="F10" ca="1">IFERROR(INDEX(Leccion[selectorLeccion],SMALL(IF(F$1=Leccion[SubSección],MATCH(ROW(Leccion[SubSección]),ROW(Leccion[SubSección]))),ROW(E9))),"")</f>
        <v/>
      </c>
      <c r="G10" s="51" t="str">
        <f t="array" aca="1" ref="G10" ca="1">IFERROR(INDEX(Leccion[selectorLeccion],SMALL(IF(G$1=Leccion[SubSección],MATCH(ROW(Leccion[SubSección]),ROW(Leccion[SubSección]))),ROW(F9))),"")</f>
        <v/>
      </c>
      <c r="H10" s="51" t="str">
        <f t="array" aca="1" ref="H10" ca="1">IFERROR(INDEX(Leccion[selectorLeccion],SMALL(IF(H$1=Leccion[SubSección],MATCH(ROW(Leccion[SubSección]),ROW(Leccion[SubSección]))),ROW(G9))),"")</f>
        <v/>
      </c>
      <c r="I10" s="51" t="str">
        <f t="array" aca="1" ref="I10" ca="1">IFERROR(INDEX(Leccion[selectorLeccion],SMALL(IF(I$1=Leccion[SubSección],MATCH(ROW(Leccion[SubSección]),ROW(Leccion[SubSección]))),ROW(H9))),"")</f>
        <v/>
      </c>
      <c r="J10" s="51" t="str">
        <f t="array" aca="1" ref="J10" ca="1">IFERROR(INDEX(Leccion[selectorLeccion],SMALL(IF(J$1=Leccion[SubSección],MATCH(ROW(Leccion[SubSección]),ROW(Leccion[SubSección]))),ROW(I9))),"")</f>
        <v/>
      </c>
      <c r="K10" s="51" t="str">
        <f t="array" aca="1" ref="K10" ca="1">IFERROR(INDEX(Leccion[selectorLeccion],SMALL(IF(K$1=Leccion[SubSección],MATCH(ROW(Leccion[SubSección]),ROW(Leccion[SubSección]))),ROW(J9))),"")</f>
        <v/>
      </c>
      <c r="L10" s="51" t="str">
        <f t="array" aca="1" ref="L10" ca="1">IFERROR(INDEX(Leccion[selectorLeccion],SMALL(IF(L$1=Leccion[SubSección],MATCH(ROW(Leccion[SubSección]),ROW(Leccion[SubSección]))),ROW(K9))),"")</f>
        <v/>
      </c>
      <c r="M10" s="51" t="str">
        <f t="array" aca="1" ref="M10" ca="1">IFERROR(INDEX(Leccion[selectorLeccion],SMALL(IF(M$1=Leccion[SubSección],MATCH(ROW(Leccion[SubSección]),ROW(Leccion[SubSección]))),ROW(L9))),"")</f>
        <v/>
      </c>
      <c r="N10" s="51" t="str">
        <f t="array" aca="1" ref="N10" ca="1">IFERROR(INDEX(Leccion[selectorLeccion],SMALL(IF(N$1=Leccion[SubSección],MATCH(ROW(Leccion[SubSección]),ROW(Leccion[SubSección]))),ROW(M9))),"")</f>
        <v/>
      </c>
      <c r="O10" s="51" t="str">
        <f t="array" aca="1" ref="O10" ca="1">IFERROR(INDEX(Leccion[selectorLeccion],SMALL(IF(O$1=Leccion[SubSección],MATCH(ROW(Leccion[SubSección]),ROW(Leccion[SubSección]))),ROW(N9))),"")</f>
        <v/>
      </c>
      <c r="P10" s="51" t="str">
        <f t="array" aca="1" ref="P10" ca="1">IFERROR(INDEX(Leccion[selectorLeccion],SMALL(IF(P$1=Leccion[SubSección],MATCH(ROW(Leccion[SubSección]),ROW(Leccion[SubSección]))),ROW(O9))),"")</f>
        <v/>
      </c>
      <c r="Q10" s="51" t="str">
        <f t="array" aca="1" ref="Q10" ca="1">IFERROR(INDEX(Leccion[selectorLeccion],SMALL(IF(Q$1=Leccion[SubSección],MATCH(ROW(Leccion[SubSección]),ROW(Leccion[SubSección]))),ROW(P9))),"")</f>
        <v/>
      </c>
      <c r="R10" s="51" t="str">
        <f t="array" aca="1" ref="R10" ca="1">IFERROR(INDEX(Leccion[selectorLeccion],SMALL(IF(R$1=Leccion[SubSección],MATCH(ROW(Leccion[SubSección]),ROW(Leccion[SubSección]))),ROW(Q9))),"")</f>
        <v/>
      </c>
      <c r="S10" s="51" t="str">
        <f t="array" aca="1" ref="S10" ca="1">IFERROR(INDEX(Leccion[selectorLeccion],SMALL(IF(S$1=Leccion[SubSección],MATCH(ROW(Leccion[SubSección]),ROW(Leccion[SubSección]))),ROW(R9))),"")</f>
        <v/>
      </c>
      <c r="T10" s="51" t="str">
        <f t="array" aca="1" ref="T10" ca="1">IFERROR(INDEX(Leccion[selectorLeccion],SMALL(IF(T$1=Leccion[SubSección],MATCH(ROW(Leccion[SubSección]),ROW(Leccion[SubSección]))),ROW(S9))),"")</f>
        <v/>
      </c>
      <c r="U10" s="51" t="str">
        <f t="array" aca="1" ref="U10" ca="1">IFERROR(INDEX(Leccion[selectorLeccion],SMALL(IF(U$1=Leccion[SubSección],MATCH(ROW(Leccion[SubSección]),ROW(Leccion[SubSección]))),ROW(T9))),"")</f>
        <v/>
      </c>
      <c r="V10" s="51" t="str">
        <f t="array" aca="1" ref="V10" ca="1">IFERROR(INDEX(Leccion[selectorLeccion],SMALL(IF(V$1=Leccion[SubSección],MATCH(ROW(Leccion[SubSección]),ROW(Leccion[SubSección]))),ROW(U9))),"")</f>
        <v/>
      </c>
      <c r="W10" s="51" t="str">
        <f t="array" aca="1" ref="W10" ca="1">IFERROR(INDEX(Leccion[selectorLeccion],SMALL(IF(W$1=Leccion[SubSección],MATCH(ROW(Leccion[SubSección]),ROW(Leccion[SubSección]))),ROW(V9))),"")</f>
        <v/>
      </c>
      <c r="X10" s="51" t="str">
        <f t="array" aca="1" ref="X10" ca="1">IFERROR(INDEX(Leccion[selectorLeccion],SMALL(IF(X$1=Leccion[SubSección],MATCH(ROW(Leccion[SubSección]),ROW(Leccion[SubSección]))),ROW(W9))),"")</f>
        <v/>
      </c>
      <c r="Y10" s="51" t="str">
        <f t="array" aca="1" ref="Y10" ca="1">IFERROR(INDEX(Leccion[selectorLeccion],SMALL(IF(Y$1=Leccion[SubSección],MATCH(ROW(Leccion[SubSección]),ROW(Leccion[SubSección]))),ROW(X9))),"")</f>
        <v/>
      </c>
      <c r="Z10" s="51" t="str">
        <f t="array" aca="1" ref="Z10" ca="1">IFERROR(INDEX(Leccion[selectorLeccion],SMALL(IF(Z$1=Leccion[SubSección],MATCH(ROW(Leccion[SubSección]),ROW(Leccion[SubSección]))),ROW(Y9))),"")</f>
        <v/>
      </c>
      <c r="AA10" s="51" t="str">
        <f t="array" aca="1" ref="AA10" ca="1">IFERROR(INDEX(Leccion[selectorLeccion],SMALL(IF(AA$1=Leccion[SubSección],MATCH(ROW(Leccion[SubSección]),ROW(Leccion[SubSección]))),ROW(Z9))),"")</f>
        <v/>
      </c>
      <c r="AB10" s="51" t="str">
        <f t="array" aca="1" ref="AB10" ca="1">IFERROR(INDEX(Leccion[selectorLeccion],SMALL(IF(AB$1=Leccion[SubSección],MATCH(ROW(Leccion[SubSección]),ROW(Leccion[SubSección]))),ROW(AA9))),"")</f>
        <v/>
      </c>
      <c r="AC10" s="51" t="str">
        <f t="array" aca="1" ref="AC10" ca="1">IFERROR(INDEX(Leccion[selectorLeccion],SMALL(IF(AC$1=Leccion[SubSección],MATCH(ROW(Leccion[SubSección]),ROW(Leccion[SubSección]))),ROW(AB9))),"")</f>
        <v/>
      </c>
      <c r="AD10" s="51" t="str">
        <f t="array" aca="1" ref="AD10" ca="1">IFERROR(INDEX(Leccion[selectorLeccion],SMALL(IF(AD$1=Leccion[SubSección],MATCH(ROW(Leccion[SubSección]),ROW(Leccion[SubSección]))),ROW(AC9))),"")</f>
        <v/>
      </c>
      <c r="AE10" s="51" t="str">
        <f t="array" aca="1" ref="AE10" ca="1">IFERROR(INDEX(Leccion[selectorLeccion],SMALL(IF(AE$1=Leccion[SubSección],MATCH(ROW(Leccion[SubSección]),ROW(Leccion[SubSección]))),ROW(AD9))),"")</f>
        <v/>
      </c>
      <c r="AF10" s="51" t="str">
        <f t="array" aca="1" ref="AF10" ca="1">IFERROR(INDEX(Leccion[selectorLeccion],SMALL(IF(AF$1=Leccion[SubSección],MATCH(ROW(Leccion[SubSección]),ROW(Leccion[SubSección]))),ROW(AE9))),"")</f>
        <v/>
      </c>
      <c r="AG10" s="51" t="str">
        <f t="array" aca="1" ref="AG10" ca="1">IFERROR(INDEX(Leccion[selectorLeccion],SMALL(IF(AG$1=Leccion[SubSección],MATCH(ROW(Leccion[SubSección]),ROW(Leccion[SubSección]))),ROW(AF9))),"")</f>
        <v/>
      </c>
      <c r="AH10" s="51" t="str">
        <f t="array" aca="1" ref="AH10" ca="1">IFERROR(INDEX(Leccion[selectorLeccion],SMALL(IF(AH$1=Leccion[SubSección],MATCH(ROW(Leccion[SubSección]),ROW(Leccion[SubSección]))),ROW(AG9))),"")</f>
        <v/>
      </c>
      <c r="AI10" s="51" t="str">
        <f t="array" aca="1" ref="AI10" ca="1">IFERROR(INDEX(Leccion[selectorLeccion],SMALL(IF(AI$1=Leccion[SubSección],MATCH(ROW(Leccion[SubSección]),ROW(Leccion[SubSección]))),ROW(AH9))),"")</f>
        <v/>
      </c>
      <c r="AJ10" s="51" t="str">
        <f t="array" aca="1" ref="AJ10" ca="1">IFERROR(INDEX(Leccion[selectorLeccion],SMALL(IF(AJ$1=Leccion[SubSección],MATCH(ROW(Leccion[SubSección]),ROW(Leccion[SubSección]))),ROW(AI9))),"")</f>
        <v/>
      </c>
      <c r="AK10" s="51" t="str">
        <f t="array" aca="1" ref="AK10" ca="1">IFERROR(INDEX(Leccion[selectorLeccion],SMALL(IF(AK$1=Leccion[SubSección],MATCH(ROW(Leccion[SubSección]),ROW(Leccion[SubSección]))),ROW(AJ9))),"")</f>
        <v/>
      </c>
      <c r="AL10" s="51" t="str">
        <f t="array" aca="1" ref="AL10" ca="1">IFERROR(INDEX(Leccion[selectorLeccion],SMALL(IF(AL$1=Leccion[SubSección],MATCH(ROW(Leccion[SubSección]),ROW(Leccion[SubSección]))),ROW(AK9))),"")</f>
        <v/>
      </c>
      <c r="AM10" s="51" t="str">
        <f t="array" aca="1" ref="AM10" ca="1">IFERROR(INDEX(Leccion[selectorLeccion],SMALL(IF(AM$1=Leccion[SubSección],MATCH(ROW(Leccion[SubSección]),ROW(Leccion[SubSección]))),ROW(AL9))),"")</f>
        <v/>
      </c>
      <c r="AN10" s="51" t="str">
        <f t="array" aca="1" ref="AN10" ca="1">IFERROR(INDEX(Leccion[selectorLeccion],SMALL(IF(AN$1=Leccion[SubSección],MATCH(ROW(Leccion[SubSección]),ROW(Leccion[SubSección]))),ROW(AM9))),"")</f>
        <v/>
      </c>
      <c r="AO10" s="51" t="str">
        <f t="array" aca="1" ref="AO10" ca="1">IFERROR(INDEX(Leccion[selectorLeccion],SMALL(IF(AO$1=Leccion[SubSección],MATCH(ROW(Leccion[SubSección]),ROW(Leccion[SubSección]))),ROW(AN9))),"")</f>
        <v/>
      </c>
      <c r="AP10" s="51" t="str">
        <f t="array" aca="1" ref="AP10" ca="1">IFERROR(INDEX(Leccion[selectorLeccion],SMALL(IF(AP$1=Leccion[SubSección],MATCH(ROW(Leccion[SubSección]),ROW(Leccion[SubSección]))),ROW(AO9))),"")</f>
        <v/>
      </c>
      <c r="AQ10" s="51" t="str">
        <f t="array" aca="1" ref="AQ10" ca="1">IFERROR(INDEX(Leccion[selectorLeccion],SMALL(IF(AQ$1=Leccion[SubSección],MATCH(ROW(Leccion[SubSección]),ROW(Leccion[SubSección]))),ROW(AP9))),"")</f>
        <v/>
      </c>
      <c r="AR10" s="51" t="str">
        <f t="array" aca="1" ref="AR10" ca="1">IFERROR(INDEX(Leccion[selectorLeccion],SMALL(IF(AR$1=Leccion[SubSección],MATCH(ROW(Leccion[SubSección]),ROW(Leccion[SubSección]))),ROW(AQ9))),"")</f>
        <v/>
      </c>
      <c r="AS10" s="51" t="str">
        <f t="array" aca="1" ref="AS10" ca="1">IFERROR(INDEX(Leccion[selectorLeccion],SMALL(IF(AS$1=Leccion[SubSección],MATCH(ROW(Leccion[SubSección]),ROW(Leccion[SubSección]))),ROW(AR9))),"")</f>
        <v/>
      </c>
      <c r="AT10" s="51" t="str">
        <f t="array" aca="1" ref="AT10" ca="1">IFERROR(INDEX(Leccion[selectorLeccion],SMALL(IF(AT$1=Leccion[SubSección],MATCH(ROW(Leccion[SubSección]),ROW(Leccion[SubSección]))),ROW(AS9))),"")</f>
        <v/>
      </c>
      <c r="AU10" s="51" t="str">
        <f t="array" aca="1" ref="AU10" ca="1">IFERROR(INDEX(Leccion[selectorLeccion],SMALL(IF(AU$1=Leccion[SubSección],MATCH(ROW(Leccion[SubSección]),ROW(Leccion[SubSección]))),ROW(AT9))),"")</f>
        <v/>
      </c>
      <c r="AV10" s="51" t="str">
        <f t="array" aca="1" ref="AV10" ca="1">IFERROR(INDEX(Leccion[selectorLeccion],SMALL(IF(AV$1=Leccion[SubSección],MATCH(ROW(Leccion[SubSección]),ROW(Leccion[SubSección]))),ROW(AU9))),"")</f>
        <v/>
      </c>
      <c r="AW10" s="51" t="str">
        <f t="array" aca="1" ref="AW10" ca="1">IFERROR(INDEX(Leccion[selectorLeccion],SMALL(IF(AW$1=Leccion[SubSección],MATCH(ROW(Leccion[SubSección]),ROW(Leccion[SubSección]))),ROW(AV9))),"")</f>
        <v/>
      </c>
      <c r="AX10" s="51" t="str">
        <f t="array" aca="1" ref="AX10" ca="1">IFERROR(INDEX(Leccion[selectorLeccion],SMALL(IF(AX$1=Leccion[SubSección],MATCH(ROW(Leccion[SubSección]),ROW(Leccion[SubSección]))),ROW(AW9))),"")</f>
        <v/>
      </c>
      <c r="AY10" s="51" t="str">
        <f t="array" aca="1" ref="AY10" ca="1">IFERROR(INDEX(Leccion[selectorLeccion],SMALL(IF(AY$1=Leccion[SubSección],MATCH(ROW(Leccion[SubSección]),ROW(Leccion[SubSección]))),ROW(AX9))),"")</f>
        <v/>
      </c>
      <c r="AZ10" s="51" t="str">
        <f t="array" aca="1" ref="AZ10" ca="1">IFERROR(INDEX(Leccion[selectorLeccion],SMALL(IF(AZ$1=Leccion[SubSección],MATCH(ROW(Leccion[SubSección]),ROW(Leccion[SubSección]))),ROW(AY9))),"")</f>
        <v/>
      </c>
      <c r="BA10" s="51" t="str">
        <f t="array" aca="1" ref="BA10" ca="1">IFERROR(INDEX(Leccion[selectorLeccion],SMALL(IF(BA$1=Leccion[SubSección],MATCH(ROW(Leccion[SubSección]),ROW(Leccion[SubSección]))),ROW(AZ9))),"")</f>
        <v/>
      </c>
      <c r="BB10" s="51" t="str">
        <f t="array" aca="1" ref="BB10" ca="1">IFERROR(INDEX(Leccion[selectorLeccion],SMALL(IF(BB$1=Leccion[SubSección],MATCH(ROW(Leccion[SubSección]),ROW(Leccion[SubSección]))),ROW(BA9))),"")</f>
        <v/>
      </c>
      <c r="BC10" s="51" t="str">
        <f t="array" aca="1" ref="BC10" ca="1">IFERROR(INDEX(Leccion[selectorLeccion],SMALL(IF(BC$1=Leccion[SubSección],MATCH(ROW(Leccion[SubSección]),ROW(Leccion[SubSección]))),ROW(BB9))),"")</f>
        <v/>
      </c>
      <c r="BD10" s="51" t="str">
        <f t="array" aca="1" ref="BD10" ca="1">IFERROR(INDEX(Leccion[selectorLeccion],SMALL(IF(BD$1=Leccion[SubSección],MATCH(ROW(Leccion[SubSección]),ROW(Leccion[SubSección]))),ROW(BC9))),"")</f>
        <v/>
      </c>
      <c r="BE10" s="51" t="str">
        <f t="array" aca="1" ref="BE10" ca="1">IFERROR(INDEX(Leccion[selectorLeccion],SMALL(IF(BE$1=Leccion[SubSección],MATCH(ROW(Leccion[SubSección]),ROW(Leccion[SubSección]))),ROW(BD9))),"")</f>
        <v/>
      </c>
      <c r="BF10" s="51" t="str">
        <f t="array" aca="1" ref="BF10" ca="1">IFERROR(INDEX(Leccion[selectorLeccion],SMALL(IF(BF$1=Leccion[SubSección],MATCH(ROW(Leccion[SubSección]),ROW(Leccion[SubSección]))),ROW(BE9))),"")</f>
        <v/>
      </c>
      <c r="BG10" s="51" t="str">
        <f t="array" aca="1" ref="BG10" ca="1">IFERROR(INDEX(Leccion[selectorLeccion],SMALL(IF(BG$1=Leccion[SubSección],MATCH(ROW(Leccion[SubSección]),ROW(Leccion[SubSección]))),ROW(BF9))),"")</f>
        <v/>
      </c>
      <c r="BH10" s="51" t="str">
        <f t="array" aca="1" ref="BH10" ca="1">IFERROR(INDEX(Leccion[selectorLeccion],SMALL(IF(BH$1=Leccion[SubSección],MATCH(ROW(Leccion[SubSección]),ROW(Leccion[SubSección]))),ROW(BG9))),"")</f>
        <v/>
      </c>
      <c r="BI10" s="51" t="str">
        <f t="array" aca="1" ref="BI10" ca="1">IFERROR(INDEX(Leccion[selectorLeccion],SMALL(IF(BI$1=Leccion[SubSección],MATCH(ROW(Leccion[SubSección]),ROW(Leccion[SubSección]))),ROW(BH9))),"")</f>
        <v/>
      </c>
      <c r="BJ10" s="51" t="str">
        <f t="array" aca="1" ref="BJ10" ca="1">IFERROR(INDEX(Leccion[selectorLeccion],SMALL(IF(BJ$1=Leccion[SubSección],MATCH(ROW(Leccion[SubSección]),ROW(Leccion[SubSección]))),ROW(BI9))),"")</f>
        <v/>
      </c>
      <c r="BK10" s="51" t="str">
        <f t="array" aca="1" ref="BK10" ca="1">IFERROR(INDEX(Leccion[selectorLeccion],SMALL(IF(BK$1=Leccion[SubSección],MATCH(ROW(Leccion[SubSección]),ROW(Leccion[SubSección]))),ROW(BJ9))),"")</f>
        <v/>
      </c>
      <c r="BL10" s="51" t="str">
        <f t="array" aca="1" ref="BL10" ca="1">IFERROR(INDEX(Leccion[selectorLeccion],SMALL(IF(BL$1=Leccion[SubSección],MATCH(ROW(Leccion[SubSección]),ROW(Leccion[SubSección]))),ROW(BK9))),"")</f>
        <v/>
      </c>
      <c r="BM10" s="51" t="str">
        <f t="array" aca="1" ref="BM10" ca="1">IFERROR(INDEX(Leccion[selectorLeccion],SMALL(IF(BM$1=Leccion[SubSección],MATCH(ROW(Leccion[SubSección]),ROW(Leccion[SubSección]))),ROW(BL9))),"")</f>
        <v/>
      </c>
      <c r="BN10" s="51" t="str">
        <f t="array" aca="1" ref="BN10" ca="1">IFERROR(INDEX(Leccion[selectorLeccion],SMALL(IF(BN$1=Leccion[SubSección],MATCH(ROW(Leccion[SubSección]),ROW(Leccion[SubSección]))),ROW(BM9))),"")</f>
        <v/>
      </c>
      <c r="BO10" s="51" t="str">
        <f t="array" aca="1" ref="BO10" ca="1">IFERROR(INDEX(Leccion[selectorLeccion],SMALL(IF(BO$1=Leccion[SubSección],MATCH(ROW(Leccion[SubSección]),ROW(Leccion[SubSección]))),ROW(BN9))),"")</f>
        <v/>
      </c>
      <c r="BP10" s="51" t="str">
        <f t="array" aca="1" ref="BP10" ca="1">IFERROR(INDEX(Leccion[selectorLeccion],SMALL(IF(BP$1=Leccion[SubSección],MATCH(ROW(Leccion[SubSección]),ROW(Leccion[SubSección]))),ROW(BO9))),"")</f>
        <v/>
      </c>
      <c r="BQ10" s="51" t="str">
        <f t="array" aca="1" ref="BQ10" ca="1">IFERROR(INDEX(Leccion[selectorLeccion],SMALL(IF(BQ$1=Leccion[SubSección],MATCH(ROW(Leccion[SubSección]),ROW(Leccion[SubSección]))),ROW(BP9))),"")</f>
        <v/>
      </c>
      <c r="BR10" s="51" t="str">
        <f t="array" aca="1" ref="BR10" ca="1">IFERROR(INDEX(Leccion[selectorLeccion],SMALL(IF(BR$1=Leccion[SubSección],MATCH(ROW(Leccion[SubSección]),ROW(Leccion[SubSección]))),ROW(BQ9))),"")</f>
        <v/>
      </c>
      <c r="BS10" s="51" t="str">
        <f t="array" aca="1" ref="BS10" ca="1">IFERROR(INDEX(Leccion[selectorLeccion],SMALL(IF(BS$1=Leccion[SubSección],MATCH(ROW(Leccion[SubSección]),ROW(Leccion[SubSección]))),ROW(BR9))),"")</f>
        <v/>
      </c>
      <c r="BT10" s="51" t="str">
        <f t="array" aca="1" ref="BT10" ca="1">IFERROR(INDEX(Leccion[selectorLeccion],SMALL(IF(BT$1=Leccion[SubSección],MATCH(ROW(Leccion[SubSección]),ROW(Leccion[SubSección]))),ROW(BS9))),"")</f>
        <v/>
      </c>
      <c r="BU10" s="51" t="str">
        <f t="array" aca="1" ref="BU10" ca="1">IFERROR(INDEX(Leccion[selectorLeccion],SMALL(IF(BU$1=Leccion[SubSección],MATCH(ROW(Leccion[SubSección]),ROW(Leccion[SubSección]))),ROW(BT9))),"")</f>
        <v/>
      </c>
      <c r="BV10" s="51" t="str">
        <f t="array" aca="1" ref="BV10" ca="1">IFERROR(INDEX(Leccion[selectorLeccion],SMALL(IF(BV$1=Leccion[SubSección],MATCH(ROW(Leccion[SubSección]),ROW(Leccion[SubSección]))),ROW(BU9))),"")</f>
        <v/>
      </c>
      <c r="BW10" s="51" t="str">
        <f t="array" aca="1" ref="BW10" ca="1">IFERROR(INDEX(Leccion[selectorLeccion],SMALL(IF(BW$1=Leccion[SubSección],MATCH(ROW(Leccion[SubSección]),ROW(Leccion[SubSección]))),ROW(BV9))),"")</f>
        <v/>
      </c>
      <c r="BX10" s="51" t="str">
        <f t="array" aca="1" ref="BX10" ca="1">IFERROR(INDEX(Leccion[selectorLeccion],SMALL(IF(BX$1=Leccion[SubSección],MATCH(ROW(Leccion[SubSección]),ROW(Leccion[SubSección]))),ROW(BW9))),"")</f>
        <v/>
      </c>
      <c r="BY10" s="51" t="str">
        <f t="array" aca="1" ref="BY10" ca="1">IFERROR(INDEX(Leccion[selectorLeccion],SMALL(IF(BY$1=Leccion[SubSección],MATCH(ROW(Leccion[SubSección]),ROW(Leccion[SubSección]))),ROW(BX9))),"")</f>
        <v/>
      </c>
      <c r="BZ10" s="51" t="str">
        <f t="array" aca="1" ref="BZ10" ca="1">IFERROR(INDEX(Leccion[selectorLeccion],SMALL(IF(BZ$1=Leccion[SubSección],MATCH(ROW(Leccion[SubSección]),ROW(Leccion[SubSección]))),ROW(BY9))),"")</f>
        <v/>
      </c>
      <c r="CA10" s="51" t="str">
        <f t="array" aca="1" ref="CA10" ca="1">IFERROR(INDEX(Leccion[selectorLeccion],SMALL(IF(CA$1=Leccion[SubSección],MATCH(ROW(Leccion[SubSección]),ROW(Leccion[SubSección]))),ROW(BZ9))),"")</f>
        <v/>
      </c>
      <c r="CB10" s="51" t="str">
        <f t="array" aca="1" ref="CB10" ca="1">IFERROR(INDEX(Leccion[selectorLeccion],SMALL(IF(CB$1=Leccion[SubSección],MATCH(ROW(Leccion[SubSección]),ROW(Leccion[SubSección]))),ROW(CA9))),"")</f>
        <v/>
      </c>
      <c r="CC10" s="51" t="str">
        <f t="array" aca="1" ref="CC10" ca="1">IFERROR(INDEX(Leccion[selectorLeccion],SMALL(IF(CC$1=Leccion[SubSección],MATCH(ROW(Leccion[SubSección]),ROW(Leccion[SubSección]))),ROW(CB9))),"")</f>
        <v/>
      </c>
      <c r="CD10" s="51" t="str">
        <f t="array" aca="1" ref="CD10" ca="1">IFERROR(INDEX(Leccion[selectorLeccion],SMALL(IF(CD$1=Leccion[SubSección],MATCH(ROW(Leccion[SubSección]),ROW(Leccion[SubSección]))),ROW(CC9))),"")</f>
        <v/>
      </c>
      <c r="CE10" s="51" t="str">
        <f t="array" aca="1" ref="CE10" ca="1">IFERROR(INDEX(Leccion[selectorLeccion],SMALL(IF(CE$1=Leccion[SubSección],MATCH(ROW(Leccion[SubSección]),ROW(Leccion[SubSección]))),ROW(CD9))),"")</f>
        <v/>
      </c>
      <c r="CF10" s="51" t="str">
        <f t="array" aca="1" ref="CF10" ca="1">IFERROR(INDEX(Leccion[selectorLeccion],SMALL(IF(CF$1=Leccion[SubSección],MATCH(ROW(Leccion[SubSección]),ROW(Leccion[SubSección]))),ROW(CE9))),"")</f>
        <v/>
      </c>
      <c r="CG10" s="51" t="str">
        <f t="array" aca="1" ref="CG10" ca="1">IFERROR(INDEX(Leccion[selectorLeccion],SMALL(IF(CG$1=Leccion[SubSección],MATCH(ROW(Leccion[SubSección]),ROW(Leccion[SubSección]))),ROW(CF9))),"")</f>
        <v/>
      </c>
      <c r="CH10" s="51" t="str">
        <f t="array" aca="1" ref="CH10" ca="1">IFERROR(INDEX(Leccion[selectorLeccion],SMALL(IF(CH$1=Leccion[SubSección],MATCH(ROW(Leccion[SubSección]),ROW(Leccion[SubSección]))),ROW(CG9))),"")</f>
        <v/>
      </c>
      <c r="CI10" s="51" t="str">
        <f t="array" aca="1" ref="CI10" ca="1">IFERROR(INDEX(Leccion[selectorLeccion],SMALL(IF(CI$1=Leccion[SubSección],MATCH(ROW(Leccion[SubSección]),ROW(Leccion[SubSección]))),ROW(CH9))),"")</f>
        <v/>
      </c>
      <c r="CJ10" s="51" t="str">
        <f t="array" aca="1" ref="CJ10" ca="1">IFERROR(INDEX(Leccion[selectorLeccion],SMALL(IF(CJ$1=Leccion[SubSección],MATCH(ROW(Leccion[SubSección]),ROW(Leccion[SubSección]))),ROW(CI9))),"")</f>
        <v/>
      </c>
      <c r="CK10" s="51" t="str">
        <f t="array" aca="1" ref="CK10" ca="1">IFERROR(INDEX(Leccion[selectorLeccion],SMALL(IF(CK$1=Leccion[SubSección],MATCH(ROW(Leccion[SubSección]),ROW(Leccion[SubSección]))),ROW(CJ9))),"")</f>
        <v/>
      </c>
      <c r="CL10" s="51" t="str">
        <f t="array" aca="1" ref="CL10" ca="1">IFERROR(INDEX(Leccion[selectorLeccion],SMALL(IF(CL$1=Leccion[SubSección],MATCH(ROW(Leccion[SubSección]),ROW(Leccion[SubSección]))),ROW(CK9))),"")</f>
        <v/>
      </c>
      <c r="CM10" s="51" t="str">
        <f t="array" aca="1" ref="CM10" ca="1">IFERROR(INDEX(Leccion[selectorLeccion],SMALL(IF(CM$1=Leccion[SubSección],MATCH(ROW(Leccion[SubSección]),ROW(Leccion[SubSección]))),ROW(CL9))),"")</f>
        <v/>
      </c>
      <c r="CN10" s="51" t="str">
        <f t="array" aca="1" ref="CN10" ca="1">IFERROR(INDEX(Leccion[selectorLeccion],SMALL(IF(CN$1=Leccion[SubSección],MATCH(ROW(Leccion[SubSección]),ROW(Leccion[SubSección]))),ROW(CM9))),"")</f>
        <v/>
      </c>
      <c r="CO10" s="51" t="str">
        <f t="array" aca="1" ref="CO10" ca="1">IFERROR(INDEX(Leccion[selectorLeccion],SMALL(IF(CO$1=Leccion[SubSección],MATCH(ROW(Leccion[SubSección]),ROW(Leccion[SubSección]))),ROW(CN9))),"")</f>
        <v/>
      </c>
      <c r="CP10" s="51" t="str">
        <f t="array" aca="1" ref="CP10" ca="1">IFERROR(INDEX(Leccion[selectorLeccion],SMALL(IF(CP$1=Leccion[SubSección],MATCH(ROW(Leccion[SubSección]),ROW(Leccion[SubSección]))),ROW(CO9))),"")</f>
        <v/>
      </c>
      <c r="CQ10" s="51" t="str">
        <f t="array" aca="1" ref="CQ10" ca="1">IFERROR(INDEX(Leccion[selectorLeccion],SMALL(IF(CQ$1=Leccion[SubSección],MATCH(ROW(Leccion[SubSección]),ROW(Leccion[SubSección]))),ROW(CP9))),"")</f>
        <v/>
      </c>
      <c r="CR10" s="51" t="str">
        <f t="array" aca="1" ref="CR10" ca="1">IFERROR(INDEX(Leccion[selectorLeccion],SMALL(IF(CR$1=Leccion[SubSección],MATCH(ROW(Leccion[SubSección]),ROW(Leccion[SubSección]))),ROW(CQ9))),"")</f>
        <v/>
      </c>
      <c r="CS10" s="51" t="str">
        <f t="array" aca="1" ref="CS10" ca="1">IFERROR(INDEX(Leccion[selectorLeccion],SMALL(IF(CS$1=Leccion[SubSección],MATCH(ROW(Leccion[SubSección]),ROW(Leccion[SubSección]))),ROW(CR9))),"")</f>
        <v/>
      </c>
      <c r="CT10" s="51" t="str">
        <f t="array" aca="1" ref="CT10" ca="1">IFERROR(INDEX(Leccion[selectorLeccion],SMALL(IF(CT$1=Leccion[SubSección],MATCH(ROW(Leccion[SubSección]),ROW(Leccion[SubSección]))),ROW(CS9))),"")</f>
        <v/>
      </c>
      <c r="CU10" s="51" t="str">
        <f t="array" aca="1" ref="CU10" ca="1">IFERROR(INDEX(Leccion[selectorLeccion],SMALL(IF(CU$1=Leccion[SubSección],MATCH(ROW(Leccion[SubSección]),ROW(Leccion[SubSección]))),ROW(CT9))),"")</f>
        <v/>
      </c>
      <c r="CV10" s="51" t="str">
        <f t="array" aca="1" ref="CV10" ca="1">IFERROR(INDEX(Leccion[selectorLeccion],SMALL(IF(CV$1=Leccion[SubSección],MATCH(ROW(Leccion[SubSección]),ROW(Leccion[SubSección]))),ROW(CU9))),"")</f>
        <v/>
      </c>
      <c r="CW10" s="51" t="str">
        <f t="array" aca="1" ref="CW10" ca="1">IFERROR(INDEX(Leccion[selectorLeccion],SMALL(IF(CW$1=Leccion[SubSección],MATCH(ROW(Leccion[SubSección]),ROW(Leccion[SubSección]))),ROW(CV9))),"")</f>
        <v/>
      </c>
      <c r="CX10" s="51" t="str">
        <f t="array" aca="1" ref="CX10" ca="1">IFERROR(INDEX(Leccion[selectorLeccion],SMALL(IF(CX$1=Leccion[SubSección],MATCH(ROW(Leccion[SubSección]),ROW(Leccion[SubSección]))),ROW(CW9))),"")</f>
        <v/>
      </c>
      <c r="CY10" s="51" t="str">
        <f t="array" aca="1" ref="CY10" ca="1">IFERROR(INDEX(Leccion[selectorLeccion],SMALL(IF(CY$1=Leccion[SubSección],MATCH(ROW(Leccion[SubSección]),ROW(Leccion[SubSección]))),ROW(CX9))),"")</f>
        <v/>
      </c>
      <c r="CZ10" s="51" t="str">
        <f t="array" aca="1" ref="CZ10" ca="1">IFERROR(INDEX(Leccion[selectorLeccion],SMALL(IF(CZ$1=Leccion[SubSección],MATCH(ROW(Leccion[SubSección]),ROW(Leccion[SubSección]))),ROW(CY9))),"")</f>
        <v/>
      </c>
      <c r="DA10" s="51" t="str">
        <f t="array" aca="1" ref="DA10" ca="1">IFERROR(INDEX(Leccion[selectorLeccion],SMALL(IF(DA$1=Leccion[SubSección],MATCH(ROW(Leccion[SubSección]),ROW(Leccion[SubSección]))),ROW(CZ9))),"")</f>
        <v/>
      </c>
      <c r="DB10" s="51" t="str">
        <f t="array" aca="1" ref="DB10" ca="1">IFERROR(INDEX(Leccion[selectorLeccion],SMALL(IF(DB$1=Leccion[SubSección],MATCH(ROW(Leccion[SubSección]),ROW(Leccion[SubSección]))),ROW(DA9))),"")</f>
        <v/>
      </c>
      <c r="DC10" s="51" t="str">
        <f t="array" aca="1" ref="DC10" ca="1">IFERROR(INDEX(Leccion[selectorLeccion],SMALL(IF(DC$1=Leccion[SubSección],MATCH(ROW(Leccion[SubSección]),ROW(Leccion[SubSección]))),ROW(DB9))),"")</f>
        <v/>
      </c>
      <c r="DD10" s="51" t="str">
        <f t="array" aca="1" ref="DD10" ca="1">IFERROR(INDEX(Leccion[selectorLeccion],SMALL(IF(DD$1=Leccion[SubSección],MATCH(ROW(Leccion[SubSección]),ROW(Leccion[SubSección]))),ROW(DC9))),"")</f>
        <v/>
      </c>
      <c r="DE10" s="51" t="str">
        <f t="array" aca="1" ref="DE10" ca="1">IFERROR(INDEX(Leccion[selectorLeccion],SMALL(IF(DE$1=Leccion[SubSección],MATCH(ROW(Leccion[SubSección]),ROW(Leccion[SubSección]))),ROW(DD9))),"")</f>
        <v/>
      </c>
      <c r="DF10" s="51" t="str">
        <f t="array" aca="1" ref="DF10" ca="1">IFERROR(INDEX(Leccion[selectorLeccion],SMALL(IF(DF$1=Leccion[SubSección],MATCH(ROW(Leccion[SubSección]),ROW(Leccion[SubSección]))),ROW(DE9))),"")</f>
        <v/>
      </c>
      <c r="DG10" s="51" t="str">
        <f t="array" aca="1" ref="DG10" ca="1">IFERROR(INDEX(Leccion[selectorLeccion],SMALL(IF(DG$1=Leccion[SubSección],MATCH(ROW(Leccion[SubSección]),ROW(Leccion[SubSección]))),ROW(DF9))),"")</f>
        <v/>
      </c>
      <c r="DH10" s="51" t="str">
        <f t="array" aca="1" ref="DH10" ca="1">IFERROR(INDEX(Leccion[selectorLeccion],SMALL(IF(DH$1=Leccion[SubSección],MATCH(ROW(Leccion[SubSección]),ROW(Leccion[SubSección]))),ROW(DG9))),"")</f>
        <v/>
      </c>
      <c r="DI10" s="51" t="str">
        <f t="array" aca="1" ref="DI10" ca="1">IFERROR(INDEX(Leccion[selectorLeccion],SMALL(IF(DI$1=Leccion[SubSección],MATCH(ROW(Leccion[SubSección]),ROW(Leccion[SubSección]))),ROW(DH9))),"")</f>
        <v/>
      </c>
      <c r="DJ10" s="51" t="str">
        <f t="array" aca="1" ref="DJ10" ca="1">IFERROR(INDEX(Leccion[selectorLeccion],SMALL(IF(DJ$1=Leccion[SubSección],MATCH(ROW(Leccion[SubSección]),ROW(Leccion[SubSección]))),ROW(DI9))),"")</f>
        <v/>
      </c>
      <c r="DK10" s="51" t="str">
        <f t="array" aca="1" ref="DK10" ca="1">IFERROR(INDEX(Leccion[selectorLeccion],SMALL(IF(DK$1=Leccion[SubSección],MATCH(ROW(Leccion[SubSección]),ROW(Leccion[SubSección]))),ROW(DJ9))),"")</f>
        <v/>
      </c>
      <c r="DL10" s="51" t="str">
        <f t="array" aca="1" ref="DL10" ca="1">IFERROR(INDEX(Leccion[selectorLeccion],SMALL(IF(DL$1=Leccion[SubSección],MATCH(ROW(Leccion[SubSección]),ROW(Leccion[SubSección]))),ROW(DK9))),"")</f>
        <v/>
      </c>
      <c r="DM10" s="51" t="str">
        <f t="array" aca="1" ref="DM10" ca="1">IFERROR(INDEX(Leccion[selectorLeccion],SMALL(IF(DM$1=Leccion[SubSección],MATCH(ROW(Leccion[SubSección]),ROW(Leccion[SubSección]))),ROW(DL9))),"")</f>
        <v/>
      </c>
      <c r="DN10" s="51" t="str">
        <f t="array" aca="1" ref="DN10" ca="1">IFERROR(INDEX(Leccion[selectorLeccion],SMALL(IF(DN$1=Leccion[SubSección],MATCH(ROW(Leccion[SubSección]),ROW(Leccion[SubSección]))),ROW(DM9))),"")</f>
        <v/>
      </c>
      <c r="DO10" s="51" t="str">
        <f t="array" aca="1" ref="DO10" ca="1">IFERROR(INDEX(Leccion[selectorLeccion],SMALL(IF(DO$1=Leccion[SubSección],MATCH(ROW(Leccion[SubSección]),ROW(Leccion[SubSección]))),ROW(DN9))),"")</f>
        <v/>
      </c>
      <c r="DP10" s="51" t="str">
        <f t="array" aca="1" ref="DP10" ca="1">IFERROR(INDEX(Leccion[selectorLeccion],SMALL(IF(DP$1=Leccion[SubSección],MATCH(ROW(Leccion[SubSección]),ROW(Leccion[SubSección]))),ROW(DO9))),"")</f>
        <v/>
      </c>
      <c r="DQ10" s="51" t="str">
        <f t="array" aca="1" ref="DQ10" ca="1">IFERROR(INDEX(Leccion[selectorLeccion],SMALL(IF(DQ$1=Leccion[SubSección],MATCH(ROW(Leccion[SubSección]),ROW(Leccion[SubSección]))),ROW(DP9))),"")</f>
        <v/>
      </c>
      <c r="DR10" s="51" t="str">
        <f t="array" aca="1" ref="DR10" ca="1">IFERROR(INDEX(Leccion[selectorLeccion],SMALL(IF(DR$1=Leccion[SubSección],MATCH(ROW(Leccion[SubSección]),ROW(Leccion[SubSección]))),ROW(DQ9))),"")</f>
        <v/>
      </c>
      <c r="DS10" s="51" t="str">
        <f t="array" aca="1" ref="DS10" ca="1">IFERROR(INDEX(Leccion[selectorLeccion],SMALL(IF(DS$1=Leccion[SubSección],MATCH(ROW(Leccion[SubSección]),ROW(Leccion[SubSección]))),ROW(DR9))),"")</f>
        <v/>
      </c>
      <c r="DT10" s="51" t="str">
        <f t="array" aca="1" ref="DT10" ca="1">IFERROR(INDEX(Leccion[selectorLeccion],SMALL(IF(DT$1=Leccion[SubSección],MATCH(ROW(Leccion[SubSección]),ROW(Leccion[SubSección]))),ROW(DS9))),"")</f>
        <v/>
      </c>
      <c r="DU10" s="51" t="str">
        <f t="array" aca="1" ref="DU10" ca="1">IFERROR(INDEX(Leccion[selectorLeccion],SMALL(IF(DU$1=Leccion[SubSección],MATCH(ROW(Leccion[SubSección]),ROW(Leccion[SubSección]))),ROW(DT9))),"")</f>
        <v/>
      </c>
      <c r="DV10" s="51" t="str">
        <f t="array" aca="1" ref="DV10" ca="1">IFERROR(INDEX(Leccion[selectorLeccion],SMALL(IF(DV$1=Leccion[SubSección],MATCH(ROW(Leccion[SubSección]),ROW(Leccion[SubSección]))),ROW(DU9))),"")</f>
        <v/>
      </c>
      <c r="DW10" s="51" t="str">
        <f t="array" aca="1" ref="DW10" ca="1">IFERROR(INDEX(Leccion[selectorLeccion],SMALL(IF(DW$1=Leccion[SubSección],MATCH(ROW(Leccion[SubSección]),ROW(Leccion[SubSección]))),ROW(DV9))),"")</f>
        <v/>
      </c>
      <c r="DX10" s="51" t="str">
        <f t="array" aca="1" ref="DX10" ca="1">IFERROR(INDEX(Leccion[selectorLeccion],SMALL(IF(DX$1=Leccion[SubSección],MATCH(ROW(Leccion[SubSección]),ROW(Leccion[SubSección]))),ROW(DW9))),"")</f>
        <v/>
      </c>
      <c r="DY10" s="51" t="str">
        <f t="array" aca="1" ref="DY10" ca="1">IFERROR(INDEX(Leccion[selectorLeccion],SMALL(IF(DY$1=Leccion[SubSección],MATCH(ROW(Leccion[SubSección]),ROW(Leccion[SubSección]))),ROW(DX9))),"")</f>
        <v/>
      </c>
      <c r="DZ10" s="51" t="str">
        <f t="array" aca="1" ref="DZ10" ca="1">IFERROR(INDEX(Leccion[selectorLeccion],SMALL(IF(DZ$1=Leccion[SubSección],MATCH(ROW(Leccion[SubSección]),ROW(Leccion[SubSección]))),ROW(DY9))),"")</f>
        <v/>
      </c>
      <c r="EA10" s="51" t="str">
        <f t="array" aca="1" ref="EA10" ca="1">IFERROR(INDEX(Leccion[selectorLeccion],SMALL(IF(EA$1=Leccion[SubSección],MATCH(ROW(Leccion[SubSección]),ROW(Leccion[SubSección]))),ROW(DZ9))),"")</f>
        <v/>
      </c>
      <c r="EB10" s="51" t="str">
        <f t="array" aca="1" ref="EB10" ca="1">IFERROR(INDEX(Leccion[selectorLeccion],SMALL(IF(EB$1=Leccion[SubSección],MATCH(ROW(Leccion[SubSección]),ROW(Leccion[SubSección]))),ROW(EA9))),"")</f>
        <v/>
      </c>
      <c r="EC10" s="51" t="str">
        <f t="array" aca="1" ref="EC10" ca="1">IFERROR(INDEX(Leccion[selectorLeccion],SMALL(IF(EC$1=Leccion[SubSección],MATCH(ROW(Leccion[SubSección]),ROW(Leccion[SubSección]))),ROW(EB9))),"")</f>
        <v/>
      </c>
      <c r="ED10" s="51" t="str">
        <f t="array" aca="1" ref="ED10" ca="1">IFERROR(INDEX(Leccion[selectorLeccion],SMALL(IF(ED$1=Leccion[SubSección],MATCH(ROW(Leccion[SubSección]),ROW(Leccion[SubSección]))),ROW(EC9))),"")</f>
        <v/>
      </c>
      <c r="EE10" s="51" t="str">
        <f t="array" aca="1" ref="EE10" ca="1">IFERROR(INDEX(Leccion[selectorLeccion],SMALL(IF(EE$1=Leccion[SubSección],MATCH(ROW(Leccion[SubSección]),ROW(Leccion[SubSección]))),ROW(ED9))),"")</f>
        <v/>
      </c>
      <c r="EF10" s="51" t="str">
        <f t="array" aca="1" ref="EF10" ca="1">IFERROR(INDEX(Leccion[selectorLeccion],SMALL(IF(EF$1=Leccion[SubSección],MATCH(ROW(Leccion[SubSección]),ROW(Leccion[SubSección]))),ROW(EE9))),"")</f>
        <v/>
      </c>
      <c r="EG10" s="51" t="str">
        <f t="array" aca="1" ref="EG10" ca="1">IFERROR(INDEX(Leccion[selectorLeccion],SMALL(IF(EG$1=Leccion[SubSección],MATCH(ROW(Leccion[SubSección]),ROW(Leccion[SubSección]))),ROW(EF9))),"")</f>
        <v/>
      </c>
      <c r="EH10" s="51" t="str">
        <f t="array" aca="1" ref="EH10" ca="1">IFERROR(INDEX(Leccion[selectorLeccion],SMALL(IF(EH$1=Leccion[SubSección],MATCH(ROW(Leccion[SubSección]),ROW(Leccion[SubSección]))),ROW(EG9))),"")</f>
        <v/>
      </c>
      <c r="EI10" s="51" t="str">
        <f t="array" aca="1" ref="EI10" ca="1">IFERROR(INDEX(Leccion[selectorLeccion],SMALL(IF(EI$1=Leccion[SubSección],MATCH(ROW(Leccion[SubSección]),ROW(Leccion[SubSección]))),ROW(EH9))),"")</f>
        <v/>
      </c>
      <c r="EJ10" s="51" t="str">
        <f t="array" aca="1" ref="EJ10" ca="1">IFERROR(INDEX(Leccion[selectorLeccion],SMALL(IF(EJ$1=Leccion[SubSección],MATCH(ROW(Leccion[SubSección]),ROW(Leccion[SubSección]))),ROW(EI9))),"")</f>
        <v/>
      </c>
      <c r="EK10" s="51" t="str">
        <f t="array" aca="1" ref="EK10" ca="1">IFERROR(INDEX(Leccion[selectorLeccion],SMALL(IF(EK$1=Leccion[SubSección],MATCH(ROW(Leccion[SubSección]),ROW(Leccion[SubSección]))),ROW(EJ9))),"")</f>
        <v/>
      </c>
      <c r="EL10" s="51" t="str">
        <f t="array" aca="1" ref="EL10" ca="1">IFERROR(INDEX(Leccion[selectorLeccion],SMALL(IF(EL$1=Leccion[SubSección],MATCH(ROW(Leccion[SubSección]),ROW(Leccion[SubSección]))),ROW(EK9))),"")</f>
        <v/>
      </c>
      <c r="EM10" s="51" t="str">
        <f t="array" aca="1" ref="EM10" ca="1">IFERROR(INDEX(Leccion[selectorLeccion],SMALL(IF(EM$1=Leccion[SubSección],MATCH(ROW(Leccion[SubSección]),ROW(Leccion[SubSección]))),ROW(EL9))),"")</f>
        <v/>
      </c>
      <c r="EN10" s="51" t="str">
        <f t="array" aca="1" ref="EN10" ca="1">IFERROR(INDEX(Leccion[selectorLeccion],SMALL(IF(EN$1=Leccion[SubSección],MATCH(ROW(Leccion[SubSección]),ROW(Leccion[SubSección]))),ROW(EM9))),"")</f>
        <v/>
      </c>
      <c r="EO10" s="51" t="str">
        <f t="array" aca="1" ref="EO10" ca="1">IFERROR(INDEX(Leccion[selectorLeccion],SMALL(IF(EO$1=Leccion[SubSección],MATCH(ROW(Leccion[SubSección]),ROW(Leccion[SubSección]))),ROW(EN9))),"")</f>
        <v/>
      </c>
      <c r="EP10" s="51" t="str">
        <f t="array" aca="1" ref="EP10" ca="1">IFERROR(INDEX(Leccion[selectorLeccion],SMALL(IF(EP$1=Leccion[SubSección],MATCH(ROW(Leccion[SubSección]),ROW(Leccion[SubSección]))),ROW(EO9))),"")</f>
        <v/>
      </c>
      <c r="EQ10" s="51" t="str">
        <f t="array" aca="1" ref="EQ10" ca="1">IFERROR(INDEX(Leccion[selectorLeccion],SMALL(IF(EQ$1=Leccion[SubSección],MATCH(ROW(Leccion[SubSección]),ROW(Leccion[SubSección]))),ROW(EP9))),"")</f>
        <v/>
      </c>
      <c r="ER10" s="51" t="str">
        <f t="array" aca="1" ref="ER10" ca="1">IFERROR(INDEX(Leccion[selectorLeccion],SMALL(IF(ER$1=Leccion[SubSección],MATCH(ROW(Leccion[SubSección]),ROW(Leccion[SubSección]))),ROW(EQ9))),"")</f>
        <v/>
      </c>
      <c r="ES10" s="51" t="str">
        <f t="array" aca="1" ref="ES10" ca="1">IFERROR(INDEX(Leccion[selectorLeccion],SMALL(IF(ES$1=Leccion[SubSección],MATCH(ROW(Leccion[SubSección]),ROW(Leccion[SubSección]))),ROW(ER9))),"")</f>
        <v/>
      </c>
      <c r="ET10" s="51" t="str">
        <f t="array" aca="1" ref="ET10" ca="1">IFERROR(INDEX(Leccion[selectorLeccion],SMALL(IF(ET$1=Leccion[SubSección],MATCH(ROW(Leccion[SubSección]),ROW(Leccion[SubSección]))),ROW(ES9))),"")</f>
        <v/>
      </c>
      <c r="EU10" s="51" t="str">
        <f t="array" aca="1" ref="EU10" ca="1">IFERROR(INDEX(Leccion[selectorLeccion],SMALL(IF(EU$1=Leccion[SubSección],MATCH(ROW(Leccion[SubSección]),ROW(Leccion[SubSección]))),ROW(ET9))),"")</f>
        <v/>
      </c>
      <c r="EV10" s="51" t="str">
        <f t="array" aca="1" ref="EV10" ca="1">IFERROR(INDEX(Leccion[selectorLeccion],SMALL(IF(EV$1=Leccion[SubSección],MATCH(ROW(Leccion[SubSección]),ROW(Leccion[SubSección]))),ROW(EU9))),"")</f>
        <v/>
      </c>
      <c r="EW10" s="51" t="str">
        <f t="array" aca="1" ref="EW10" ca="1">IFERROR(INDEX(Leccion[selectorLeccion],SMALL(IF(EW$1=Leccion[SubSección],MATCH(ROW(Leccion[SubSección]),ROW(Leccion[SubSección]))),ROW(EV9))),"")</f>
        <v/>
      </c>
      <c r="EX10" s="51" t="str">
        <f t="array" aca="1" ref="EX10" ca="1">IFERROR(INDEX(Leccion[selectorLeccion],SMALL(IF(EX$1=Leccion[SubSección],MATCH(ROW(Leccion[SubSección]),ROW(Leccion[SubSección]))),ROW(EW9))),"")</f>
        <v/>
      </c>
      <c r="EY10" s="51" t="str">
        <f t="array" aca="1" ref="EY10" ca="1">IFERROR(INDEX(Leccion[selectorLeccion],SMALL(IF(EY$1=Leccion[SubSección],MATCH(ROW(Leccion[SubSección]),ROW(Leccion[SubSección]))),ROW(EX9))),"")</f>
        <v/>
      </c>
      <c r="EZ10" s="51" t="str">
        <f t="array" aca="1" ref="EZ10" ca="1">IFERROR(INDEX(Leccion[selectorLeccion],SMALL(IF(EZ$1=Leccion[SubSección],MATCH(ROW(Leccion[SubSección]),ROW(Leccion[SubSección]))),ROW(EY9))),"")</f>
        <v/>
      </c>
    </row>
    <row r="11" spans="2:156" x14ac:dyDescent="0.3">
      <c r="B11" s="51" t="str">
        <f t="array" aca="1" ref="B11" ca="1">IFERROR(INDEX(Leccion[selectorLeccion],SMALL(IF(B$1=Leccion[SubSección],MATCH(ROW(Leccion[SubSección]),ROW(Leccion[SubSección]))),ROW(A10))),"")</f>
        <v/>
      </c>
      <c r="C11" s="51" t="str">
        <f t="array" aca="1" ref="C11" ca="1">IFERROR(INDEX(Leccion[selectorLeccion],SMALL(IF(C$1=Leccion[SubSección],MATCH(ROW(Leccion[SubSección]),ROW(Leccion[SubSección]))),ROW(B10))),"")</f>
        <v/>
      </c>
      <c r="D11" s="51" t="str">
        <f t="array" aca="1" ref="D11" ca="1">IFERROR(INDEX(Leccion[selectorLeccion],SMALL(IF(D$1=Leccion[SubSección],MATCH(ROW(Leccion[SubSección]),ROW(Leccion[SubSección]))),ROW(C10))),"")</f>
        <v/>
      </c>
      <c r="E11" s="51" t="str">
        <f t="array" aca="1" ref="E11" ca="1">IFERROR(INDEX(Leccion[selectorLeccion],SMALL(IF(E$1=Leccion[SubSección],MATCH(ROW(Leccion[SubSección]),ROW(Leccion[SubSección]))),ROW(D10))),"")</f>
        <v/>
      </c>
      <c r="F11" s="51" t="str">
        <f t="array" aca="1" ref="F11" ca="1">IFERROR(INDEX(Leccion[selectorLeccion],SMALL(IF(F$1=Leccion[SubSección],MATCH(ROW(Leccion[SubSección]),ROW(Leccion[SubSección]))),ROW(E10))),"")</f>
        <v/>
      </c>
      <c r="G11" s="51" t="str">
        <f t="array" aca="1" ref="G11" ca="1">IFERROR(INDEX(Leccion[selectorLeccion],SMALL(IF(G$1=Leccion[SubSección],MATCH(ROW(Leccion[SubSección]),ROW(Leccion[SubSección]))),ROW(F10))),"")</f>
        <v/>
      </c>
      <c r="H11" s="51" t="str">
        <f t="array" aca="1" ref="H11" ca="1">IFERROR(INDEX(Leccion[selectorLeccion],SMALL(IF(H$1=Leccion[SubSección],MATCH(ROW(Leccion[SubSección]),ROW(Leccion[SubSección]))),ROW(G10))),"")</f>
        <v/>
      </c>
      <c r="I11" s="51" t="str">
        <f t="array" aca="1" ref="I11" ca="1">IFERROR(INDEX(Leccion[selectorLeccion],SMALL(IF(I$1=Leccion[SubSección],MATCH(ROW(Leccion[SubSección]),ROW(Leccion[SubSección]))),ROW(H10))),"")</f>
        <v/>
      </c>
      <c r="J11" s="51" t="str">
        <f t="array" aca="1" ref="J11" ca="1">IFERROR(INDEX(Leccion[selectorLeccion],SMALL(IF(J$1=Leccion[SubSección],MATCH(ROW(Leccion[SubSección]),ROW(Leccion[SubSección]))),ROW(I10))),"")</f>
        <v/>
      </c>
      <c r="K11" s="51" t="str">
        <f t="array" aca="1" ref="K11" ca="1">IFERROR(INDEX(Leccion[selectorLeccion],SMALL(IF(K$1=Leccion[SubSección],MATCH(ROW(Leccion[SubSección]),ROW(Leccion[SubSección]))),ROW(J10))),"")</f>
        <v/>
      </c>
      <c r="L11" s="51" t="str">
        <f t="array" aca="1" ref="L11" ca="1">IFERROR(INDEX(Leccion[selectorLeccion],SMALL(IF(L$1=Leccion[SubSección],MATCH(ROW(Leccion[SubSección]),ROW(Leccion[SubSección]))),ROW(K10))),"")</f>
        <v/>
      </c>
      <c r="M11" s="51" t="str">
        <f t="array" aca="1" ref="M11" ca="1">IFERROR(INDEX(Leccion[selectorLeccion],SMALL(IF(M$1=Leccion[SubSección],MATCH(ROW(Leccion[SubSección]),ROW(Leccion[SubSección]))),ROW(L10))),"")</f>
        <v/>
      </c>
      <c r="N11" s="51" t="str">
        <f t="array" aca="1" ref="N11" ca="1">IFERROR(INDEX(Leccion[selectorLeccion],SMALL(IF(N$1=Leccion[SubSección],MATCH(ROW(Leccion[SubSección]),ROW(Leccion[SubSección]))),ROW(M10))),"")</f>
        <v/>
      </c>
      <c r="O11" s="51" t="str">
        <f t="array" aca="1" ref="O11" ca="1">IFERROR(INDEX(Leccion[selectorLeccion],SMALL(IF(O$1=Leccion[SubSección],MATCH(ROW(Leccion[SubSección]),ROW(Leccion[SubSección]))),ROW(N10))),"")</f>
        <v/>
      </c>
      <c r="P11" s="51" t="str">
        <f t="array" aca="1" ref="P11" ca="1">IFERROR(INDEX(Leccion[selectorLeccion],SMALL(IF(P$1=Leccion[SubSección],MATCH(ROW(Leccion[SubSección]),ROW(Leccion[SubSección]))),ROW(O10))),"")</f>
        <v/>
      </c>
      <c r="Q11" s="51" t="str">
        <f t="array" aca="1" ref="Q11" ca="1">IFERROR(INDEX(Leccion[selectorLeccion],SMALL(IF(Q$1=Leccion[SubSección],MATCH(ROW(Leccion[SubSección]),ROW(Leccion[SubSección]))),ROW(P10))),"")</f>
        <v/>
      </c>
      <c r="R11" s="51" t="str">
        <f t="array" aca="1" ref="R11" ca="1">IFERROR(INDEX(Leccion[selectorLeccion],SMALL(IF(R$1=Leccion[SubSección],MATCH(ROW(Leccion[SubSección]),ROW(Leccion[SubSección]))),ROW(Q10))),"")</f>
        <v/>
      </c>
      <c r="S11" s="51" t="str">
        <f t="array" aca="1" ref="S11" ca="1">IFERROR(INDEX(Leccion[selectorLeccion],SMALL(IF(S$1=Leccion[SubSección],MATCH(ROW(Leccion[SubSección]),ROW(Leccion[SubSección]))),ROW(R10))),"")</f>
        <v/>
      </c>
      <c r="T11" s="51" t="str">
        <f t="array" aca="1" ref="T11" ca="1">IFERROR(INDEX(Leccion[selectorLeccion],SMALL(IF(T$1=Leccion[SubSección],MATCH(ROW(Leccion[SubSección]),ROW(Leccion[SubSección]))),ROW(S10))),"")</f>
        <v/>
      </c>
      <c r="U11" s="51" t="str">
        <f t="array" aca="1" ref="U11" ca="1">IFERROR(INDEX(Leccion[selectorLeccion],SMALL(IF(U$1=Leccion[SubSección],MATCH(ROW(Leccion[SubSección]),ROW(Leccion[SubSección]))),ROW(T10))),"")</f>
        <v/>
      </c>
      <c r="V11" s="51" t="str">
        <f t="array" aca="1" ref="V11" ca="1">IFERROR(INDEX(Leccion[selectorLeccion],SMALL(IF(V$1=Leccion[SubSección],MATCH(ROW(Leccion[SubSección]),ROW(Leccion[SubSección]))),ROW(U10))),"")</f>
        <v/>
      </c>
      <c r="W11" s="51" t="str">
        <f t="array" aca="1" ref="W11" ca="1">IFERROR(INDEX(Leccion[selectorLeccion],SMALL(IF(W$1=Leccion[SubSección],MATCH(ROW(Leccion[SubSección]),ROW(Leccion[SubSección]))),ROW(V10))),"")</f>
        <v/>
      </c>
      <c r="X11" s="51" t="str">
        <f t="array" aca="1" ref="X11" ca="1">IFERROR(INDEX(Leccion[selectorLeccion],SMALL(IF(X$1=Leccion[SubSección],MATCH(ROW(Leccion[SubSección]),ROW(Leccion[SubSección]))),ROW(W10))),"")</f>
        <v/>
      </c>
      <c r="Y11" s="51" t="str">
        <f t="array" aca="1" ref="Y11" ca="1">IFERROR(INDEX(Leccion[selectorLeccion],SMALL(IF(Y$1=Leccion[SubSección],MATCH(ROW(Leccion[SubSección]),ROW(Leccion[SubSección]))),ROW(X10))),"")</f>
        <v/>
      </c>
      <c r="Z11" s="51" t="str">
        <f t="array" aca="1" ref="Z11" ca="1">IFERROR(INDEX(Leccion[selectorLeccion],SMALL(IF(Z$1=Leccion[SubSección],MATCH(ROW(Leccion[SubSección]),ROW(Leccion[SubSección]))),ROW(Y10))),"")</f>
        <v/>
      </c>
      <c r="AA11" s="51" t="str">
        <f t="array" aca="1" ref="AA11" ca="1">IFERROR(INDEX(Leccion[selectorLeccion],SMALL(IF(AA$1=Leccion[SubSección],MATCH(ROW(Leccion[SubSección]),ROW(Leccion[SubSección]))),ROW(Z10))),"")</f>
        <v/>
      </c>
      <c r="AB11" s="51" t="str">
        <f t="array" aca="1" ref="AB11" ca="1">IFERROR(INDEX(Leccion[selectorLeccion],SMALL(IF(AB$1=Leccion[SubSección],MATCH(ROW(Leccion[SubSección]),ROW(Leccion[SubSección]))),ROW(AA10))),"")</f>
        <v/>
      </c>
      <c r="AC11" s="51" t="str">
        <f t="array" aca="1" ref="AC11" ca="1">IFERROR(INDEX(Leccion[selectorLeccion],SMALL(IF(AC$1=Leccion[SubSección],MATCH(ROW(Leccion[SubSección]),ROW(Leccion[SubSección]))),ROW(AB10))),"")</f>
        <v/>
      </c>
      <c r="AD11" s="51" t="str">
        <f t="array" aca="1" ref="AD11" ca="1">IFERROR(INDEX(Leccion[selectorLeccion],SMALL(IF(AD$1=Leccion[SubSección],MATCH(ROW(Leccion[SubSección]),ROW(Leccion[SubSección]))),ROW(AC10))),"")</f>
        <v/>
      </c>
      <c r="AE11" s="51" t="str">
        <f t="array" aca="1" ref="AE11" ca="1">IFERROR(INDEX(Leccion[selectorLeccion],SMALL(IF(AE$1=Leccion[SubSección],MATCH(ROW(Leccion[SubSección]),ROW(Leccion[SubSección]))),ROW(AD10))),"")</f>
        <v/>
      </c>
      <c r="AF11" s="51" t="str">
        <f t="array" aca="1" ref="AF11" ca="1">IFERROR(INDEX(Leccion[selectorLeccion],SMALL(IF(AF$1=Leccion[SubSección],MATCH(ROW(Leccion[SubSección]),ROW(Leccion[SubSección]))),ROW(AE10))),"")</f>
        <v/>
      </c>
      <c r="AG11" s="51" t="str">
        <f t="array" aca="1" ref="AG11" ca="1">IFERROR(INDEX(Leccion[selectorLeccion],SMALL(IF(AG$1=Leccion[SubSección],MATCH(ROW(Leccion[SubSección]),ROW(Leccion[SubSección]))),ROW(AF10))),"")</f>
        <v/>
      </c>
      <c r="AH11" s="51" t="str">
        <f t="array" aca="1" ref="AH11" ca="1">IFERROR(INDEX(Leccion[selectorLeccion],SMALL(IF(AH$1=Leccion[SubSección],MATCH(ROW(Leccion[SubSección]),ROW(Leccion[SubSección]))),ROW(AG10))),"")</f>
        <v/>
      </c>
      <c r="AI11" s="51" t="str">
        <f t="array" aca="1" ref="AI11" ca="1">IFERROR(INDEX(Leccion[selectorLeccion],SMALL(IF(AI$1=Leccion[SubSección],MATCH(ROW(Leccion[SubSección]),ROW(Leccion[SubSección]))),ROW(AH10))),"")</f>
        <v/>
      </c>
      <c r="AJ11" s="51" t="str">
        <f t="array" aca="1" ref="AJ11" ca="1">IFERROR(INDEX(Leccion[selectorLeccion],SMALL(IF(AJ$1=Leccion[SubSección],MATCH(ROW(Leccion[SubSección]),ROW(Leccion[SubSección]))),ROW(AI10))),"")</f>
        <v/>
      </c>
      <c r="AK11" s="51" t="str">
        <f t="array" aca="1" ref="AK11" ca="1">IFERROR(INDEX(Leccion[selectorLeccion],SMALL(IF(AK$1=Leccion[SubSección],MATCH(ROW(Leccion[SubSección]),ROW(Leccion[SubSección]))),ROW(AJ10))),"")</f>
        <v/>
      </c>
      <c r="AL11" s="51" t="str">
        <f t="array" aca="1" ref="AL11" ca="1">IFERROR(INDEX(Leccion[selectorLeccion],SMALL(IF(AL$1=Leccion[SubSección],MATCH(ROW(Leccion[SubSección]),ROW(Leccion[SubSección]))),ROW(AK10))),"")</f>
        <v/>
      </c>
      <c r="AM11" s="51" t="str">
        <f t="array" aca="1" ref="AM11" ca="1">IFERROR(INDEX(Leccion[selectorLeccion],SMALL(IF(AM$1=Leccion[SubSección],MATCH(ROW(Leccion[SubSección]),ROW(Leccion[SubSección]))),ROW(AL10))),"")</f>
        <v/>
      </c>
      <c r="AN11" s="51" t="str">
        <f t="array" aca="1" ref="AN11" ca="1">IFERROR(INDEX(Leccion[selectorLeccion],SMALL(IF(AN$1=Leccion[SubSección],MATCH(ROW(Leccion[SubSección]),ROW(Leccion[SubSección]))),ROW(AM10))),"")</f>
        <v/>
      </c>
      <c r="AO11" s="51" t="str">
        <f t="array" aca="1" ref="AO11" ca="1">IFERROR(INDEX(Leccion[selectorLeccion],SMALL(IF(AO$1=Leccion[SubSección],MATCH(ROW(Leccion[SubSección]),ROW(Leccion[SubSección]))),ROW(AN10))),"")</f>
        <v/>
      </c>
      <c r="AP11" s="51" t="str">
        <f t="array" aca="1" ref="AP11" ca="1">IFERROR(INDEX(Leccion[selectorLeccion],SMALL(IF(AP$1=Leccion[SubSección],MATCH(ROW(Leccion[SubSección]),ROW(Leccion[SubSección]))),ROW(AO10))),"")</f>
        <v/>
      </c>
      <c r="AQ11" s="51" t="str">
        <f t="array" aca="1" ref="AQ11" ca="1">IFERROR(INDEX(Leccion[selectorLeccion],SMALL(IF(AQ$1=Leccion[SubSección],MATCH(ROW(Leccion[SubSección]),ROW(Leccion[SubSección]))),ROW(AP10))),"")</f>
        <v/>
      </c>
      <c r="AR11" s="51" t="str">
        <f t="array" aca="1" ref="AR11" ca="1">IFERROR(INDEX(Leccion[selectorLeccion],SMALL(IF(AR$1=Leccion[SubSección],MATCH(ROW(Leccion[SubSección]),ROW(Leccion[SubSección]))),ROW(AQ10))),"")</f>
        <v/>
      </c>
      <c r="AS11" s="51" t="str">
        <f t="array" aca="1" ref="AS11" ca="1">IFERROR(INDEX(Leccion[selectorLeccion],SMALL(IF(AS$1=Leccion[SubSección],MATCH(ROW(Leccion[SubSección]),ROW(Leccion[SubSección]))),ROW(AR10))),"")</f>
        <v/>
      </c>
      <c r="AT11" s="51" t="str">
        <f t="array" aca="1" ref="AT11" ca="1">IFERROR(INDEX(Leccion[selectorLeccion],SMALL(IF(AT$1=Leccion[SubSección],MATCH(ROW(Leccion[SubSección]),ROW(Leccion[SubSección]))),ROW(AS10))),"")</f>
        <v/>
      </c>
      <c r="AU11" s="51" t="str">
        <f t="array" aca="1" ref="AU11" ca="1">IFERROR(INDEX(Leccion[selectorLeccion],SMALL(IF(AU$1=Leccion[SubSección],MATCH(ROW(Leccion[SubSección]),ROW(Leccion[SubSección]))),ROW(AT10))),"")</f>
        <v/>
      </c>
      <c r="AV11" s="51" t="str">
        <f t="array" aca="1" ref="AV11" ca="1">IFERROR(INDEX(Leccion[selectorLeccion],SMALL(IF(AV$1=Leccion[SubSección],MATCH(ROW(Leccion[SubSección]),ROW(Leccion[SubSección]))),ROW(AU10))),"")</f>
        <v/>
      </c>
      <c r="AW11" s="51" t="str">
        <f t="array" aca="1" ref="AW11" ca="1">IFERROR(INDEX(Leccion[selectorLeccion],SMALL(IF(AW$1=Leccion[SubSección],MATCH(ROW(Leccion[SubSección]),ROW(Leccion[SubSección]))),ROW(AV10))),"")</f>
        <v/>
      </c>
      <c r="AX11" s="51" t="str">
        <f t="array" aca="1" ref="AX11" ca="1">IFERROR(INDEX(Leccion[selectorLeccion],SMALL(IF(AX$1=Leccion[SubSección],MATCH(ROW(Leccion[SubSección]),ROW(Leccion[SubSección]))),ROW(AW10))),"")</f>
        <v/>
      </c>
      <c r="AY11" s="51" t="str">
        <f t="array" aca="1" ref="AY11" ca="1">IFERROR(INDEX(Leccion[selectorLeccion],SMALL(IF(AY$1=Leccion[SubSección],MATCH(ROW(Leccion[SubSección]),ROW(Leccion[SubSección]))),ROW(AX10))),"")</f>
        <v/>
      </c>
      <c r="AZ11" s="51" t="str">
        <f t="array" aca="1" ref="AZ11" ca="1">IFERROR(INDEX(Leccion[selectorLeccion],SMALL(IF(AZ$1=Leccion[SubSección],MATCH(ROW(Leccion[SubSección]),ROW(Leccion[SubSección]))),ROW(AY10))),"")</f>
        <v/>
      </c>
      <c r="BA11" s="51" t="str">
        <f t="array" aca="1" ref="BA11" ca="1">IFERROR(INDEX(Leccion[selectorLeccion],SMALL(IF(BA$1=Leccion[SubSección],MATCH(ROW(Leccion[SubSección]),ROW(Leccion[SubSección]))),ROW(AZ10))),"")</f>
        <v/>
      </c>
      <c r="BB11" s="51" t="str">
        <f t="array" aca="1" ref="BB11" ca="1">IFERROR(INDEX(Leccion[selectorLeccion],SMALL(IF(BB$1=Leccion[SubSección],MATCH(ROW(Leccion[SubSección]),ROW(Leccion[SubSección]))),ROW(BA10))),"")</f>
        <v/>
      </c>
      <c r="BC11" s="51" t="str">
        <f t="array" aca="1" ref="BC11" ca="1">IFERROR(INDEX(Leccion[selectorLeccion],SMALL(IF(BC$1=Leccion[SubSección],MATCH(ROW(Leccion[SubSección]),ROW(Leccion[SubSección]))),ROW(BB10))),"")</f>
        <v/>
      </c>
      <c r="BD11" s="51" t="str">
        <f t="array" aca="1" ref="BD11" ca="1">IFERROR(INDEX(Leccion[selectorLeccion],SMALL(IF(BD$1=Leccion[SubSección],MATCH(ROW(Leccion[SubSección]),ROW(Leccion[SubSección]))),ROW(BC10))),"")</f>
        <v/>
      </c>
      <c r="BE11" s="51" t="str">
        <f t="array" aca="1" ref="BE11" ca="1">IFERROR(INDEX(Leccion[selectorLeccion],SMALL(IF(BE$1=Leccion[SubSección],MATCH(ROW(Leccion[SubSección]),ROW(Leccion[SubSección]))),ROW(BD10))),"")</f>
        <v/>
      </c>
      <c r="BF11" s="51" t="str">
        <f t="array" aca="1" ref="BF11" ca="1">IFERROR(INDEX(Leccion[selectorLeccion],SMALL(IF(BF$1=Leccion[SubSección],MATCH(ROW(Leccion[SubSección]),ROW(Leccion[SubSección]))),ROW(BE10))),"")</f>
        <v/>
      </c>
      <c r="BG11" s="51" t="str">
        <f t="array" aca="1" ref="BG11" ca="1">IFERROR(INDEX(Leccion[selectorLeccion],SMALL(IF(BG$1=Leccion[SubSección],MATCH(ROW(Leccion[SubSección]),ROW(Leccion[SubSección]))),ROW(BF10))),"")</f>
        <v/>
      </c>
      <c r="BH11" s="51" t="str">
        <f t="array" aca="1" ref="BH11" ca="1">IFERROR(INDEX(Leccion[selectorLeccion],SMALL(IF(BH$1=Leccion[SubSección],MATCH(ROW(Leccion[SubSección]),ROW(Leccion[SubSección]))),ROW(BG10))),"")</f>
        <v/>
      </c>
      <c r="BI11" s="51" t="str">
        <f t="array" aca="1" ref="BI11" ca="1">IFERROR(INDEX(Leccion[selectorLeccion],SMALL(IF(BI$1=Leccion[SubSección],MATCH(ROW(Leccion[SubSección]),ROW(Leccion[SubSección]))),ROW(BH10))),"")</f>
        <v/>
      </c>
      <c r="BJ11" s="51" t="str">
        <f t="array" aca="1" ref="BJ11" ca="1">IFERROR(INDEX(Leccion[selectorLeccion],SMALL(IF(BJ$1=Leccion[SubSección],MATCH(ROW(Leccion[SubSección]),ROW(Leccion[SubSección]))),ROW(BI10))),"")</f>
        <v/>
      </c>
      <c r="BK11" s="51" t="str">
        <f t="array" aca="1" ref="BK11" ca="1">IFERROR(INDEX(Leccion[selectorLeccion],SMALL(IF(BK$1=Leccion[SubSección],MATCH(ROW(Leccion[SubSección]),ROW(Leccion[SubSección]))),ROW(BJ10))),"")</f>
        <v/>
      </c>
      <c r="BL11" s="51" t="str">
        <f t="array" aca="1" ref="BL11" ca="1">IFERROR(INDEX(Leccion[selectorLeccion],SMALL(IF(BL$1=Leccion[SubSección],MATCH(ROW(Leccion[SubSección]),ROW(Leccion[SubSección]))),ROW(BK10))),"")</f>
        <v/>
      </c>
      <c r="BM11" s="51" t="str">
        <f t="array" aca="1" ref="BM11" ca="1">IFERROR(INDEX(Leccion[selectorLeccion],SMALL(IF(BM$1=Leccion[SubSección],MATCH(ROW(Leccion[SubSección]),ROW(Leccion[SubSección]))),ROW(BL10))),"")</f>
        <v/>
      </c>
      <c r="BN11" s="51" t="str">
        <f t="array" aca="1" ref="BN11" ca="1">IFERROR(INDEX(Leccion[selectorLeccion],SMALL(IF(BN$1=Leccion[SubSección],MATCH(ROW(Leccion[SubSección]),ROW(Leccion[SubSección]))),ROW(BM10))),"")</f>
        <v/>
      </c>
      <c r="BO11" s="51" t="str">
        <f t="array" aca="1" ref="BO11" ca="1">IFERROR(INDEX(Leccion[selectorLeccion],SMALL(IF(BO$1=Leccion[SubSección],MATCH(ROW(Leccion[SubSección]),ROW(Leccion[SubSección]))),ROW(BN10))),"")</f>
        <v/>
      </c>
      <c r="BP11" s="51" t="str">
        <f t="array" aca="1" ref="BP11" ca="1">IFERROR(INDEX(Leccion[selectorLeccion],SMALL(IF(BP$1=Leccion[SubSección],MATCH(ROW(Leccion[SubSección]),ROW(Leccion[SubSección]))),ROW(BO10))),"")</f>
        <v/>
      </c>
      <c r="BQ11" s="51" t="str">
        <f t="array" aca="1" ref="BQ11" ca="1">IFERROR(INDEX(Leccion[selectorLeccion],SMALL(IF(BQ$1=Leccion[SubSección],MATCH(ROW(Leccion[SubSección]),ROW(Leccion[SubSección]))),ROW(BP10))),"")</f>
        <v/>
      </c>
      <c r="BR11" s="51" t="str">
        <f t="array" aca="1" ref="BR11" ca="1">IFERROR(INDEX(Leccion[selectorLeccion],SMALL(IF(BR$1=Leccion[SubSección],MATCH(ROW(Leccion[SubSección]),ROW(Leccion[SubSección]))),ROW(BQ10))),"")</f>
        <v/>
      </c>
      <c r="BS11" s="51" t="str">
        <f t="array" aca="1" ref="BS11" ca="1">IFERROR(INDEX(Leccion[selectorLeccion],SMALL(IF(BS$1=Leccion[SubSección],MATCH(ROW(Leccion[SubSección]),ROW(Leccion[SubSección]))),ROW(BR10))),"")</f>
        <v/>
      </c>
      <c r="BT11" s="51" t="str">
        <f t="array" aca="1" ref="BT11" ca="1">IFERROR(INDEX(Leccion[selectorLeccion],SMALL(IF(BT$1=Leccion[SubSección],MATCH(ROW(Leccion[SubSección]),ROW(Leccion[SubSección]))),ROW(BS10))),"")</f>
        <v/>
      </c>
      <c r="BU11" s="51" t="str">
        <f t="array" aca="1" ref="BU11" ca="1">IFERROR(INDEX(Leccion[selectorLeccion],SMALL(IF(BU$1=Leccion[SubSección],MATCH(ROW(Leccion[SubSección]),ROW(Leccion[SubSección]))),ROW(BT10))),"")</f>
        <v/>
      </c>
      <c r="BV11" s="51" t="str">
        <f t="array" aca="1" ref="BV11" ca="1">IFERROR(INDEX(Leccion[selectorLeccion],SMALL(IF(BV$1=Leccion[SubSección],MATCH(ROW(Leccion[SubSección]),ROW(Leccion[SubSección]))),ROW(BU10))),"")</f>
        <v/>
      </c>
      <c r="BW11" s="51" t="str">
        <f t="array" aca="1" ref="BW11" ca="1">IFERROR(INDEX(Leccion[selectorLeccion],SMALL(IF(BW$1=Leccion[SubSección],MATCH(ROW(Leccion[SubSección]),ROW(Leccion[SubSección]))),ROW(BV10))),"")</f>
        <v/>
      </c>
      <c r="BX11" s="51" t="str">
        <f t="array" aca="1" ref="BX11" ca="1">IFERROR(INDEX(Leccion[selectorLeccion],SMALL(IF(BX$1=Leccion[SubSección],MATCH(ROW(Leccion[SubSección]),ROW(Leccion[SubSección]))),ROW(BW10))),"")</f>
        <v/>
      </c>
      <c r="BY11" s="51" t="str">
        <f t="array" aca="1" ref="BY11" ca="1">IFERROR(INDEX(Leccion[selectorLeccion],SMALL(IF(BY$1=Leccion[SubSección],MATCH(ROW(Leccion[SubSección]),ROW(Leccion[SubSección]))),ROW(BX10))),"")</f>
        <v/>
      </c>
      <c r="BZ11" s="51" t="str">
        <f t="array" aca="1" ref="BZ11" ca="1">IFERROR(INDEX(Leccion[selectorLeccion],SMALL(IF(BZ$1=Leccion[SubSección],MATCH(ROW(Leccion[SubSección]),ROW(Leccion[SubSección]))),ROW(BY10))),"")</f>
        <v/>
      </c>
      <c r="CA11" s="51" t="str">
        <f t="array" aca="1" ref="CA11" ca="1">IFERROR(INDEX(Leccion[selectorLeccion],SMALL(IF(CA$1=Leccion[SubSección],MATCH(ROW(Leccion[SubSección]),ROW(Leccion[SubSección]))),ROW(BZ10))),"")</f>
        <v/>
      </c>
      <c r="CB11" s="51" t="str">
        <f t="array" aca="1" ref="CB11" ca="1">IFERROR(INDEX(Leccion[selectorLeccion],SMALL(IF(CB$1=Leccion[SubSección],MATCH(ROW(Leccion[SubSección]),ROW(Leccion[SubSección]))),ROW(CA10))),"")</f>
        <v/>
      </c>
      <c r="CC11" s="51" t="str">
        <f t="array" aca="1" ref="CC11" ca="1">IFERROR(INDEX(Leccion[selectorLeccion],SMALL(IF(CC$1=Leccion[SubSección],MATCH(ROW(Leccion[SubSección]),ROW(Leccion[SubSección]))),ROW(CB10))),"")</f>
        <v/>
      </c>
      <c r="CD11" s="51" t="str">
        <f t="array" aca="1" ref="CD11" ca="1">IFERROR(INDEX(Leccion[selectorLeccion],SMALL(IF(CD$1=Leccion[SubSección],MATCH(ROW(Leccion[SubSección]),ROW(Leccion[SubSección]))),ROW(CC10))),"")</f>
        <v/>
      </c>
      <c r="CE11" s="51" t="str">
        <f t="array" aca="1" ref="CE11" ca="1">IFERROR(INDEX(Leccion[selectorLeccion],SMALL(IF(CE$1=Leccion[SubSección],MATCH(ROW(Leccion[SubSección]),ROW(Leccion[SubSección]))),ROW(CD10))),"")</f>
        <v/>
      </c>
      <c r="CF11" s="51" t="str">
        <f t="array" aca="1" ref="CF11" ca="1">IFERROR(INDEX(Leccion[selectorLeccion],SMALL(IF(CF$1=Leccion[SubSección],MATCH(ROW(Leccion[SubSección]),ROW(Leccion[SubSección]))),ROW(CE10))),"")</f>
        <v/>
      </c>
      <c r="CG11" s="51" t="str">
        <f t="array" aca="1" ref="CG11" ca="1">IFERROR(INDEX(Leccion[selectorLeccion],SMALL(IF(CG$1=Leccion[SubSección],MATCH(ROW(Leccion[SubSección]),ROW(Leccion[SubSección]))),ROW(CF10))),"")</f>
        <v/>
      </c>
      <c r="CH11" s="51" t="str">
        <f t="array" aca="1" ref="CH11" ca="1">IFERROR(INDEX(Leccion[selectorLeccion],SMALL(IF(CH$1=Leccion[SubSección],MATCH(ROW(Leccion[SubSección]),ROW(Leccion[SubSección]))),ROW(CG10))),"")</f>
        <v/>
      </c>
      <c r="CI11" s="51" t="str">
        <f t="array" aca="1" ref="CI11" ca="1">IFERROR(INDEX(Leccion[selectorLeccion],SMALL(IF(CI$1=Leccion[SubSección],MATCH(ROW(Leccion[SubSección]),ROW(Leccion[SubSección]))),ROW(CH10))),"")</f>
        <v/>
      </c>
      <c r="CJ11" s="51" t="str">
        <f t="array" aca="1" ref="CJ11" ca="1">IFERROR(INDEX(Leccion[selectorLeccion],SMALL(IF(CJ$1=Leccion[SubSección],MATCH(ROW(Leccion[SubSección]),ROW(Leccion[SubSección]))),ROW(CI10))),"")</f>
        <v/>
      </c>
      <c r="CK11" s="51" t="str">
        <f t="array" aca="1" ref="CK11" ca="1">IFERROR(INDEX(Leccion[selectorLeccion],SMALL(IF(CK$1=Leccion[SubSección],MATCH(ROW(Leccion[SubSección]),ROW(Leccion[SubSección]))),ROW(CJ10))),"")</f>
        <v/>
      </c>
      <c r="CL11" s="51" t="str">
        <f t="array" aca="1" ref="CL11" ca="1">IFERROR(INDEX(Leccion[selectorLeccion],SMALL(IF(CL$1=Leccion[SubSección],MATCH(ROW(Leccion[SubSección]),ROW(Leccion[SubSección]))),ROW(CK10))),"")</f>
        <v/>
      </c>
      <c r="CM11" s="51" t="str">
        <f t="array" aca="1" ref="CM11" ca="1">IFERROR(INDEX(Leccion[selectorLeccion],SMALL(IF(CM$1=Leccion[SubSección],MATCH(ROW(Leccion[SubSección]),ROW(Leccion[SubSección]))),ROW(CL10))),"")</f>
        <v/>
      </c>
      <c r="CN11" s="51" t="str">
        <f t="array" aca="1" ref="CN11" ca="1">IFERROR(INDEX(Leccion[selectorLeccion],SMALL(IF(CN$1=Leccion[SubSección],MATCH(ROW(Leccion[SubSección]),ROW(Leccion[SubSección]))),ROW(CM10))),"")</f>
        <v/>
      </c>
      <c r="CO11" s="51" t="str">
        <f t="array" aca="1" ref="CO11" ca="1">IFERROR(INDEX(Leccion[selectorLeccion],SMALL(IF(CO$1=Leccion[SubSección],MATCH(ROW(Leccion[SubSección]),ROW(Leccion[SubSección]))),ROW(CN10))),"")</f>
        <v/>
      </c>
      <c r="CP11" s="51" t="str">
        <f t="array" aca="1" ref="CP11" ca="1">IFERROR(INDEX(Leccion[selectorLeccion],SMALL(IF(CP$1=Leccion[SubSección],MATCH(ROW(Leccion[SubSección]),ROW(Leccion[SubSección]))),ROW(CO10))),"")</f>
        <v/>
      </c>
      <c r="CQ11" s="51" t="str">
        <f t="array" aca="1" ref="CQ11" ca="1">IFERROR(INDEX(Leccion[selectorLeccion],SMALL(IF(CQ$1=Leccion[SubSección],MATCH(ROW(Leccion[SubSección]),ROW(Leccion[SubSección]))),ROW(CP10))),"")</f>
        <v/>
      </c>
      <c r="CR11" s="51" t="str">
        <f t="array" aca="1" ref="CR11" ca="1">IFERROR(INDEX(Leccion[selectorLeccion],SMALL(IF(CR$1=Leccion[SubSección],MATCH(ROW(Leccion[SubSección]),ROW(Leccion[SubSección]))),ROW(CQ10))),"")</f>
        <v/>
      </c>
      <c r="CS11" s="51" t="str">
        <f t="array" aca="1" ref="CS11" ca="1">IFERROR(INDEX(Leccion[selectorLeccion],SMALL(IF(CS$1=Leccion[SubSección],MATCH(ROW(Leccion[SubSección]),ROW(Leccion[SubSección]))),ROW(CR10))),"")</f>
        <v/>
      </c>
      <c r="CT11" s="51" t="str">
        <f t="array" aca="1" ref="CT11" ca="1">IFERROR(INDEX(Leccion[selectorLeccion],SMALL(IF(CT$1=Leccion[SubSección],MATCH(ROW(Leccion[SubSección]),ROW(Leccion[SubSección]))),ROW(CS10))),"")</f>
        <v/>
      </c>
      <c r="CU11" s="51" t="str">
        <f t="array" aca="1" ref="CU11" ca="1">IFERROR(INDEX(Leccion[selectorLeccion],SMALL(IF(CU$1=Leccion[SubSección],MATCH(ROW(Leccion[SubSección]),ROW(Leccion[SubSección]))),ROW(CT10))),"")</f>
        <v/>
      </c>
      <c r="CV11" s="51" t="str">
        <f t="array" aca="1" ref="CV11" ca="1">IFERROR(INDEX(Leccion[selectorLeccion],SMALL(IF(CV$1=Leccion[SubSección],MATCH(ROW(Leccion[SubSección]),ROW(Leccion[SubSección]))),ROW(CU10))),"")</f>
        <v/>
      </c>
      <c r="CW11" s="51" t="str">
        <f t="array" aca="1" ref="CW11" ca="1">IFERROR(INDEX(Leccion[selectorLeccion],SMALL(IF(CW$1=Leccion[SubSección],MATCH(ROW(Leccion[SubSección]),ROW(Leccion[SubSección]))),ROW(CV10))),"")</f>
        <v/>
      </c>
      <c r="CX11" s="51" t="str">
        <f t="array" aca="1" ref="CX11" ca="1">IFERROR(INDEX(Leccion[selectorLeccion],SMALL(IF(CX$1=Leccion[SubSección],MATCH(ROW(Leccion[SubSección]),ROW(Leccion[SubSección]))),ROW(CW10))),"")</f>
        <v/>
      </c>
      <c r="CY11" s="51" t="str">
        <f t="array" aca="1" ref="CY11" ca="1">IFERROR(INDEX(Leccion[selectorLeccion],SMALL(IF(CY$1=Leccion[SubSección],MATCH(ROW(Leccion[SubSección]),ROW(Leccion[SubSección]))),ROW(CX10))),"")</f>
        <v/>
      </c>
      <c r="CZ11" s="51" t="str">
        <f t="array" aca="1" ref="CZ11" ca="1">IFERROR(INDEX(Leccion[selectorLeccion],SMALL(IF(CZ$1=Leccion[SubSección],MATCH(ROW(Leccion[SubSección]),ROW(Leccion[SubSección]))),ROW(CY10))),"")</f>
        <v/>
      </c>
      <c r="DA11" s="51" t="str">
        <f t="array" aca="1" ref="DA11" ca="1">IFERROR(INDEX(Leccion[selectorLeccion],SMALL(IF(DA$1=Leccion[SubSección],MATCH(ROW(Leccion[SubSección]),ROW(Leccion[SubSección]))),ROW(CZ10))),"")</f>
        <v/>
      </c>
      <c r="DB11" s="51" t="str">
        <f t="array" aca="1" ref="DB11" ca="1">IFERROR(INDEX(Leccion[selectorLeccion],SMALL(IF(DB$1=Leccion[SubSección],MATCH(ROW(Leccion[SubSección]),ROW(Leccion[SubSección]))),ROW(DA10))),"")</f>
        <v/>
      </c>
      <c r="DC11" s="51" t="str">
        <f t="array" aca="1" ref="DC11" ca="1">IFERROR(INDEX(Leccion[selectorLeccion],SMALL(IF(DC$1=Leccion[SubSección],MATCH(ROW(Leccion[SubSección]),ROW(Leccion[SubSección]))),ROW(DB10))),"")</f>
        <v/>
      </c>
      <c r="DD11" s="51" t="str">
        <f t="array" aca="1" ref="DD11" ca="1">IFERROR(INDEX(Leccion[selectorLeccion],SMALL(IF(DD$1=Leccion[SubSección],MATCH(ROW(Leccion[SubSección]),ROW(Leccion[SubSección]))),ROW(DC10))),"")</f>
        <v/>
      </c>
      <c r="DE11" s="51" t="str">
        <f t="array" aca="1" ref="DE11" ca="1">IFERROR(INDEX(Leccion[selectorLeccion],SMALL(IF(DE$1=Leccion[SubSección],MATCH(ROW(Leccion[SubSección]),ROW(Leccion[SubSección]))),ROW(DD10))),"")</f>
        <v/>
      </c>
      <c r="DF11" s="51" t="str">
        <f t="array" aca="1" ref="DF11" ca="1">IFERROR(INDEX(Leccion[selectorLeccion],SMALL(IF(DF$1=Leccion[SubSección],MATCH(ROW(Leccion[SubSección]),ROW(Leccion[SubSección]))),ROW(DE10))),"")</f>
        <v/>
      </c>
      <c r="DG11" s="51" t="str">
        <f t="array" aca="1" ref="DG11" ca="1">IFERROR(INDEX(Leccion[selectorLeccion],SMALL(IF(DG$1=Leccion[SubSección],MATCH(ROW(Leccion[SubSección]),ROW(Leccion[SubSección]))),ROW(DF10))),"")</f>
        <v/>
      </c>
      <c r="DH11" s="51" t="str">
        <f t="array" aca="1" ref="DH11" ca="1">IFERROR(INDEX(Leccion[selectorLeccion],SMALL(IF(DH$1=Leccion[SubSección],MATCH(ROW(Leccion[SubSección]),ROW(Leccion[SubSección]))),ROW(DG10))),"")</f>
        <v/>
      </c>
      <c r="DI11" s="51" t="str">
        <f t="array" aca="1" ref="DI11" ca="1">IFERROR(INDEX(Leccion[selectorLeccion],SMALL(IF(DI$1=Leccion[SubSección],MATCH(ROW(Leccion[SubSección]),ROW(Leccion[SubSección]))),ROW(DH10))),"")</f>
        <v/>
      </c>
      <c r="DJ11" s="51" t="str">
        <f t="array" aca="1" ref="DJ11" ca="1">IFERROR(INDEX(Leccion[selectorLeccion],SMALL(IF(DJ$1=Leccion[SubSección],MATCH(ROW(Leccion[SubSección]),ROW(Leccion[SubSección]))),ROW(DI10))),"")</f>
        <v/>
      </c>
      <c r="DK11" s="51" t="str">
        <f t="array" aca="1" ref="DK11" ca="1">IFERROR(INDEX(Leccion[selectorLeccion],SMALL(IF(DK$1=Leccion[SubSección],MATCH(ROW(Leccion[SubSección]),ROW(Leccion[SubSección]))),ROW(DJ10))),"")</f>
        <v/>
      </c>
      <c r="DL11" s="51" t="str">
        <f t="array" aca="1" ref="DL11" ca="1">IFERROR(INDEX(Leccion[selectorLeccion],SMALL(IF(DL$1=Leccion[SubSección],MATCH(ROW(Leccion[SubSección]),ROW(Leccion[SubSección]))),ROW(DK10))),"")</f>
        <v/>
      </c>
      <c r="DM11" s="51" t="str">
        <f t="array" aca="1" ref="DM11" ca="1">IFERROR(INDEX(Leccion[selectorLeccion],SMALL(IF(DM$1=Leccion[SubSección],MATCH(ROW(Leccion[SubSección]),ROW(Leccion[SubSección]))),ROW(DL10))),"")</f>
        <v/>
      </c>
      <c r="DN11" s="51" t="str">
        <f t="array" aca="1" ref="DN11" ca="1">IFERROR(INDEX(Leccion[selectorLeccion],SMALL(IF(DN$1=Leccion[SubSección],MATCH(ROW(Leccion[SubSección]),ROW(Leccion[SubSección]))),ROW(DM10))),"")</f>
        <v/>
      </c>
      <c r="DO11" s="51" t="str">
        <f t="array" aca="1" ref="DO11" ca="1">IFERROR(INDEX(Leccion[selectorLeccion],SMALL(IF(DO$1=Leccion[SubSección],MATCH(ROW(Leccion[SubSección]),ROW(Leccion[SubSección]))),ROW(DN10))),"")</f>
        <v/>
      </c>
      <c r="DP11" s="51" t="str">
        <f t="array" aca="1" ref="DP11" ca="1">IFERROR(INDEX(Leccion[selectorLeccion],SMALL(IF(DP$1=Leccion[SubSección],MATCH(ROW(Leccion[SubSección]),ROW(Leccion[SubSección]))),ROW(DO10))),"")</f>
        <v/>
      </c>
      <c r="DQ11" s="51" t="str">
        <f t="array" aca="1" ref="DQ11" ca="1">IFERROR(INDEX(Leccion[selectorLeccion],SMALL(IF(DQ$1=Leccion[SubSección],MATCH(ROW(Leccion[SubSección]),ROW(Leccion[SubSección]))),ROW(DP10))),"")</f>
        <v/>
      </c>
      <c r="DR11" s="51" t="str">
        <f t="array" aca="1" ref="DR11" ca="1">IFERROR(INDEX(Leccion[selectorLeccion],SMALL(IF(DR$1=Leccion[SubSección],MATCH(ROW(Leccion[SubSección]),ROW(Leccion[SubSección]))),ROW(DQ10))),"")</f>
        <v/>
      </c>
      <c r="DS11" s="51" t="str">
        <f t="array" aca="1" ref="DS11" ca="1">IFERROR(INDEX(Leccion[selectorLeccion],SMALL(IF(DS$1=Leccion[SubSección],MATCH(ROW(Leccion[SubSección]),ROW(Leccion[SubSección]))),ROW(DR10))),"")</f>
        <v/>
      </c>
      <c r="DT11" s="51" t="str">
        <f t="array" aca="1" ref="DT11" ca="1">IFERROR(INDEX(Leccion[selectorLeccion],SMALL(IF(DT$1=Leccion[SubSección],MATCH(ROW(Leccion[SubSección]),ROW(Leccion[SubSección]))),ROW(DS10))),"")</f>
        <v/>
      </c>
      <c r="DU11" s="51" t="str">
        <f t="array" aca="1" ref="DU11" ca="1">IFERROR(INDEX(Leccion[selectorLeccion],SMALL(IF(DU$1=Leccion[SubSección],MATCH(ROW(Leccion[SubSección]),ROW(Leccion[SubSección]))),ROW(DT10))),"")</f>
        <v/>
      </c>
      <c r="DV11" s="51" t="str">
        <f t="array" aca="1" ref="DV11" ca="1">IFERROR(INDEX(Leccion[selectorLeccion],SMALL(IF(DV$1=Leccion[SubSección],MATCH(ROW(Leccion[SubSección]),ROW(Leccion[SubSección]))),ROW(DU10))),"")</f>
        <v/>
      </c>
      <c r="DW11" s="51" t="str">
        <f t="array" aca="1" ref="DW11" ca="1">IFERROR(INDEX(Leccion[selectorLeccion],SMALL(IF(DW$1=Leccion[SubSección],MATCH(ROW(Leccion[SubSección]),ROW(Leccion[SubSección]))),ROW(DV10))),"")</f>
        <v/>
      </c>
      <c r="DX11" s="51" t="str">
        <f t="array" aca="1" ref="DX11" ca="1">IFERROR(INDEX(Leccion[selectorLeccion],SMALL(IF(DX$1=Leccion[SubSección],MATCH(ROW(Leccion[SubSección]),ROW(Leccion[SubSección]))),ROW(DW10))),"")</f>
        <v/>
      </c>
      <c r="DY11" s="51" t="str">
        <f t="array" aca="1" ref="DY11" ca="1">IFERROR(INDEX(Leccion[selectorLeccion],SMALL(IF(DY$1=Leccion[SubSección],MATCH(ROW(Leccion[SubSección]),ROW(Leccion[SubSección]))),ROW(DX10))),"")</f>
        <v/>
      </c>
      <c r="DZ11" s="51" t="str">
        <f t="array" aca="1" ref="DZ11" ca="1">IFERROR(INDEX(Leccion[selectorLeccion],SMALL(IF(DZ$1=Leccion[SubSección],MATCH(ROW(Leccion[SubSección]),ROW(Leccion[SubSección]))),ROW(DY10))),"")</f>
        <v/>
      </c>
      <c r="EA11" s="51" t="str">
        <f t="array" aca="1" ref="EA11" ca="1">IFERROR(INDEX(Leccion[selectorLeccion],SMALL(IF(EA$1=Leccion[SubSección],MATCH(ROW(Leccion[SubSección]),ROW(Leccion[SubSección]))),ROW(DZ10))),"")</f>
        <v/>
      </c>
      <c r="EB11" s="51" t="str">
        <f t="array" aca="1" ref="EB11" ca="1">IFERROR(INDEX(Leccion[selectorLeccion],SMALL(IF(EB$1=Leccion[SubSección],MATCH(ROW(Leccion[SubSección]),ROW(Leccion[SubSección]))),ROW(EA10))),"")</f>
        <v/>
      </c>
      <c r="EC11" s="51" t="str">
        <f t="array" aca="1" ref="EC11" ca="1">IFERROR(INDEX(Leccion[selectorLeccion],SMALL(IF(EC$1=Leccion[SubSección],MATCH(ROW(Leccion[SubSección]),ROW(Leccion[SubSección]))),ROW(EB10))),"")</f>
        <v/>
      </c>
      <c r="ED11" s="51" t="str">
        <f t="array" aca="1" ref="ED11" ca="1">IFERROR(INDEX(Leccion[selectorLeccion],SMALL(IF(ED$1=Leccion[SubSección],MATCH(ROW(Leccion[SubSección]),ROW(Leccion[SubSección]))),ROW(EC10))),"")</f>
        <v/>
      </c>
      <c r="EE11" s="51" t="str">
        <f t="array" aca="1" ref="EE11" ca="1">IFERROR(INDEX(Leccion[selectorLeccion],SMALL(IF(EE$1=Leccion[SubSección],MATCH(ROW(Leccion[SubSección]),ROW(Leccion[SubSección]))),ROW(ED10))),"")</f>
        <v/>
      </c>
      <c r="EF11" s="51" t="str">
        <f t="array" aca="1" ref="EF11" ca="1">IFERROR(INDEX(Leccion[selectorLeccion],SMALL(IF(EF$1=Leccion[SubSección],MATCH(ROW(Leccion[SubSección]),ROW(Leccion[SubSección]))),ROW(EE10))),"")</f>
        <v/>
      </c>
      <c r="EG11" s="51" t="str">
        <f t="array" aca="1" ref="EG11" ca="1">IFERROR(INDEX(Leccion[selectorLeccion],SMALL(IF(EG$1=Leccion[SubSección],MATCH(ROW(Leccion[SubSección]),ROW(Leccion[SubSección]))),ROW(EF10))),"")</f>
        <v/>
      </c>
      <c r="EH11" s="51" t="str">
        <f t="array" aca="1" ref="EH11" ca="1">IFERROR(INDEX(Leccion[selectorLeccion],SMALL(IF(EH$1=Leccion[SubSección],MATCH(ROW(Leccion[SubSección]),ROW(Leccion[SubSección]))),ROW(EG10))),"")</f>
        <v/>
      </c>
      <c r="EI11" s="51" t="str">
        <f t="array" aca="1" ref="EI11" ca="1">IFERROR(INDEX(Leccion[selectorLeccion],SMALL(IF(EI$1=Leccion[SubSección],MATCH(ROW(Leccion[SubSección]),ROW(Leccion[SubSección]))),ROW(EH10))),"")</f>
        <v/>
      </c>
      <c r="EJ11" s="51" t="str">
        <f t="array" aca="1" ref="EJ11" ca="1">IFERROR(INDEX(Leccion[selectorLeccion],SMALL(IF(EJ$1=Leccion[SubSección],MATCH(ROW(Leccion[SubSección]),ROW(Leccion[SubSección]))),ROW(EI10))),"")</f>
        <v/>
      </c>
      <c r="EK11" s="51" t="str">
        <f t="array" aca="1" ref="EK11" ca="1">IFERROR(INDEX(Leccion[selectorLeccion],SMALL(IF(EK$1=Leccion[SubSección],MATCH(ROW(Leccion[SubSección]),ROW(Leccion[SubSección]))),ROW(EJ10))),"")</f>
        <v/>
      </c>
      <c r="EL11" s="51" t="str">
        <f t="array" aca="1" ref="EL11" ca="1">IFERROR(INDEX(Leccion[selectorLeccion],SMALL(IF(EL$1=Leccion[SubSección],MATCH(ROW(Leccion[SubSección]),ROW(Leccion[SubSección]))),ROW(EK10))),"")</f>
        <v/>
      </c>
      <c r="EM11" s="51" t="str">
        <f t="array" aca="1" ref="EM11" ca="1">IFERROR(INDEX(Leccion[selectorLeccion],SMALL(IF(EM$1=Leccion[SubSección],MATCH(ROW(Leccion[SubSección]),ROW(Leccion[SubSección]))),ROW(EL10))),"")</f>
        <v/>
      </c>
      <c r="EN11" s="51" t="str">
        <f t="array" aca="1" ref="EN11" ca="1">IFERROR(INDEX(Leccion[selectorLeccion],SMALL(IF(EN$1=Leccion[SubSección],MATCH(ROW(Leccion[SubSección]),ROW(Leccion[SubSección]))),ROW(EM10))),"")</f>
        <v/>
      </c>
      <c r="EO11" s="51" t="str">
        <f t="array" aca="1" ref="EO11" ca="1">IFERROR(INDEX(Leccion[selectorLeccion],SMALL(IF(EO$1=Leccion[SubSección],MATCH(ROW(Leccion[SubSección]),ROW(Leccion[SubSección]))),ROW(EN10))),"")</f>
        <v/>
      </c>
      <c r="EP11" s="51" t="str">
        <f t="array" aca="1" ref="EP11" ca="1">IFERROR(INDEX(Leccion[selectorLeccion],SMALL(IF(EP$1=Leccion[SubSección],MATCH(ROW(Leccion[SubSección]),ROW(Leccion[SubSección]))),ROW(EO10))),"")</f>
        <v/>
      </c>
      <c r="EQ11" s="51" t="str">
        <f t="array" aca="1" ref="EQ11" ca="1">IFERROR(INDEX(Leccion[selectorLeccion],SMALL(IF(EQ$1=Leccion[SubSección],MATCH(ROW(Leccion[SubSección]),ROW(Leccion[SubSección]))),ROW(EP10))),"")</f>
        <v/>
      </c>
      <c r="ER11" s="51" t="str">
        <f t="array" aca="1" ref="ER11" ca="1">IFERROR(INDEX(Leccion[selectorLeccion],SMALL(IF(ER$1=Leccion[SubSección],MATCH(ROW(Leccion[SubSección]),ROW(Leccion[SubSección]))),ROW(EQ10))),"")</f>
        <v/>
      </c>
      <c r="ES11" s="51" t="str">
        <f t="array" aca="1" ref="ES11" ca="1">IFERROR(INDEX(Leccion[selectorLeccion],SMALL(IF(ES$1=Leccion[SubSección],MATCH(ROW(Leccion[SubSección]),ROW(Leccion[SubSección]))),ROW(ER10))),"")</f>
        <v/>
      </c>
      <c r="ET11" s="51" t="str">
        <f t="array" aca="1" ref="ET11" ca="1">IFERROR(INDEX(Leccion[selectorLeccion],SMALL(IF(ET$1=Leccion[SubSección],MATCH(ROW(Leccion[SubSección]),ROW(Leccion[SubSección]))),ROW(ES10))),"")</f>
        <v/>
      </c>
      <c r="EU11" s="51" t="str">
        <f t="array" aca="1" ref="EU11" ca="1">IFERROR(INDEX(Leccion[selectorLeccion],SMALL(IF(EU$1=Leccion[SubSección],MATCH(ROW(Leccion[SubSección]),ROW(Leccion[SubSección]))),ROW(ET10))),"")</f>
        <v/>
      </c>
      <c r="EV11" s="51" t="str">
        <f t="array" aca="1" ref="EV11" ca="1">IFERROR(INDEX(Leccion[selectorLeccion],SMALL(IF(EV$1=Leccion[SubSección],MATCH(ROW(Leccion[SubSección]),ROW(Leccion[SubSección]))),ROW(EU10))),"")</f>
        <v/>
      </c>
      <c r="EW11" s="51" t="str">
        <f t="array" aca="1" ref="EW11" ca="1">IFERROR(INDEX(Leccion[selectorLeccion],SMALL(IF(EW$1=Leccion[SubSección],MATCH(ROW(Leccion[SubSección]),ROW(Leccion[SubSección]))),ROW(EV10))),"")</f>
        <v/>
      </c>
      <c r="EX11" s="51" t="str">
        <f t="array" aca="1" ref="EX11" ca="1">IFERROR(INDEX(Leccion[selectorLeccion],SMALL(IF(EX$1=Leccion[SubSección],MATCH(ROW(Leccion[SubSección]),ROW(Leccion[SubSección]))),ROW(EW10))),"")</f>
        <v/>
      </c>
      <c r="EY11" s="51" t="str">
        <f t="array" aca="1" ref="EY11" ca="1">IFERROR(INDEX(Leccion[selectorLeccion],SMALL(IF(EY$1=Leccion[SubSección],MATCH(ROW(Leccion[SubSección]),ROW(Leccion[SubSección]))),ROW(EX10))),"")</f>
        <v/>
      </c>
      <c r="EZ11" s="51" t="str">
        <f t="array" aca="1" ref="EZ11" ca="1">IFERROR(INDEX(Leccion[selectorLeccion],SMALL(IF(EZ$1=Leccion[SubSección],MATCH(ROW(Leccion[SubSección]),ROW(Leccion[SubSección]))),ROW(EY10))),"")</f>
        <v/>
      </c>
    </row>
    <row r="12" spans="2:156" x14ac:dyDescent="0.3">
      <c r="B12" s="51" t="str">
        <f t="array" aca="1" ref="B12" ca="1">IFERROR(INDEX(Leccion[selectorLeccion],SMALL(IF(B$1=Leccion[SubSección],MATCH(ROW(Leccion[SubSección]),ROW(Leccion[SubSección]))),ROW(A11))),"")</f>
        <v/>
      </c>
      <c r="C12" s="51" t="str">
        <f t="array" aca="1" ref="C12" ca="1">IFERROR(INDEX(Leccion[selectorLeccion],SMALL(IF(C$1=Leccion[SubSección],MATCH(ROW(Leccion[SubSección]),ROW(Leccion[SubSección]))),ROW(B11))),"")</f>
        <v/>
      </c>
      <c r="D12" s="51" t="str">
        <f t="array" aca="1" ref="D12" ca="1">IFERROR(INDEX(Leccion[selectorLeccion],SMALL(IF(D$1=Leccion[SubSección],MATCH(ROW(Leccion[SubSección]),ROW(Leccion[SubSección]))),ROW(C11))),"")</f>
        <v/>
      </c>
      <c r="E12" s="51" t="str">
        <f t="array" aca="1" ref="E12" ca="1">IFERROR(INDEX(Leccion[selectorLeccion],SMALL(IF(E$1=Leccion[SubSección],MATCH(ROW(Leccion[SubSección]),ROW(Leccion[SubSección]))),ROW(D11))),"")</f>
        <v/>
      </c>
      <c r="F12" s="51" t="str">
        <f t="array" aca="1" ref="F12" ca="1">IFERROR(INDEX(Leccion[selectorLeccion],SMALL(IF(F$1=Leccion[SubSección],MATCH(ROW(Leccion[SubSección]),ROW(Leccion[SubSección]))),ROW(E11))),"")</f>
        <v/>
      </c>
      <c r="G12" s="51" t="str">
        <f t="array" aca="1" ref="G12" ca="1">IFERROR(INDEX(Leccion[selectorLeccion],SMALL(IF(G$1=Leccion[SubSección],MATCH(ROW(Leccion[SubSección]),ROW(Leccion[SubSección]))),ROW(F11))),"")</f>
        <v/>
      </c>
      <c r="H12" s="51" t="str">
        <f t="array" aca="1" ref="H12" ca="1">IFERROR(INDEX(Leccion[selectorLeccion],SMALL(IF(H$1=Leccion[SubSección],MATCH(ROW(Leccion[SubSección]),ROW(Leccion[SubSección]))),ROW(G11))),"")</f>
        <v/>
      </c>
      <c r="I12" s="51" t="str">
        <f t="array" aca="1" ref="I12" ca="1">IFERROR(INDEX(Leccion[selectorLeccion],SMALL(IF(I$1=Leccion[SubSección],MATCH(ROW(Leccion[SubSección]),ROW(Leccion[SubSección]))),ROW(H11))),"")</f>
        <v/>
      </c>
      <c r="J12" s="51" t="str">
        <f t="array" aca="1" ref="J12" ca="1">IFERROR(INDEX(Leccion[selectorLeccion],SMALL(IF(J$1=Leccion[SubSección],MATCH(ROW(Leccion[SubSección]),ROW(Leccion[SubSección]))),ROW(I11))),"")</f>
        <v/>
      </c>
      <c r="K12" s="51" t="str">
        <f t="array" aca="1" ref="K12" ca="1">IFERROR(INDEX(Leccion[selectorLeccion],SMALL(IF(K$1=Leccion[SubSección],MATCH(ROW(Leccion[SubSección]),ROW(Leccion[SubSección]))),ROW(J11))),"")</f>
        <v/>
      </c>
      <c r="L12" s="51" t="str">
        <f t="array" aca="1" ref="L12" ca="1">IFERROR(INDEX(Leccion[selectorLeccion],SMALL(IF(L$1=Leccion[SubSección],MATCH(ROW(Leccion[SubSección]),ROW(Leccion[SubSección]))),ROW(K11))),"")</f>
        <v/>
      </c>
      <c r="M12" s="51" t="str">
        <f t="array" aca="1" ref="M12" ca="1">IFERROR(INDEX(Leccion[selectorLeccion],SMALL(IF(M$1=Leccion[SubSección],MATCH(ROW(Leccion[SubSección]),ROW(Leccion[SubSección]))),ROW(L11))),"")</f>
        <v/>
      </c>
      <c r="N12" s="51" t="str">
        <f t="array" aca="1" ref="N12" ca="1">IFERROR(INDEX(Leccion[selectorLeccion],SMALL(IF(N$1=Leccion[SubSección],MATCH(ROW(Leccion[SubSección]),ROW(Leccion[SubSección]))),ROW(M11))),"")</f>
        <v/>
      </c>
      <c r="O12" s="51" t="str">
        <f t="array" aca="1" ref="O12" ca="1">IFERROR(INDEX(Leccion[selectorLeccion],SMALL(IF(O$1=Leccion[SubSección],MATCH(ROW(Leccion[SubSección]),ROW(Leccion[SubSección]))),ROW(N11))),"")</f>
        <v/>
      </c>
      <c r="P12" s="51" t="str">
        <f t="array" aca="1" ref="P12" ca="1">IFERROR(INDEX(Leccion[selectorLeccion],SMALL(IF(P$1=Leccion[SubSección],MATCH(ROW(Leccion[SubSección]),ROW(Leccion[SubSección]))),ROW(O11))),"")</f>
        <v/>
      </c>
      <c r="Q12" s="51" t="str">
        <f t="array" aca="1" ref="Q12" ca="1">IFERROR(INDEX(Leccion[selectorLeccion],SMALL(IF(Q$1=Leccion[SubSección],MATCH(ROW(Leccion[SubSección]),ROW(Leccion[SubSección]))),ROW(P11))),"")</f>
        <v/>
      </c>
      <c r="R12" s="51" t="str">
        <f t="array" aca="1" ref="R12" ca="1">IFERROR(INDEX(Leccion[selectorLeccion],SMALL(IF(R$1=Leccion[SubSección],MATCH(ROW(Leccion[SubSección]),ROW(Leccion[SubSección]))),ROW(Q11))),"")</f>
        <v/>
      </c>
      <c r="S12" s="51" t="str">
        <f t="array" aca="1" ref="S12" ca="1">IFERROR(INDEX(Leccion[selectorLeccion],SMALL(IF(S$1=Leccion[SubSección],MATCH(ROW(Leccion[SubSección]),ROW(Leccion[SubSección]))),ROW(R11))),"")</f>
        <v/>
      </c>
      <c r="T12" s="51" t="str">
        <f t="array" aca="1" ref="T12" ca="1">IFERROR(INDEX(Leccion[selectorLeccion],SMALL(IF(T$1=Leccion[SubSección],MATCH(ROW(Leccion[SubSección]),ROW(Leccion[SubSección]))),ROW(S11))),"")</f>
        <v/>
      </c>
      <c r="U12" s="51" t="str">
        <f t="array" aca="1" ref="U12" ca="1">IFERROR(INDEX(Leccion[selectorLeccion],SMALL(IF(U$1=Leccion[SubSección],MATCH(ROW(Leccion[SubSección]),ROW(Leccion[SubSección]))),ROW(T11))),"")</f>
        <v/>
      </c>
      <c r="V12" s="51" t="str">
        <f t="array" aca="1" ref="V12" ca="1">IFERROR(INDEX(Leccion[selectorLeccion],SMALL(IF(V$1=Leccion[SubSección],MATCH(ROW(Leccion[SubSección]),ROW(Leccion[SubSección]))),ROW(U11))),"")</f>
        <v/>
      </c>
      <c r="W12" s="51" t="str">
        <f t="array" aca="1" ref="W12" ca="1">IFERROR(INDEX(Leccion[selectorLeccion],SMALL(IF(W$1=Leccion[SubSección],MATCH(ROW(Leccion[SubSección]),ROW(Leccion[SubSección]))),ROW(V11))),"")</f>
        <v/>
      </c>
      <c r="X12" s="51" t="str">
        <f t="array" aca="1" ref="X12" ca="1">IFERROR(INDEX(Leccion[selectorLeccion],SMALL(IF(X$1=Leccion[SubSección],MATCH(ROW(Leccion[SubSección]),ROW(Leccion[SubSección]))),ROW(W11))),"")</f>
        <v/>
      </c>
      <c r="Y12" s="51" t="str">
        <f t="array" aca="1" ref="Y12" ca="1">IFERROR(INDEX(Leccion[selectorLeccion],SMALL(IF(Y$1=Leccion[SubSección],MATCH(ROW(Leccion[SubSección]),ROW(Leccion[SubSección]))),ROW(X11))),"")</f>
        <v/>
      </c>
      <c r="Z12" s="51" t="str">
        <f t="array" aca="1" ref="Z12" ca="1">IFERROR(INDEX(Leccion[selectorLeccion],SMALL(IF(Z$1=Leccion[SubSección],MATCH(ROW(Leccion[SubSección]),ROW(Leccion[SubSección]))),ROW(Y11))),"")</f>
        <v/>
      </c>
      <c r="AA12" s="51" t="str">
        <f t="array" aca="1" ref="AA12" ca="1">IFERROR(INDEX(Leccion[selectorLeccion],SMALL(IF(AA$1=Leccion[SubSección],MATCH(ROW(Leccion[SubSección]),ROW(Leccion[SubSección]))),ROW(Z11))),"")</f>
        <v/>
      </c>
      <c r="AB12" s="51" t="str">
        <f t="array" aca="1" ref="AB12" ca="1">IFERROR(INDEX(Leccion[selectorLeccion],SMALL(IF(AB$1=Leccion[SubSección],MATCH(ROW(Leccion[SubSección]),ROW(Leccion[SubSección]))),ROW(AA11))),"")</f>
        <v/>
      </c>
      <c r="AC12" s="51" t="str">
        <f t="array" aca="1" ref="AC12" ca="1">IFERROR(INDEX(Leccion[selectorLeccion],SMALL(IF(AC$1=Leccion[SubSección],MATCH(ROW(Leccion[SubSección]),ROW(Leccion[SubSección]))),ROW(AB11))),"")</f>
        <v/>
      </c>
      <c r="AD12" s="51" t="str">
        <f t="array" aca="1" ref="AD12" ca="1">IFERROR(INDEX(Leccion[selectorLeccion],SMALL(IF(AD$1=Leccion[SubSección],MATCH(ROW(Leccion[SubSección]),ROW(Leccion[SubSección]))),ROW(AC11))),"")</f>
        <v/>
      </c>
      <c r="AE12" s="51" t="str">
        <f t="array" aca="1" ref="AE12" ca="1">IFERROR(INDEX(Leccion[selectorLeccion],SMALL(IF(AE$1=Leccion[SubSección],MATCH(ROW(Leccion[SubSección]),ROW(Leccion[SubSección]))),ROW(AD11))),"")</f>
        <v/>
      </c>
      <c r="AF12" s="51" t="str">
        <f t="array" aca="1" ref="AF12" ca="1">IFERROR(INDEX(Leccion[selectorLeccion],SMALL(IF(AF$1=Leccion[SubSección],MATCH(ROW(Leccion[SubSección]),ROW(Leccion[SubSección]))),ROW(AE11))),"")</f>
        <v/>
      </c>
      <c r="AG12" s="51" t="str">
        <f t="array" aca="1" ref="AG12" ca="1">IFERROR(INDEX(Leccion[selectorLeccion],SMALL(IF(AG$1=Leccion[SubSección],MATCH(ROW(Leccion[SubSección]),ROW(Leccion[SubSección]))),ROW(AF11))),"")</f>
        <v/>
      </c>
      <c r="AH12" s="51" t="str">
        <f t="array" aca="1" ref="AH12" ca="1">IFERROR(INDEX(Leccion[selectorLeccion],SMALL(IF(AH$1=Leccion[SubSección],MATCH(ROW(Leccion[SubSección]),ROW(Leccion[SubSección]))),ROW(AG11))),"")</f>
        <v/>
      </c>
      <c r="AI12" s="51" t="str">
        <f t="array" aca="1" ref="AI12" ca="1">IFERROR(INDEX(Leccion[selectorLeccion],SMALL(IF(AI$1=Leccion[SubSección],MATCH(ROW(Leccion[SubSección]),ROW(Leccion[SubSección]))),ROW(AH11))),"")</f>
        <v/>
      </c>
      <c r="AJ12" s="51" t="str">
        <f t="array" aca="1" ref="AJ12" ca="1">IFERROR(INDEX(Leccion[selectorLeccion],SMALL(IF(AJ$1=Leccion[SubSección],MATCH(ROW(Leccion[SubSección]),ROW(Leccion[SubSección]))),ROW(AI11))),"")</f>
        <v/>
      </c>
      <c r="AK12" s="51" t="str">
        <f t="array" aca="1" ref="AK12" ca="1">IFERROR(INDEX(Leccion[selectorLeccion],SMALL(IF(AK$1=Leccion[SubSección],MATCH(ROW(Leccion[SubSección]),ROW(Leccion[SubSección]))),ROW(AJ11))),"")</f>
        <v/>
      </c>
      <c r="AL12" s="51" t="str">
        <f t="array" aca="1" ref="AL12" ca="1">IFERROR(INDEX(Leccion[selectorLeccion],SMALL(IF(AL$1=Leccion[SubSección],MATCH(ROW(Leccion[SubSección]),ROW(Leccion[SubSección]))),ROW(AK11))),"")</f>
        <v/>
      </c>
      <c r="AM12" s="51" t="str">
        <f t="array" aca="1" ref="AM12" ca="1">IFERROR(INDEX(Leccion[selectorLeccion],SMALL(IF(AM$1=Leccion[SubSección],MATCH(ROW(Leccion[SubSección]),ROW(Leccion[SubSección]))),ROW(AL11))),"")</f>
        <v/>
      </c>
      <c r="AN12" s="51" t="str">
        <f t="array" aca="1" ref="AN12" ca="1">IFERROR(INDEX(Leccion[selectorLeccion],SMALL(IF(AN$1=Leccion[SubSección],MATCH(ROW(Leccion[SubSección]),ROW(Leccion[SubSección]))),ROW(AM11))),"")</f>
        <v/>
      </c>
      <c r="AO12" s="51" t="str">
        <f t="array" aca="1" ref="AO12" ca="1">IFERROR(INDEX(Leccion[selectorLeccion],SMALL(IF(AO$1=Leccion[SubSección],MATCH(ROW(Leccion[SubSección]),ROW(Leccion[SubSección]))),ROW(AN11))),"")</f>
        <v/>
      </c>
      <c r="AP12" s="51" t="str">
        <f t="array" aca="1" ref="AP12" ca="1">IFERROR(INDEX(Leccion[selectorLeccion],SMALL(IF(AP$1=Leccion[SubSección],MATCH(ROW(Leccion[SubSección]),ROW(Leccion[SubSección]))),ROW(AO11))),"")</f>
        <v/>
      </c>
      <c r="AQ12" s="51" t="str">
        <f t="array" aca="1" ref="AQ12" ca="1">IFERROR(INDEX(Leccion[selectorLeccion],SMALL(IF(AQ$1=Leccion[SubSección],MATCH(ROW(Leccion[SubSección]),ROW(Leccion[SubSección]))),ROW(AP11))),"")</f>
        <v/>
      </c>
      <c r="AR12" s="51" t="str">
        <f t="array" aca="1" ref="AR12" ca="1">IFERROR(INDEX(Leccion[selectorLeccion],SMALL(IF(AR$1=Leccion[SubSección],MATCH(ROW(Leccion[SubSección]),ROW(Leccion[SubSección]))),ROW(AQ11))),"")</f>
        <v/>
      </c>
      <c r="AS12" s="51" t="str">
        <f t="array" aca="1" ref="AS12" ca="1">IFERROR(INDEX(Leccion[selectorLeccion],SMALL(IF(AS$1=Leccion[SubSección],MATCH(ROW(Leccion[SubSección]),ROW(Leccion[SubSección]))),ROW(AR11))),"")</f>
        <v/>
      </c>
      <c r="AT12" s="51" t="str">
        <f t="array" aca="1" ref="AT12" ca="1">IFERROR(INDEX(Leccion[selectorLeccion],SMALL(IF(AT$1=Leccion[SubSección],MATCH(ROW(Leccion[SubSección]),ROW(Leccion[SubSección]))),ROW(AS11))),"")</f>
        <v/>
      </c>
      <c r="AU12" s="51" t="str">
        <f t="array" aca="1" ref="AU12" ca="1">IFERROR(INDEX(Leccion[selectorLeccion],SMALL(IF(AU$1=Leccion[SubSección],MATCH(ROW(Leccion[SubSección]),ROW(Leccion[SubSección]))),ROW(AT11))),"")</f>
        <v/>
      </c>
      <c r="AV12" s="51" t="str">
        <f t="array" aca="1" ref="AV12" ca="1">IFERROR(INDEX(Leccion[selectorLeccion],SMALL(IF(AV$1=Leccion[SubSección],MATCH(ROW(Leccion[SubSección]),ROW(Leccion[SubSección]))),ROW(AU11))),"")</f>
        <v/>
      </c>
      <c r="AW12" s="51" t="str">
        <f t="array" aca="1" ref="AW12" ca="1">IFERROR(INDEX(Leccion[selectorLeccion],SMALL(IF(AW$1=Leccion[SubSección],MATCH(ROW(Leccion[SubSección]),ROW(Leccion[SubSección]))),ROW(AV11))),"")</f>
        <v/>
      </c>
      <c r="AX12" s="51" t="str">
        <f t="array" aca="1" ref="AX12" ca="1">IFERROR(INDEX(Leccion[selectorLeccion],SMALL(IF(AX$1=Leccion[SubSección],MATCH(ROW(Leccion[SubSección]),ROW(Leccion[SubSección]))),ROW(AW11))),"")</f>
        <v/>
      </c>
      <c r="AY12" s="51" t="str">
        <f t="array" aca="1" ref="AY12" ca="1">IFERROR(INDEX(Leccion[selectorLeccion],SMALL(IF(AY$1=Leccion[SubSección],MATCH(ROW(Leccion[SubSección]),ROW(Leccion[SubSección]))),ROW(AX11))),"")</f>
        <v/>
      </c>
      <c r="AZ12" s="51" t="str">
        <f t="array" aca="1" ref="AZ12" ca="1">IFERROR(INDEX(Leccion[selectorLeccion],SMALL(IF(AZ$1=Leccion[SubSección],MATCH(ROW(Leccion[SubSección]),ROW(Leccion[SubSección]))),ROW(AY11))),"")</f>
        <v/>
      </c>
      <c r="BA12" s="51" t="str">
        <f t="array" aca="1" ref="BA12" ca="1">IFERROR(INDEX(Leccion[selectorLeccion],SMALL(IF(BA$1=Leccion[SubSección],MATCH(ROW(Leccion[SubSección]),ROW(Leccion[SubSección]))),ROW(AZ11))),"")</f>
        <v/>
      </c>
      <c r="BB12" s="51" t="str">
        <f t="array" aca="1" ref="BB12" ca="1">IFERROR(INDEX(Leccion[selectorLeccion],SMALL(IF(BB$1=Leccion[SubSección],MATCH(ROW(Leccion[SubSección]),ROW(Leccion[SubSección]))),ROW(BA11))),"")</f>
        <v/>
      </c>
      <c r="BC12" s="51" t="str">
        <f t="array" aca="1" ref="BC12" ca="1">IFERROR(INDEX(Leccion[selectorLeccion],SMALL(IF(BC$1=Leccion[SubSección],MATCH(ROW(Leccion[SubSección]),ROW(Leccion[SubSección]))),ROW(BB11))),"")</f>
        <v/>
      </c>
      <c r="BD12" s="51" t="str">
        <f t="array" aca="1" ref="BD12" ca="1">IFERROR(INDEX(Leccion[selectorLeccion],SMALL(IF(BD$1=Leccion[SubSección],MATCH(ROW(Leccion[SubSección]),ROW(Leccion[SubSección]))),ROW(BC11))),"")</f>
        <v/>
      </c>
      <c r="BE12" s="51" t="str">
        <f t="array" aca="1" ref="BE12" ca="1">IFERROR(INDEX(Leccion[selectorLeccion],SMALL(IF(BE$1=Leccion[SubSección],MATCH(ROW(Leccion[SubSección]),ROW(Leccion[SubSección]))),ROW(BD11))),"")</f>
        <v/>
      </c>
      <c r="BF12" s="51" t="str">
        <f t="array" aca="1" ref="BF12" ca="1">IFERROR(INDEX(Leccion[selectorLeccion],SMALL(IF(BF$1=Leccion[SubSección],MATCH(ROW(Leccion[SubSección]),ROW(Leccion[SubSección]))),ROW(BE11))),"")</f>
        <v/>
      </c>
      <c r="BG12" s="51" t="str">
        <f t="array" aca="1" ref="BG12" ca="1">IFERROR(INDEX(Leccion[selectorLeccion],SMALL(IF(BG$1=Leccion[SubSección],MATCH(ROW(Leccion[SubSección]),ROW(Leccion[SubSección]))),ROW(BF11))),"")</f>
        <v/>
      </c>
      <c r="BH12" s="51" t="str">
        <f t="array" aca="1" ref="BH12" ca="1">IFERROR(INDEX(Leccion[selectorLeccion],SMALL(IF(BH$1=Leccion[SubSección],MATCH(ROW(Leccion[SubSección]),ROW(Leccion[SubSección]))),ROW(BG11))),"")</f>
        <v/>
      </c>
      <c r="BI12" s="51" t="str">
        <f t="array" aca="1" ref="BI12" ca="1">IFERROR(INDEX(Leccion[selectorLeccion],SMALL(IF(BI$1=Leccion[SubSección],MATCH(ROW(Leccion[SubSección]),ROW(Leccion[SubSección]))),ROW(BH11))),"")</f>
        <v/>
      </c>
      <c r="BJ12" s="51" t="str">
        <f t="array" aca="1" ref="BJ12" ca="1">IFERROR(INDEX(Leccion[selectorLeccion],SMALL(IF(BJ$1=Leccion[SubSección],MATCH(ROW(Leccion[SubSección]),ROW(Leccion[SubSección]))),ROW(BI11))),"")</f>
        <v/>
      </c>
      <c r="BK12" s="51" t="str">
        <f t="array" aca="1" ref="BK12" ca="1">IFERROR(INDEX(Leccion[selectorLeccion],SMALL(IF(BK$1=Leccion[SubSección],MATCH(ROW(Leccion[SubSección]),ROW(Leccion[SubSección]))),ROW(BJ11))),"")</f>
        <v/>
      </c>
      <c r="BL12" s="51" t="str">
        <f t="array" aca="1" ref="BL12" ca="1">IFERROR(INDEX(Leccion[selectorLeccion],SMALL(IF(BL$1=Leccion[SubSección],MATCH(ROW(Leccion[SubSección]),ROW(Leccion[SubSección]))),ROW(BK11))),"")</f>
        <v/>
      </c>
      <c r="BM12" s="51" t="str">
        <f t="array" aca="1" ref="BM12" ca="1">IFERROR(INDEX(Leccion[selectorLeccion],SMALL(IF(BM$1=Leccion[SubSección],MATCH(ROW(Leccion[SubSección]),ROW(Leccion[SubSección]))),ROW(BL11))),"")</f>
        <v/>
      </c>
      <c r="BN12" s="51" t="str">
        <f t="array" aca="1" ref="BN12" ca="1">IFERROR(INDEX(Leccion[selectorLeccion],SMALL(IF(BN$1=Leccion[SubSección],MATCH(ROW(Leccion[SubSección]),ROW(Leccion[SubSección]))),ROW(BM11))),"")</f>
        <v/>
      </c>
      <c r="BO12" s="51" t="str">
        <f t="array" aca="1" ref="BO12" ca="1">IFERROR(INDEX(Leccion[selectorLeccion],SMALL(IF(BO$1=Leccion[SubSección],MATCH(ROW(Leccion[SubSección]),ROW(Leccion[SubSección]))),ROW(BN11))),"")</f>
        <v/>
      </c>
      <c r="BP12" s="51" t="str">
        <f t="array" aca="1" ref="BP12" ca="1">IFERROR(INDEX(Leccion[selectorLeccion],SMALL(IF(BP$1=Leccion[SubSección],MATCH(ROW(Leccion[SubSección]),ROW(Leccion[SubSección]))),ROW(BO11))),"")</f>
        <v/>
      </c>
      <c r="BQ12" s="51" t="str">
        <f t="array" aca="1" ref="BQ12" ca="1">IFERROR(INDEX(Leccion[selectorLeccion],SMALL(IF(BQ$1=Leccion[SubSección],MATCH(ROW(Leccion[SubSección]),ROW(Leccion[SubSección]))),ROW(BP11))),"")</f>
        <v/>
      </c>
      <c r="BR12" s="51" t="str">
        <f t="array" aca="1" ref="BR12" ca="1">IFERROR(INDEX(Leccion[selectorLeccion],SMALL(IF(BR$1=Leccion[SubSección],MATCH(ROW(Leccion[SubSección]),ROW(Leccion[SubSección]))),ROW(BQ11))),"")</f>
        <v/>
      </c>
      <c r="BS12" s="51" t="str">
        <f t="array" aca="1" ref="BS12" ca="1">IFERROR(INDEX(Leccion[selectorLeccion],SMALL(IF(BS$1=Leccion[SubSección],MATCH(ROW(Leccion[SubSección]),ROW(Leccion[SubSección]))),ROW(BR11))),"")</f>
        <v/>
      </c>
      <c r="BT12" s="51" t="str">
        <f t="array" aca="1" ref="BT12" ca="1">IFERROR(INDEX(Leccion[selectorLeccion],SMALL(IF(BT$1=Leccion[SubSección],MATCH(ROW(Leccion[SubSección]),ROW(Leccion[SubSección]))),ROW(BS11))),"")</f>
        <v/>
      </c>
      <c r="BU12" s="51" t="str">
        <f t="array" aca="1" ref="BU12" ca="1">IFERROR(INDEX(Leccion[selectorLeccion],SMALL(IF(BU$1=Leccion[SubSección],MATCH(ROW(Leccion[SubSección]),ROW(Leccion[SubSección]))),ROW(BT11))),"")</f>
        <v/>
      </c>
      <c r="BV12" s="51" t="str">
        <f t="array" aca="1" ref="BV12" ca="1">IFERROR(INDEX(Leccion[selectorLeccion],SMALL(IF(BV$1=Leccion[SubSección],MATCH(ROW(Leccion[SubSección]),ROW(Leccion[SubSección]))),ROW(BU11))),"")</f>
        <v/>
      </c>
      <c r="BW12" s="51" t="str">
        <f t="array" aca="1" ref="BW12" ca="1">IFERROR(INDEX(Leccion[selectorLeccion],SMALL(IF(BW$1=Leccion[SubSección],MATCH(ROW(Leccion[SubSección]),ROW(Leccion[SubSección]))),ROW(BV11))),"")</f>
        <v/>
      </c>
      <c r="BX12" s="51" t="str">
        <f t="array" aca="1" ref="BX12" ca="1">IFERROR(INDEX(Leccion[selectorLeccion],SMALL(IF(BX$1=Leccion[SubSección],MATCH(ROW(Leccion[SubSección]),ROW(Leccion[SubSección]))),ROW(BW11))),"")</f>
        <v/>
      </c>
      <c r="BY12" s="51" t="str">
        <f t="array" aca="1" ref="BY12" ca="1">IFERROR(INDEX(Leccion[selectorLeccion],SMALL(IF(BY$1=Leccion[SubSección],MATCH(ROW(Leccion[SubSección]),ROW(Leccion[SubSección]))),ROW(BX11))),"")</f>
        <v/>
      </c>
      <c r="BZ12" s="51" t="str">
        <f t="array" aca="1" ref="BZ12" ca="1">IFERROR(INDEX(Leccion[selectorLeccion],SMALL(IF(BZ$1=Leccion[SubSección],MATCH(ROW(Leccion[SubSección]),ROW(Leccion[SubSección]))),ROW(BY11))),"")</f>
        <v/>
      </c>
      <c r="CA12" s="51" t="str">
        <f t="array" aca="1" ref="CA12" ca="1">IFERROR(INDEX(Leccion[selectorLeccion],SMALL(IF(CA$1=Leccion[SubSección],MATCH(ROW(Leccion[SubSección]),ROW(Leccion[SubSección]))),ROW(BZ11))),"")</f>
        <v/>
      </c>
      <c r="CB12" s="51" t="str">
        <f t="array" aca="1" ref="CB12" ca="1">IFERROR(INDEX(Leccion[selectorLeccion],SMALL(IF(CB$1=Leccion[SubSección],MATCH(ROW(Leccion[SubSección]),ROW(Leccion[SubSección]))),ROW(CA11))),"")</f>
        <v/>
      </c>
      <c r="CC12" s="51" t="str">
        <f t="array" aca="1" ref="CC12" ca="1">IFERROR(INDEX(Leccion[selectorLeccion],SMALL(IF(CC$1=Leccion[SubSección],MATCH(ROW(Leccion[SubSección]),ROW(Leccion[SubSección]))),ROW(CB11))),"")</f>
        <v/>
      </c>
      <c r="CD12" s="51" t="str">
        <f t="array" aca="1" ref="CD12" ca="1">IFERROR(INDEX(Leccion[selectorLeccion],SMALL(IF(CD$1=Leccion[SubSección],MATCH(ROW(Leccion[SubSección]),ROW(Leccion[SubSección]))),ROW(CC11))),"")</f>
        <v/>
      </c>
      <c r="CE12" s="51" t="str">
        <f t="array" aca="1" ref="CE12" ca="1">IFERROR(INDEX(Leccion[selectorLeccion],SMALL(IF(CE$1=Leccion[SubSección],MATCH(ROW(Leccion[SubSección]),ROW(Leccion[SubSección]))),ROW(CD11))),"")</f>
        <v/>
      </c>
      <c r="CF12" s="51" t="str">
        <f t="array" aca="1" ref="CF12" ca="1">IFERROR(INDEX(Leccion[selectorLeccion],SMALL(IF(CF$1=Leccion[SubSección],MATCH(ROW(Leccion[SubSección]),ROW(Leccion[SubSección]))),ROW(CE11))),"")</f>
        <v/>
      </c>
      <c r="CG12" s="51" t="str">
        <f t="array" aca="1" ref="CG12" ca="1">IFERROR(INDEX(Leccion[selectorLeccion],SMALL(IF(CG$1=Leccion[SubSección],MATCH(ROW(Leccion[SubSección]),ROW(Leccion[SubSección]))),ROW(CF11))),"")</f>
        <v/>
      </c>
      <c r="CH12" s="51" t="str">
        <f t="array" aca="1" ref="CH12" ca="1">IFERROR(INDEX(Leccion[selectorLeccion],SMALL(IF(CH$1=Leccion[SubSección],MATCH(ROW(Leccion[SubSección]),ROW(Leccion[SubSección]))),ROW(CG11))),"")</f>
        <v/>
      </c>
      <c r="CI12" s="51" t="str">
        <f t="array" aca="1" ref="CI12" ca="1">IFERROR(INDEX(Leccion[selectorLeccion],SMALL(IF(CI$1=Leccion[SubSección],MATCH(ROW(Leccion[SubSección]),ROW(Leccion[SubSección]))),ROW(CH11))),"")</f>
        <v/>
      </c>
      <c r="CJ12" s="51" t="str">
        <f t="array" aca="1" ref="CJ12" ca="1">IFERROR(INDEX(Leccion[selectorLeccion],SMALL(IF(CJ$1=Leccion[SubSección],MATCH(ROW(Leccion[SubSección]),ROW(Leccion[SubSección]))),ROW(CI11))),"")</f>
        <v/>
      </c>
      <c r="CK12" s="51" t="str">
        <f t="array" aca="1" ref="CK12" ca="1">IFERROR(INDEX(Leccion[selectorLeccion],SMALL(IF(CK$1=Leccion[SubSección],MATCH(ROW(Leccion[SubSección]),ROW(Leccion[SubSección]))),ROW(CJ11))),"")</f>
        <v/>
      </c>
      <c r="CL12" s="51" t="str">
        <f t="array" aca="1" ref="CL12" ca="1">IFERROR(INDEX(Leccion[selectorLeccion],SMALL(IF(CL$1=Leccion[SubSección],MATCH(ROW(Leccion[SubSección]),ROW(Leccion[SubSección]))),ROW(CK11))),"")</f>
        <v/>
      </c>
      <c r="CM12" s="51" t="str">
        <f t="array" aca="1" ref="CM12" ca="1">IFERROR(INDEX(Leccion[selectorLeccion],SMALL(IF(CM$1=Leccion[SubSección],MATCH(ROW(Leccion[SubSección]),ROW(Leccion[SubSección]))),ROW(CL11))),"")</f>
        <v/>
      </c>
      <c r="CN12" s="51" t="str">
        <f t="array" aca="1" ref="CN12" ca="1">IFERROR(INDEX(Leccion[selectorLeccion],SMALL(IF(CN$1=Leccion[SubSección],MATCH(ROW(Leccion[SubSección]),ROW(Leccion[SubSección]))),ROW(CM11))),"")</f>
        <v/>
      </c>
      <c r="CO12" s="51" t="str">
        <f t="array" aca="1" ref="CO12" ca="1">IFERROR(INDEX(Leccion[selectorLeccion],SMALL(IF(CO$1=Leccion[SubSección],MATCH(ROW(Leccion[SubSección]),ROW(Leccion[SubSección]))),ROW(CN11))),"")</f>
        <v/>
      </c>
      <c r="CP12" s="51" t="str">
        <f t="array" aca="1" ref="CP12" ca="1">IFERROR(INDEX(Leccion[selectorLeccion],SMALL(IF(CP$1=Leccion[SubSección],MATCH(ROW(Leccion[SubSección]),ROW(Leccion[SubSección]))),ROW(CO11))),"")</f>
        <v/>
      </c>
      <c r="CQ12" s="51" t="str">
        <f t="array" aca="1" ref="CQ12" ca="1">IFERROR(INDEX(Leccion[selectorLeccion],SMALL(IF(CQ$1=Leccion[SubSección],MATCH(ROW(Leccion[SubSección]),ROW(Leccion[SubSección]))),ROW(CP11))),"")</f>
        <v/>
      </c>
      <c r="CR12" s="51" t="str">
        <f t="array" aca="1" ref="CR12" ca="1">IFERROR(INDEX(Leccion[selectorLeccion],SMALL(IF(CR$1=Leccion[SubSección],MATCH(ROW(Leccion[SubSección]),ROW(Leccion[SubSección]))),ROW(CQ11))),"")</f>
        <v/>
      </c>
      <c r="CS12" s="51" t="str">
        <f t="array" aca="1" ref="CS12" ca="1">IFERROR(INDEX(Leccion[selectorLeccion],SMALL(IF(CS$1=Leccion[SubSección],MATCH(ROW(Leccion[SubSección]),ROW(Leccion[SubSección]))),ROW(CR11))),"")</f>
        <v/>
      </c>
      <c r="CT12" s="51" t="str">
        <f t="array" aca="1" ref="CT12" ca="1">IFERROR(INDEX(Leccion[selectorLeccion],SMALL(IF(CT$1=Leccion[SubSección],MATCH(ROW(Leccion[SubSección]),ROW(Leccion[SubSección]))),ROW(CS11))),"")</f>
        <v/>
      </c>
      <c r="CU12" s="51" t="str">
        <f t="array" aca="1" ref="CU12" ca="1">IFERROR(INDEX(Leccion[selectorLeccion],SMALL(IF(CU$1=Leccion[SubSección],MATCH(ROW(Leccion[SubSección]),ROW(Leccion[SubSección]))),ROW(CT11))),"")</f>
        <v/>
      </c>
      <c r="CV12" s="51" t="str">
        <f t="array" aca="1" ref="CV12" ca="1">IFERROR(INDEX(Leccion[selectorLeccion],SMALL(IF(CV$1=Leccion[SubSección],MATCH(ROW(Leccion[SubSección]),ROW(Leccion[SubSección]))),ROW(CU11))),"")</f>
        <v/>
      </c>
      <c r="CW12" s="51" t="str">
        <f t="array" aca="1" ref="CW12" ca="1">IFERROR(INDEX(Leccion[selectorLeccion],SMALL(IF(CW$1=Leccion[SubSección],MATCH(ROW(Leccion[SubSección]),ROW(Leccion[SubSección]))),ROW(CV11))),"")</f>
        <v/>
      </c>
      <c r="CX12" s="51" t="str">
        <f t="array" aca="1" ref="CX12" ca="1">IFERROR(INDEX(Leccion[selectorLeccion],SMALL(IF(CX$1=Leccion[SubSección],MATCH(ROW(Leccion[SubSección]),ROW(Leccion[SubSección]))),ROW(CW11))),"")</f>
        <v/>
      </c>
      <c r="CY12" s="51" t="str">
        <f t="array" aca="1" ref="CY12" ca="1">IFERROR(INDEX(Leccion[selectorLeccion],SMALL(IF(CY$1=Leccion[SubSección],MATCH(ROW(Leccion[SubSección]),ROW(Leccion[SubSección]))),ROW(CX11))),"")</f>
        <v/>
      </c>
      <c r="CZ12" s="51" t="str">
        <f t="array" aca="1" ref="CZ12" ca="1">IFERROR(INDEX(Leccion[selectorLeccion],SMALL(IF(CZ$1=Leccion[SubSección],MATCH(ROW(Leccion[SubSección]),ROW(Leccion[SubSección]))),ROW(CY11))),"")</f>
        <v/>
      </c>
      <c r="DA12" s="51" t="str">
        <f t="array" aca="1" ref="DA12" ca="1">IFERROR(INDEX(Leccion[selectorLeccion],SMALL(IF(DA$1=Leccion[SubSección],MATCH(ROW(Leccion[SubSección]),ROW(Leccion[SubSección]))),ROW(CZ11))),"")</f>
        <v/>
      </c>
      <c r="DB12" s="51" t="str">
        <f t="array" aca="1" ref="DB12" ca="1">IFERROR(INDEX(Leccion[selectorLeccion],SMALL(IF(DB$1=Leccion[SubSección],MATCH(ROW(Leccion[SubSección]),ROW(Leccion[SubSección]))),ROW(DA11))),"")</f>
        <v/>
      </c>
      <c r="DC12" s="51" t="str">
        <f t="array" aca="1" ref="DC12" ca="1">IFERROR(INDEX(Leccion[selectorLeccion],SMALL(IF(DC$1=Leccion[SubSección],MATCH(ROW(Leccion[SubSección]),ROW(Leccion[SubSección]))),ROW(DB11))),"")</f>
        <v/>
      </c>
      <c r="DD12" s="51" t="str">
        <f t="array" aca="1" ref="DD12" ca="1">IFERROR(INDEX(Leccion[selectorLeccion],SMALL(IF(DD$1=Leccion[SubSección],MATCH(ROW(Leccion[SubSección]),ROW(Leccion[SubSección]))),ROW(DC11))),"")</f>
        <v/>
      </c>
      <c r="DE12" s="51" t="str">
        <f t="array" aca="1" ref="DE12" ca="1">IFERROR(INDEX(Leccion[selectorLeccion],SMALL(IF(DE$1=Leccion[SubSección],MATCH(ROW(Leccion[SubSección]),ROW(Leccion[SubSección]))),ROW(DD11))),"")</f>
        <v/>
      </c>
      <c r="DF12" s="51" t="str">
        <f t="array" aca="1" ref="DF12" ca="1">IFERROR(INDEX(Leccion[selectorLeccion],SMALL(IF(DF$1=Leccion[SubSección],MATCH(ROW(Leccion[SubSección]),ROW(Leccion[SubSección]))),ROW(DE11))),"")</f>
        <v/>
      </c>
      <c r="DG12" s="51" t="str">
        <f t="array" aca="1" ref="DG12" ca="1">IFERROR(INDEX(Leccion[selectorLeccion],SMALL(IF(DG$1=Leccion[SubSección],MATCH(ROW(Leccion[SubSección]),ROW(Leccion[SubSección]))),ROW(DF11))),"")</f>
        <v/>
      </c>
      <c r="DH12" s="51" t="str">
        <f t="array" aca="1" ref="DH12" ca="1">IFERROR(INDEX(Leccion[selectorLeccion],SMALL(IF(DH$1=Leccion[SubSección],MATCH(ROW(Leccion[SubSección]),ROW(Leccion[SubSección]))),ROW(DG11))),"")</f>
        <v/>
      </c>
      <c r="DI12" s="51" t="str">
        <f t="array" aca="1" ref="DI12" ca="1">IFERROR(INDEX(Leccion[selectorLeccion],SMALL(IF(DI$1=Leccion[SubSección],MATCH(ROW(Leccion[SubSección]),ROW(Leccion[SubSección]))),ROW(DH11))),"")</f>
        <v/>
      </c>
      <c r="DJ12" s="51" t="str">
        <f t="array" aca="1" ref="DJ12" ca="1">IFERROR(INDEX(Leccion[selectorLeccion],SMALL(IF(DJ$1=Leccion[SubSección],MATCH(ROW(Leccion[SubSección]),ROW(Leccion[SubSección]))),ROW(DI11))),"")</f>
        <v/>
      </c>
      <c r="DK12" s="51" t="str">
        <f t="array" aca="1" ref="DK12" ca="1">IFERROR(INDEX(Leccion[selectorLeccion],SMALL(IF(DK$1=Leccion[SubSección],MATCH(ROW(Leccion[SubSección]),ROW(Leccion[SubSección]))),ROW(DJ11))),"")</f>
        <v/>
      </c>
      <c r="DL12" s="51" t="str">
        <f t="array" aca="1" ref="DL12" ca="1">IFERROR(INDEX(Leccion[selectorLeccion],SMALL(IF(DL$1=Leccion[SubSección],MATCH(ROW(Leccion[SubSección]),ROW(Leccion[SubSección]))),ROW(DK11))),"")</f>
        <v/>
      </c>
      <c r="DM12" s="51" t="str">
        <f t="array" aca="1" ref="DM12" ca="1">IFERROR(INDEX(Leccion[selectorLeccion],SMALL(IF(DM$1=Leccion[SubSección],MATCH(ROW(Leccion[SubSección]),ROW(Leccion[SubSección]))),ROW(DL11))),"")</f>
        <v/>
      </c>
      <c r="DN12" s="51" t="str">
        <f t="array" aca="1" ref="DN12" ca="1">IFERROR(INDEX(Leccion[selectorLeccion],SMALL(IF(DN$1=Leccion[SubSección],MATCH(ROW(Leccion[SubSección]),ROW(Leccion[SubSección]))),ROW(DM11))),"")</f>
        <v/>
      </c>
      <c r="DO12" s="51" t="str">
        <f t="array" aca="1" ref="DO12" ca="1">IFERROR(INDEX(Leccion[selectorLeccion],SMALL(IF(DO$1=Leccion[SubSección],MATCH(ROW(Leccion[SubSección]),ROW(Leccion[SubSección]))),ROW(DN11))),"")</f>
        <v/>
      </c>
      <c r="DP12" s="51" t="str">
        <f t="array" aca="1" ref="DP12" ca="1">IFERROR(INDEX(Leccion[selectorLeccion],SMALL(IF(DP$1=Leccion[SubSección],MATCH(ROW(Leccion[SubSección]),ROW(Leccion[SubSección]))),ROW(DO11))),"")</f>
        <v/>
      </c>
      <c r="DQ12" s="51" t="str">
        <f t="array" aca="1" ref="DQ12" ca="1">IFERROR(INDEX(Leccion[selectorLeccion],SMALL(IF(DQ$1=Leccion[SubSección],MATCH(ROW(Leccion[SubSección]),ROW(Leccion[SubSección]))),ROW(DP11))),"")</f>
        <v/>
      </c>
      <c r="DR12" s="51" t="str">
        <f t="array" aca="1" ref="DR12" ca="1">IFERROR(INDEX(Leccion[selectorLeccion],SMALL(IF(DR$1=Leccion[SubSección],MATCH(ROW(Leccion[SubSección]),ROW(Leccion[SubSección]))),ROW(DQ11))),"")</f>
        <v/>
      </c>
      <c r="DS12" s="51" t="str">
        <f t="array" aca="1" ref="DS12" ca="1">IFERROR(INDEX(Leccion[selectorLeccion],SMALL(IF(DS$1=Leccion[SubSección],MATCH(ROW(Leccion[SubSección]),ROW(Leccion[SubSección]))),ROW(DR11))),"")</f>
        <v/>
      </c>
      <c r="DT12" s="51" t="str">
        <f t="array" aca="1" ref="DT12" ca="1">IFERROR(INDEX(Leccion[selectorLeccion],SMALL(IF(DT$1=Leccion[SubSección],MATCH(ROW(Leccion[SubSección]),ROW(Leccion[SubSección]))),ROW(DS11))),"")</f>
        <v/>
      </c>
      <c r="DU12" s="51" t="str">
        <f t="array" aca="1" ref="DU12" ca="1">IFERROR(INDEX(Leccion[selectorLeccion],SMALL(IF(DU$1=Leccion[SubSección],MATCH(ROW(Leccion[SubSección]),ROW(Leccion[SubSección]))),ROW(DT11))),"")</f>
        <v/>
      </c>
      <c r="DV12" s="51" t="str">
        <f t="array" aca="1" ref="DV12" ca="1">IFERROR(INDEX(Leccion[selectorLeccion],SMALL(IF(DV$1=Leccion[SubSección],MATCH(ROW(Leccion[SubSección]),ROW(Leccion[SubSección]))),ROW(DU11))),"")</f>
        <v/>
      </c>
      <c r="DW12" s="51" t="str">
        <f t="array" aca="1" ref="DW12" ca="1">IFERROR(INDEX(Leccion[selectorLeccion],SMALL(IF(DW$1=Leccion[SubSección],MATCH(ROW(Leccion[SubSección]),ROW(Leccion[SubSección]))),ROW(DV11))),"")</f>
        <v/>
      </c>
      <c r="DX12" s="51" t="str">
        <f t="array" aca="1" ref="DX12" ca="1">IFERROR(INDEX(Leccion[selectorLeccion],SMALL(IF(DX$1=Leccion[SubSección],MATCH(ROW(Leccion[SubSección]),ROW(Leccion[SubSección]))),ROW(DW11))),"")</f>
        <v/>
      </c>
      <c r="DY12" s="51" t="str">
        <f t="array" aca="1" ref="DY12" ca="1">IFERROR(INDEX(Leccion[selectorLeccion],SMALL(IF(DY$1=Leccion[SubSección],MATCH(ROW(Leccion[SubSección]),ROW(Leccion[SubSección]))),ROW(DX11))),"")</f>
        <v/>
      </c>
      <c r="DZ12" s="51" t="str">
        <f t="array" aca="1" ref="DZ12" ca="1">IFERROR(INDEX(Leccion[selectorLeccion],SMALL(IF(DZ$1=Leccion[SubSección],MATCH(ROW(Leccion[SubSección]),ROW(Leccion[SubSección]))),ROW(DY11))),"")</f>
        <v/>
      </c>
      <c r="EA12" s="51" t="str">
        <f t="array" aca="1" ref="EA12" ca="1">IFERROR(INDEX(Leccion[selectorLeccion],SMALL(IF(EA$1=Leccion[SubSección],MATCH(ROW(Leccion[SubSección]),ROW(Leccion[SubSección]))),ROW(DZ11))),"")</f>
        <v/>
      </c>
      <c r="EB12" s="51" t="str">
        <f t="array" aca="1" ref="EB12" ca="1">IFERROR(INDEX(Leccion[selectorLeccion],SMALL(IF(EB$1=Leccion[SubSección],MATCH(ROW(Leccion[SubSección]),ROW(Leccion[SubSección]))),ROW(EA11))),"")</f>
        <v/>
      </c>
      <c r="EC12" s="51" t="str">
        <f t="array" aca="1" ref="EC12" ca="1">IFERROR(INDEX(Leccion[selectorLeccion],SMALL(IF(EC$1=Leccion[SubSección],MATCH(ROW(Leccion[SubSección]),ROW(Leccion[SubSección]))),ROW(EB11))),"")</f>
        <v/>
      </c>
      <c r="ED12" s="51" t="str">
        <f t="array" aca="1" ref="ED12" ca="1">IFERROR(INDEX(Leccion[selectorLeccion],SMALL(IF(ED$1=Leccion[SubSección],MATCH(ROW(Leccion[SubSección]),ROW(Leccion[SubSección]))),ROW(EC11))),"")</f>
        <v/>
      </c>
      <c r="EE12" s="51" t="str">
        <f t="array" aca="1" ref="EE12" ca="1">IFERROR(INDEX(Leccion[selectorLeccion],SMALL(IF(EE$1=Leccion[SubSección],MATCH(ROW(Leccion[SubSección]),ROW(Leccion[SubSección]))),ROW(ED11))),"")</f>
        <v/>
      </c>
      <c r="EF12" s="51" t="str">
        <f t="array" aca="1" ref="EF12" ca="1">IFERROR(INDEX(Leccion[selectorLeccion],SMALL(IF(EF$1=Leccion[SubSección],MATCH(ROW(Leccion[SubSección]),ROW(Leccion[SubSección]))),ROW(EE11))),"")</f>
        <v/>
      </c>
      <c r="EG12" s="51" t="str">
        <f t="array" aca="1" ref="EG12" ca="1">IFERROR(INDEX(Leccion[selectorLeccion],SMALL(IF(EG$1=Leccion[SubSección],MATCH(ROW(Leccion[SubSección]),ROW(Leccion[SubSección]))),ROW(EF11))),"")</f>
        <v/>
      </c>
      <c r="EH12" s="51" t="str">
        <f t="array" aca="1" ref="EH12" ca="1">IFERROR(INDEX(Leccion[selectorLeccion],SMALL(IF(EH$1=Leccion[SubSección],MATCH(ROW(Leccion[SubSección]),ROW(Leccion[SubSección]))),ROW(EG11))),"")</f>
        <v/>
      </c>
      <c r="EI12" s="51" t="str">
        <f t="array" aca="1" ref="EI12" ca="1">IFERROR(INDEX(Leccion[selectorLeccion],SMALL(IF(EI$1=Leccion[SubSección],MATCH(ROW(Leccion[SubSección]),ROW(Leccion[SubSección]))),ROW(EH11))),"")</f>
        <v/>
      </c>
      <c r="EJ12" s="51" t="str">
        <f t="array" aca="1" ref="EJ12" ca="1">IFERROR(INDEX(Leccion[selectorLeccion],SMALL(IF(EJ$1=Leccion[SubSección],MATCH(ROW(Leccion[SubSección]),ROW(Leccion[SubSección]))),ROW(EI11))),"")</f>
        <v/>
      </c>
      <c r="EK12" s="51" t="str">
        <f t="array" aca="1" ref="EK12" ca="1">IFERROR(INDEX(Leccion[selectorLeccion],SMALL(IF(EK$1=Leccion[SubSección],MATCH(ROW(Leccion[SubSección]),ROW(Leccion[SubSección]))),ROW(EJ11))),"")</f>
        <v/>
      </c>
      <c r="EL12" s="51" t="str">
        <f t="array" aca="1" ref="EL12" ca="1">IFERROR(INDEX(Leccion[selectorLeccion],SMALL(IF(EL$1=Leccion[SubSección],MATCH(ROW(Leccion[SubSección]),ROW(Leccion[SubSección]))),ROW(EK11))),"")</f>
        <v/>
      </c>
      <c r="EM12" s="51" t="str">
        <f t="array" aca="1" ref="EM12" ca="1">IFERROR(INDEX(Leccion[selectorLeccion],SMALL(IF(EM$1=Leccion[SubSección],MATCH(ROW(Leccion[SubSección]),ROW(Leccion[SubSección]))),ROW(EL11))),"")</f>
        <v/>
      </c>
      <c r="EN12" s="51" t="str">
        <f t="array" aca="1" ref="EN12" ca="1">IFERROR(INDEX(Leccion[selectorLeccion],SMALL(IF(EN$1=Leccion[SubSección],MATCH(ROW(Leccion[SubSección]),ROW(Leccion[SubSección]))),ROW(EM11))),"")</f>
        <v/>
      </c>
      <c r="EO12" s="51" t="str">
        <f t="array" aca="1" ref="EO12" ca="1">IFERROR(INDEX(Leccion[selectorLeccion],SMALL(IF(EO$1=Leccion[SubSección],MATCH(ROW(Leccion[SubSección]),ROW(Leccion[SubSección]))),ROW(EN11))),"")</f>
        <v/>
      </c>
      <c r="EP12" s="51" t="str">
        <f t="array" aca="1" ref="EP12" ca="1">IFERROR(INDEX(Leccion[selectorLeccion],SMALL(IF(EP$1=Leccion[SubSección],MATCH(ROW(Leccion[SubSección]),ROW(Leccion[SubSección]))),ROW(EO11))),"")</f>
        <v/>
      </c>
      <c r="EQ12" s="51" t="str">
        <f t="array" aca="1" ref="EQ12" ca="1">IFERROR(INDEX(Leccion[selectorLeccion],SMALL(IF(EQ$1=Leccion[SubSección],MATCH(ROW(Leccion[SubSección]),ROW(Leccion[SubSección]))),ROW(EP11))),"")</f>
        <v/>
      </c>
      <c r="ER12" s="51" t="str">
        <f t="array" aca="1" ref="ER12" ca="1">IFERROR(INDEX(Leccion[selectorLeccion],SMALL(IF(ER$1=Leccion[SubSección],MATCH(ROW(Leccion[SubSección]),ROW(Leccion[SubSección]))),ROW(EQ11))),"")</f>
        <v/>
      </c>
      <c r="ES12" s="51" t="str">
        <f t="array" aca="1" ref="ES12" ca="1">IFERROR(INDEX(Leccion[selectorLeccion],SMALL(IF(ES$1=Leccion[SubSección],MATCH(ROW(Leccion[SubSección]),ROW(Leccion[SubSección]))),ROW(ER11))),"")</f>
        <v/>
      </c>
      <c r="ET12" s="51" t="str">
        <f t="array" aca="1" ref="ET12" ca="1">IFERROR(INDEX(Leccion[selectorLeccion],SMALL(IF(ET$1=Leccion[SubSección],MATCH(ROW(Leccion[SubSección]),ROW(Leccion[SubSección]))),ROW(ES11))),"")</f>
        <v/>
      </c>
      <c r="EU12" s="51" t="str">
        <f t="array" aca="1" ref="EU12" ca="1">IFERROR(INDEX(Leccion[selectorLeccion],SMALL(IF(EU$1=Leccion[SubSección],MATCH(ROW(Leccion[SubSección]),ROW(Leccion[SubSección]))),ROW(ET11))),"")</f>
        <v/>
      </c>
      <c r="EV12" s="51" t="str">
        <f t="array" aca="1" ref="EV12" ca="1">IFERROR(INDEX(Leccion[selectorLeccion],SMALL(IF(EV$1=Leccion[SubSección],MATCH(ROW(Leccion[SubSección]),ROW(Leccion[SubSección]))),ROW(EU11))),"")</f>
        <v/>
      </c>
      <c r="EW12" s="51" t="str">
        <f t="array" aca="1" ref="EW12" ca="1">IFERROR(INDEX(Leccion[selectorLeccion],SMALL(IF(EW$1=Leccion[SubSección],MATCH(ROW(Leccion[SubSección]),ROW(Leccion[SubSección]))),ROW(EV11))),"")</f>
        <v/>
      </c>
      <c r="EX12" s="51" t="str">
        <f t="array" aca="1" ref="EX12" ca="1">IFERROR(INDEX(Leccion[selectorLeccion],SMALL(IF(EX$1=Leccion[SubSección],MATCH(ROW(Leccion[SubSección]),ROW(Leccion[SubSección]))),ROW(EW11))),"")</f>
        <v/>
      </c>
      <c r="EY12" s="51" t="str">
        <f t="array" aca="1" ref="EY12" ca="1">IFERROR(INDEX(Leccion[selectorLeccion],SMALL(IF(EY$1=Leccion[SubSección],MATCH(ROW(Leccion[SubSección]),ROW(Leccion[SubSección]))),ROW(EX11))),"")</f>
        <v/>
      </c>
      <c r="EZ12" s="51" t="str">
        <f t="array" aca="1" ref="EZ12" ca="1">IFERROR(INDEX(Leccion[selectorLeccion],SMALL(IF(EZ$1=Leccion[SubSección],MATCH(ROW(Leccion[SubSección]),ROW(Leccion[SubSección]))),ROW(EY11))),"")</f>
        <v/>
      </c>
    </row>
    <row r="13" spans="2:156" x14ac:dyDescent="0.3">
      <c r="B13" s="51" t="str">
        <f t="array" aca="1" ref="B13" ca="1">IFERROR(INDEX(Leccion[selectorLeccion],SMALL(IF(B$1=Leccion[SubSección],MATCH(ROW(Leccion[SubSección]),ROW(Leccion[SubSección]))),ROW(A12))),"")</f>
        <v/>
      </c>
      <c r="C13" s="51" t="str">
        <f t="array" aca="1" ref="C13" ca="1">IFERROR(INDEX(Leccion[selectorLeccion],SMALL(IF(C$1=Leccion[SubSección],MATCH(ROW(Leccion[SubSección]),ROW(Leccion[SubSección]))),ROW(B12))),"")</f>
        <v/>
      </c>
      <c r="D13" s="51" t="str">
        <f t="array" aca="1" ref="D13" ca="1">IFERROR(INDEX(Leccion[selectorLeccion],SMALL(IF(D$1=Leccion[SubSección],MATCH(ROW(Leccion[SubSección]),ROW(Leccion[SubSección]))),ROW(C12))),"")</f>
        <v/>
      </c>
      <c r="E13" s="51" t="str">
        <f t="array" aca="1" ref="E13" ca="1">IFERROR(INDEX(Leccion[selectorLeccion],SMALL(IF(E$1=Leccion[SubSección],MATCH(ROW(Leccion[SubSección]),ROW(Leccion[SubSección]))),ROW(D12))),"")</f>
        <v/>
      </c>
      <c r="F13" s="51" t="str">
        <f t="array" aca="1" ref="F13" ca="1">IFERROR(INDEX(Leccion[selectorLeccion],SMALL(IF(F$1=Leccion[SubSección],MATCH(ROW(Leccion[SubSección]),ROW(Leccion[SubSección]))),ROW(E12))),"")</f>
        <v/>
      </c>
      <c r="G13" s="51" t="str">
        <f t="array" aca="1" ref="G13" ca="1">IFERROR(INDEX(Leccion[selectorLeccion],SMALL(IF(G$1=Leccion[SubSección],MATCH(ROW(Leccion[SubSección]),ROW(Leccion[SubSección]))),ROW(F12))),"")</f>
        <v/>
      </c>
      <c r="H13" s="51" t="str">
        <f t="array" aca="1" ref="H13" ca="1">IFERROR(INDEX(Leccion[selectorLeccion],SMALL(IF(H$1=Leccion[SubSección],MATCH(ROW(Leccion[SubSección]),ROW(Leccion[SubSección]))),ROW(G12))),"")</f>
        <v/>
      </c>
      <c r="I13" s="51" t="str">
        <f t="array" aca="1" ref="I13" ca="1">IFERROR(INDEX(Leccion[selectorLeccion],SMALL(IF(I$1=Leccion[SubSección],MATCH(ROW(Leccion[SubSección]),ROW(Leccion[SubSección]))),ROW(H12))),"")</f>
        <v/>
      </c>
      <c r="J13" s="51" t="str">
        <f t="array" aca="1" ref="J13" ca="1">IFERROR(INDEX(Leccion[selectorLeccion],SMALL(IF(J$1=Leccion[SubSección],MATCH(ROW(Leccion[SubSección]),ROW(Leccion[SubSección]))),ROW(I12))),"")</f>
        <v/>
      </c>
      <c r="K13" s="51" t="str">
        <f t="array" aca="1" ref="K13" ca="1">IFERROR(INDEX(Leccion[selectorLeccion],SMALL(IF(K$1=Leccion[SubSección],MATCH(ROW(Leccion[SubSección]),ROW(Leccion[SubSección]))),ROW(J12))),"")</f>
        <v/>
      </c>
      <c r="L13" s="51" t="str">
        <f t="array" aca="1" ref="L13" ca="1">IFERROR(INDEX(Leccion[selectorLeccion],SMALL(IF(L$1=Leccion[SubSección],MATCH(ROW(Leccion[SubSección]),ROW(Leccion[SubSección]))),ROW(K12))),"")</f>
        <v/>
      </c>
      <c r="M13" s="51" t="str">
        <f t="array" aca="1" ref="M13" ca="1">IFERROR(INDEX(Leccion[selectorLeccion],SMALL(IF(M$1=Leccion[SubSección],MATCH(ROW(Leccion[SubSección]),ROW(Leccion[SubSección]))),ROW(L12))),"")</f>
        <v/>
      </c>
      <c r="N13" s="51" t="str">
        <f t="array" aca="1" ref="N13" ca="1">IFERROR(INDEX(Leccion[selectorLeccion],SMALL(IF(N$1=Leccion[SubSección],MATCH(ROW(Leccion[SubSección]),ROW(Leccion[SubSección]))),ROW(M12))),"")</f>
        <v/>
      </c>
      <c r="O13" s="51" t="str">
        <f t="array" aca="1" ref="O13" ca="1">IFERROR(INDEX(Leccion[selectorLeccion],SMALL(IF(O$1=Leccion[SubSección],MATCH(ROW(Leccion[SubSección]),ROW(Leccion[SubSección]))),ROW(N12))),"")</f>
        <v/>
      </c>
      <c r="P13" s="51" t="str">
        <f t="array" aca="1" ref="P13" ca="1">IFERROR(INDEX(Leccion[selectorLeccion],SMALL(IF(P$1=Leccion[SubSección],MATCH(ROW(Leccion[SubSección]),ROW(Leccion[SubSección]))),ROW(O12))),"")</f>
        <v/>
      </c>
      <c r="Q13" s="51" t="str">
        <f t="array" aca="1" ref="Q13" ca="1">IFERROR(INDEX(Leccion[selectorLeccion],SMALL(IF(Q$1=Leccion[SubSección],MATCH(ROW(Leccion[SubSección]),ROW(Leccion[SubSección]))),ROW(P12))),"")</f>
        <v/>
      </c>
      <c r="R13" s="51" t="str">
        <f t="array" aca="1" ref="R13" ca="1">IFERROR(INDEX(Leccion[selectorLeccion],SMALL(IF(R$1=Leccion[SubSección],MATCH(ROW(Leccion[SubSección]),ROW(Leccion[SubSección]))),ROW(Q12))),"")</f>
        <v/>
      </c>
      <c r="S13" s="51" t="str">
        <f t="array" aca="1" ref="S13" ca="1">IFERROR(INDEX(Leccion[selectorLeccion],SMALL(IF(S$1=Leccion[SubSección],MATCH(ROW(Leccion[SubSección]),ROW(Leccion[SubSección]))),ROW(R12))),"")</f>
        <v/>
      </c>
      <c r="T13" s="51" t="str">
        <f t="array" aca="1" ref="T13" ca="1">IFERROR(INDEX(Leccion[selectorLeccion],SMALL(IF(T$1=Leccion[SubSección],MATCH(ROW(Leccion[SubSección]),ROW(Leccion[SubSección]))),ROW(S12))),"")</f>
        <v/>
      </c>
      <c r="U13" s="51" t="str">
        <f t="array" aca="1" ref="U13" ca="1">IFERROR(INDEX(Leccion[selectorLeccion],SMALL(IF(U$1=Leccion[SubSección],MATCH(ROW(Leccion[SubSección]),ROW(Leccion[SubSección]))),ROW(T12))),"")</f>
        <v/>
      </c>
      <c r="V13" s="51" t="str">
        <f t="array" aca="1" ref="V13" ca="1">IFERROR(INDEX(Leccion[selectorLeccion],SMALL(IF(V$1=Leccion[SubSección],MATCH(ROW(Leccion[SubSección]),ROW(Leccion[SubSección]))),ROW(U12))),"")</f>
        <v/>
      </c>
      <c r="W13" s="51" t="str">
        <f t="array" aca="1" ref="W13" ca="1">IFERROR(INDEX(Leccion[selectorLeccion],SMALL(IF(W$1=Leccion[SubSección],MATCH(ROW(Leccion[SubSección]),ROW(Leccion[SubSección]))),ROW(V12))),"")</f>
        <v/>
      </c>
      <c r="X13" s="51" t="str">
        <f t="array" aca="1" ref="X13" ca="1">IFERROR(INDEX(Leccion[selectorLeccion],SMALL(IF(X$1=Leccion[SubSección],MATCH(ROW(Leccion[SubSección]),ROW(Leccion[SubSección]))),ROW(W12))),"")</f>
        <v/>
      </c>
      <c r="Y13" s="51" t="str">
        <f t="array" aca="1" ref="Y13" ca="1">IFERROR(INDEX(Leccion[selectorLeccion],SMALL(IF(Y$1=Leccion[SubSección],MATCH(ROW(Leccion[SubSección]),ROW(Leccion[SubSección]))),ROW(X12))),"")</f>
        <v/>
      </c>
      <c r="Z13" s="51" t="str">
        <f t="array" aca="1" ref="Z13" ca="1">IFERROR(INDEX(Leccion[selectorLeccion],SMALL(IF(Z$1=Leccion[SubSección],MATCH(ROW(Leccion[SubSección]),ROW(Leccion[SubSección]))),ROW(Y12))),"")</f>
        <v/>
      </c>
      <c r="AA13" s="51" t="str">
        <f t="array" aca="1" ref="AA13" ca="1">IFERROR(INDEX(Leccion[selectorLeccion],SMALL(IF(AA$1=Leccion[SubSección],MATCH(ROW(Leccion[SubSección]),ROW(Leccion[SubSección]))),ROW(Z12))),"")</f>
        <v/>
      </c>
      <c r="AB13" s="51" t="str">
        <f t="array" aca="1" ref="AB13" ca="1">IFERROR(INDEX(Leccion[selectorLeccion],SMALL(IF(AB$1=Leccion[SubSección],MATCH(ROW(Leccion[SubSección]),ROW(Leccion[SubSección]))),ROW(AA12))),"")</f>
        <v/>
      </c>
      <c r="AC13" s="51" t="str">
        <f t="array" aca="1" ref="AC13" ca="1">IFERROR(INDEX(Leccion[selectorLeccion],SMALL(IF(AC$1=Leccion[SubSección],MATCH(ROW(Leccion[SubSección]),ROW(Leccion[SubSección]))),ROW(AB12))),"")</f>
        <v/>
      </c>
      <c r="AD13" s="51" t="str">
        <f t="array" aca="1" ref="AD13" ca="1">IFERROR(INDEX(Leccion[selectorLeccion],SMALL(IF(AD$1=Leccion[SubSección],MATCH(ROW(Leccion[SubSección]),ROW(Leccion[SubSección]))),ROW(AC12))),"")</f>
        <v/>
      </c>
      <c r="AE13" s="51" t="str">
        <f t="array" aca="1" ref="AE13" ca="1">IFERROR(INDEX(Leccion[selectorLeccion],SMALL(IF(AE$1=Leccion[SubSección],MATCH(ROW(Leccion[SubSección]),ROW(Leccion[SubSección]))),ROW(AD12))),"")</f>
        <v/>
      </c>
      <c r="AF13" s="51" t="str">
        <f t="array" aca="1" ref="AF13" ca="1">IFERROR(INDEX(Leccion[selectorLeccion],SMALL(IF(AF$1=Leccion[SubSección],MATCH(ROW(Leccion[SubSección]),ROW(Leccion[SubSección]))),ROW(AE12))),"")</f>
        <v/>
      </c>
      <c r="AG13" s="51" t="str">
        <f t="array" aca="1" ref="AG13" ca="1">IFERROR(INDEX(Leccion[selectorLeccion],SMALL(IF(AG$1=Leccion[SubSección],MATCH(ROW(Leccion[SubSección]),ROW(Leccion[SubSección]))),ROW(AF12))),"")</f>
        <v/>
      </c>
      <c r="AH13" s="51" t="str">
        <f t="array" aca="1" ref="AH13" ca="1">IFERROR(INDEX(Leccion[selectorLeccion],SMALL(IF(AH$1=Leccion[SubSección],MATCH(ROW(Leccion[SubSección]),ROW(Leccion[SubSección]))),ROW(AG12))),"")</f>
        <v/>
      </c>
      <c r="AI13" s="51" t="str">
        <f t="array" aca="1" ref="AI13" ca="1">IFERROR(INDEX(Leccion[selectorLeccion],SMALL(IF(AI$1=Leccion[SubSección],MATCH(ROW(Leccion[SubSección]),ROW(Leccion[SubSección]))),ROW(AH12))),"")</f>
        <v/>
      </c>
      <c r="AJ13" s="51" t="str">
        <f t="array" aca="1" ref="AJ13" ca="1">IFERROR(INDEX(Leccion[selectorLeccion],SMALL(IF(AJ$1=Leccion[SubSección],MATCH(ROW(Leccion[SubSección]),ROW(Leccion[SubSección]))),ROW(AI12))),"")</f>
        <v/>
      </c>
      <c r="AK13" s="51" t="str">
        <f t="array" aca="1" ref="AK13" ca="1">IFERROR(INDEX(Leccion[selectorLeccion],SMALL(IF(AK$1=Leccion[SubSección],MATCH(ROW(Leccion[SubSección]),ROW(Leccion[SubSección]))),ROW(AJ12))),"")</f>
        <v/>
      </c>
      <c r="AL13" s="51" t="str">
        <f t="array" aca="1" ref="AL13" ca="1">IFERROR(INDEX(Leccion[selectorLeccion],SMALL(IF(AL$1=Leccion[SubSección],MATCH(ROW(Leccion[SubSección]),ROW(Leccion[SubSección]))),ROW(AK12))),"")</f>
        <v/>
      </c>
      <c r="AM13" s="51" t="str">
        <f t="array" aca="1" ref="AM13" ca="1">IFERROR(INDEX(Leccion[selectorLeccion],SMALL(IF(AM$1=Leccion[SubSección],MATCH(ROW(Leccion[SubSección]),ROW(Leccion[SubSección]))),ROW(AL12))),"")</f>
        <v/>
      </c>
      <c r="AN13" s="51" t="str">
        <f t="array" aca="1" ref="AN13" ca="1">IFERROR(INDEX(Leccion[selectorLeccion],SMALL(IF(AN$1=Leccion[SubSección],MATCH(ROW(Leccion[SubSección]),ROW(Leccion[SubSección]))),ROW(AM12))),"")</f>
        <v/>
      </c>
      <c r="AO13" s="51" t="str">
        <f t="array" aca="1" ref="AO13" ca="1">IFERROR(INDEX(Leccion[selectorLeccion],SMALL(IF(AO$1=Leccion[SubSección],MATCH(ROW(Leccion[SubSección]),ROW(Leccion[SubSección]))),ROW(AN12))),"")</f>
        <v/>
      </c>
      <c r="AP13" s="51" t="str">
        <f t="array" aca="1" ref="AP13" ca="1">IFERROR(INDEX(Leccion[selectorLeccion],SMALL(IF(AP$1=Leccion[SubSección],MATCH(ROW(Leccion[SubSección]),ROW(Leccion[SubSección]))),ROW(AO12))),"")</f>
        <v/>
      </c>
      <c r="AQ13" s="51" t="str">
        <f t="array" aca="1" ref="AQ13" ca="1">IFERROR(INDEX(Leccion[selectorLeccion],SMALL(IF(AQ$1=Leccion[SubSección],MATCH(ROW(Leccion[SubSección]),ROW(Leccion[SubSección]))),ROW(AP12))),"")</f>
        <v/>
      </c>
      <c r="AR13" s="51" t="str">
        <f t="array" aca="1" ref="AR13" ca="1">IFERROR(INDEX(Leccion[selectorLeccion],SMALL(IF(AR$1=Leccion[SubSección],MATCH(ROW(Leccion[SubSección]),ROW(Leccion[SubSección]))),ROW(AQ12))),"")</f>
        <v/>
      </c>
      <c r="AS13" s="51" t="str">
        <f t="array" aca="1" ref="AS13" ca="1">IFERROR(INDEX(Leccion[selectorLeccion],SMALL(IF(AS$1=Leccion[SubSección],MATCH(ROW(Leccion[SubSección]),ROW(Leccion[SubSección]))),ROW(AR12))),"")</f>
        <v/>
      </c>
      <c r="AT13" s="51" t="str">
        <f t="array" aca="1" ref="AT13" ca="1">IFERROR(INDEX(Leccion[selectorLeccion],SMALL(IF(AT$1=Leccion[SubSección],MATCH(ROW(Leccion[SubSección]),ROW(Leccion[SubSección]))),ROW(AS12))),"")</f>
        <v/>
      </c>
      <c r="AU13" s="51" t="str">
        <f t="array" aca="1" ref="AU13" ca="1">IFERROR(INDEX(Leccion[selectorLeccion],SMALL(IF(AU$1=Leccion[SubSección],MATCH(ROW(Leccion[SubSección]),ROW(Leccion[SubSección]))),ROW(AT12))),"")</f>
        <v/>
      </c>
      <c r="AV13" s="51" t="str">
        <f t="array" aca="1" ref="AV13" ca="1">IFERROR(INDEX(Leccion[selectorLeccion],SMALL(IF(AV$1=Leccion[SubSección],MATCH(ROW(Leccion[SubSección]),ROW(Leccion[SubSección]))),ROW(AU12))),"")</f>
        <v/>
      </c>
      <c r="AW13" s="51" t="str">
        <f t="array" aca="1" ref="AW13" ca="1">IFERROR(INDEX(Leccion[selectorLeccion],SMALL(IF(AW$1=Leccion[SubSección],MATCH(ROW(Leccion[SubSección]),ROW(Leccion[SubSección]))),ROW(AV12))),"")</f>
        <v/>
      </c>
      <c r="AX13" s="51" t="str">
        <f t="array" aca="1" ref="AX13" ca="1">IFERROR(INDEX(Leccion[selectorLeccion],SMALL(IF(AX$1=Leccion[SubSección],MATCH(ROW(Leccion[SubSección]),ROW(Leccion[SubSección]))),ROW(AW12))),"")</f>
        <v/>
      </c>
      <c r="AY13" s="51" t="str">
        <f t="array" aca="1" ref="AY13" ca="1">IFERROR(INDEX(Leccion[selectorLeccion],SMALL(IF(AY$1=Leccion[SubSección],MATCH(ROW(Leccion[SubSección]),ROW(Leccion[SubSección]))),ROW(AX12))),"")</f>
        <v/>
      </c>
      <c r="AZ13" s="51" t="str">
        <f t="array" aca="1" ref="AZ13" ca="1">IFERROR(INDEX(Leccion[selectorLeccion],SMALL(IF(AZ$1=Leccion[SubSección],MATCH(ROW(Leccion[SubSección]),ROW(Leccion[SubSección]))),ROW(AY12))),"")</f>
        <v/>
      </c>
      <c r="BA13" s="51" t="str">
        <f t="array" aca="1" ref="BA13" ca="1">IFERROR(INDEX(Leccion[selectorLeccion],SMALL(IF(BA$1=Leccion[SubSección],MATCH(ROW(Leccion[SubSección]),ROW(Leccion[SubSección]))),ROW(AZ12))),"")</f>
        <v/>
      </c>
      <c r="BB13" s="51" t="str">
        <f t="array" aca="1" ref="BB13" ca="1">IFERROR(INDEX(Leccion[selectorLeccion],SMALL(IF(BB$1=Leccion[SubSección],MATCH(ROW(Leccion[SubSección]),ROW(Leccion[SubSección]))),ROW(BA12))),"")</f>
        <v/>
      </c>
      <c r="BC13" s="51" t="str">
        <f t="array" aca="1" ref="BC13" ca="1">IFERROR(INDEX(Leccion[selectorLeccion],SMALL(IF(BC$1=Leccion[SubSección],MATCH(ROW(Leccion[SubSección]),ROW(Leccion[SubSección]))),ROW(BB12))),"")</f>
        <v/>
      </c>
      <c r="BD13" s="51" t="str">
        <f t="array" aca="1" ref="BD13" ca="1">IFERROR(INDEX(Leccion[selectorLeccion],SMALL(IF(BD$1=Leccion[SubSección],MATCH(ROW(Leccion[SubSección]),ROW(Leccion[SubSección]))),ROW(BC12))),"")</f>
        <v/>
      </c>
      <c r="BE13" s="51" t="str">
        <f t="array" aca="1" ref="BE13" ca="1">IFERROR(INDEX(Leccion[selectorLeccion],SMALL(IF(BE$1=Leccion[SubSección],MATCH(ROW(Leccion[SubSección]),ROW(Leccion[SubSección]))),ROW(BD12))),"")</f>
        <v/>
      </c>
      <c r="BF13" s="51" t="str">
        <f t="array" aca="1" ref="BF13" ca="1">IFERROR(INDEX(Leccion[selectorLeccion],SMALL(IF(BF$1=Leccion[SubSección],MATCH(ROW(Leccion[SubSección]),ROW(Leccion[SubSección]))),ROW(BE12))),"")</f>
        <v/>
      </c>
      <c r="BG13" s="51" t="str">
        <f t="array" aca="1" ref="BG13" ca="1">IFERROR(INDEX(Leccion[selectorLeccion],SMALL(IF(BG$1=Leccion[SubSección],MATCH(ROW(Leccion[SubSección]),ROW(Leccion[SubSección]))),ROW(BF12))),"")</f>
        <v/>
      </c>
      <c r="BH13" s="51" t="str">
        <f t="array" aca="1" ref="BH13" ca="1">IFERROR(INDEX(Leccion[selectorLeccion],SMALL(IF(BH$1=Leccion[SubSección],MATCH(ROW(Leccion[SubSección]),ROW(Leccion[SubSección]))),ROW(BG12))),"")</f>
        <v/>
      </c>
      <c r="BI13" s="51" t="str">
        <f t="array" aca="1" ref="BI13" ca="1">IFERROR(INDEX(Leccion[selectorLeccion],SMALL(IF(BI$1=Leccion[SubSección],MATCH(ROW(Leccion[SubSección]),ROW(Leccion[SubSección]))),ROW(BH12))),"")</f>
        <v/>
      </c>
      <c r="BJ13" s="51" t="str">
        <f t="array" aca="1" ref="BJ13" ca="1">IFERROR(INDEX(Leccion[selectorLeccion],SMALL(IF(BJ$1=Leccion[SubSección],MATCH(ROW(Leccion[SubSección]),ROW(Leccion[SubSección]))),ROW(BI12))),"")</f>
        <v/>
      </c>
      <c r="BK13" s="51" t="str">
        <f t="array" aca="1" ref="BK13" ca="1">IFERROR(INDEX(Leccion[selectorLeccion],SMALL(IF(BK$1=Leccion[SubSección],MATCH(ROW(Leccion[SubSección]),ROW(Leccion[SubSección]))),ROW(BJ12))),"")</f>
        <v/>
      </c>
      <c r="BL13" s="51" t="str">
        <f t="array" aca="1" ref="BL13" ca="1">IFERROR(INDEX(Leccion[selectorLeccion],SMALL(IF(BL$1=Leccion[SubSección],MATCH(ROW(Leccion[SubSección]),ROW(Leccion[SubSección]))),ROW(BK12))),"")</f>
        <v/>
      </c>
      <c r="BM13" s="51" t="str">
        <f t="array" aca="1" ref="BM13" ca="1">IFERROR(INDEX(Leccion[selectorLeccion],SMALL(IF(BM$1=Leccion[SubSección],MATCH(ROW(Leccion[SubSección]),ROW(Leccion[SubSección]))),ROW(BL12))),"")</f>
        <v/>
      </c>
      <c r="BN13" s="51" t="str">
        <f t="array" aca="1" ref="BN13" ca="1">IFERROR(INDEX(Leccion[selectorLeccion],SMALL(IF(BN$1=Leccion[SubSección],MATCH(ROW(Leccion[SubSección]),ROW(Leccion[SubSección]))),ROW(BM12))),"")</f>
        <v/>
      </c>
      <c r="BO13" s="51" t="str">
        <f t="array" aca="1" ref="BO13" ca="1">IFERROR(INDEX(Leccion[selectorLeccion],SMALL(IF(BO$1=Leccion[SubSección],MATCH(ROW(Leccion[SubSección]),ROW(Leccion[SubSección]))),ROW(BN12))),"")</f>
        <v/>
      </c>
      <c r="BP13" s="51" t="str">
        <f t="array" aca="1" ref="BP13" ca="1">IFERROR(INDEX(Leccion[selectorLeccion],SMALL(IF(BP$1=Leccion[SubSección],MATCH(ROW(Leccion[SubSección]),ROW(Leccion[SubSección]))),ROW(BO12))),"")</f>
        <v/>
      </c>
      <c r="BQ13" s="51" t="str">
        <f t="array" aca="1" ref="BQ13" ca="1">IFERROR(INDEX(Leccion[selectorLeccion],SMALL(IF(BQ$1=Leccion[SubSección],MATCH(ROW(Leccion[SubSección]),ROW(Leccion[SubSección]))),ROW(BP12))),"")</f>
        <v/>
      </c>
      <c r="BR13" s="51" t="str">
        <f t="array" aca="1" ref="BR13" ca="1">IFERROR(INDEX(Leccion[selectorLeccion],SMALL(IF(BR$1=Leccion[SubSección],MATCH(ROW(Leccion[SubSección]),ROW(Leccion[SubSección]))),ROW(BQ12))),"")</f>
        <v/>
      </c>
      <c r="BS13" s="51" t="str">
        <f t="array" aca="1" ref="BS13" ca="1">IFERROR(INDEX(Leccion[selectorLeccion],SMALL(IF(BS$1=Leccion[SubSección],MATCH(ROW(Leccion[SubSección]),ROW(Leccion[SubSección]))),ROW(BR12))),"")</f>
        <v/>
      </c>
      <c r="BT13" s="51" t="str">
        <f t="array" aca="1" ref="BT13" ca="1">IFERROR(INDEX(Leccion[selectorLeccion],SMALL(IF(BT$1=Leccion[SubSección],MATCH(ROW(Leccion[SubSección]),ROW(Leccion[SubSección]))),ROW(BS12))),"")</f>
        <v/>
      </c>
      <c r="BU13" s="51" t="str">
        <f t="array" aca="1" ref="BU13" ca="1">IFERROR(INDEX(Leccion[selectorLeccion],SMALL(IF(BU$1=Leccion[SubSección],MATCH(ROW(Leccion[SubSección]),ROW(Leccion[SubSección]))),ROW(BT12))),"")</f>
        <v/>
      </c>
      <c r="BV13" s="51" t="str">
        <f t="array" aca="1" ref="BV13" ca="1">IFERROR(INDEX(Leccion[selectorLeccion],SMALL(IF(BV$1=Leccion[SubSección],MATCH(ROW(Leccion[SubSección]),ROW(Leccion[SubSección]))),ROW(BU12))),"")</f>
        <v/>
      </c>
      <c r="BW13" s="51" t="str">
        <f t="array" aca="1" ref="BW13" ca="1">IFERROR(INDEX(Leccion[selectorLeccion],SMALL(IF(BW$1=Leccion[SubSección],MATCH(ROW(Leccion[SubSección]),ROW(Leccion[SubSección]))),ROW(BV12))),"")</f>
        <v/>
      </c>
      <c r="BX13" s="51" t="str">
        <f t="array" aca="1" ref="BX13" ca="1">IFERROR(INDEX(Leccion[selectorLeccion],SMALL(IF(BX$1=Leccion[SubSección],MATCH(ROW(Leccion[SubSección]),ROW(Leccion[SubSección]))),ROW(BW12))),"")</f>
        <v/>
      </c>
      <c r="BY13" s="51" t="str">
        <f t="array" aca="1" ref="BY13" ca="1">IFERROR(INDEX(Leccion[selectorLeccion],SMALL(IF(BY$1=Leccion[SubSección],MATCH(ROW(Leccion[SubSección]),ROW(Leccion[SubSección]))),ROW(BX12))),"")</f>
        <v/>
      </c>
      <c r="BZ13" s="51" t="str">
        <f t="array" aca="1" ref="BZ13" ca="1">IFERROR(INDEX(Leccion[selectorLeccion],SMALL(IF(BZ$1=Leccion[SubSección],MATCH(ROW(Leccion[SubSección]),ROW(Leccion[SubSección]))),ROW(BY12))),"")</f>
        <v/>
      </c>
      <c r="CA13" s="51" t="str">
        <f t="array" aca="1" ref="CA13" ca="1">IFERROR(INDEX(Leccion[selectorLeccion],SMALL(IF(CA$1=Leccion[SubSección],MATCH(ROW(Leccion[SubSección]),ROW(Leccion[SubSección]))),ROW(BZ12))),"")</f>
        <v/>
      </c>
      <c r="CB13" s="51" t="str">
        <f t="array" aca="1" ref="CB13" ca="1">IFERROR(INDEX(Leccion[selectorLeccion],SMALL(IF(CB$1=Leccion[SubSección],MATCH(ROW(Leccion[SubSección]),ROW(Leccion[SubSección]))),ROW(CA12))),"")</f>
        <v/>
      </c>
      <c r="CC13" s="51" t="str">
        <f t="array" aca="1" ref="CC13" ca="1">IFERROR(INDEX(Leccion[selectorLeccion],SMALL(IF(CC$1=Leccion[SubSección],MATCH(ROW(Leccion[SubSección]),ROW(Leccion[SubSección]))),ROW(CB12))),"")</f>
        <v/>
      </c>
      <c r="CD13" s="51" t="str">
        <f t="array" aca="1" ref="CD13" ca="1">IFERROR(INDEX(Leccion[selectorLeccion],SMALL(IF(CD$1=Leccion[SubSección],MATCH(ROW(Leccion[SubSección]),ROW(Leccion[SubSección]))),ROW(CC12))),"")</f>
        <v/>
      </c>
      <c r="CE13" s="51" t="str">
        <f t="array" aca="1" ref="CE13" ca="1">IFERROR(INDEX(Leccion[selectorLeccion],SMALL(IF(CE$1=Leccion[SubSección],MATCH(ROW(Leccion[SubSección]),ROW(Leccion[SubSección]))),ROW(CD12))),"")</f>
        <v/>
      </c>
      <c r="CF13" s="51" t="str">
        <f t="array" aca="1" ref="CF13" ca="1">IFERROR(INDEX(Leccion[selectorLeccion],SMALL(IF(CF$1=Leccion[SubSección],MATCH(ROW(Leccion[SubSección]),ROW(Leccion[SubSección]))),ROW(CE12))),"")</f>
        <v/>
      </c>
      <c r="CG13" s="51" t="str">
        <f t="array" aca="1" ref="CG13" ca="1">IFERROR(INDEX(Leccion[selectorLeccion],SMALL(IF(CG$1=Leccion[SubSección],MATCH(ROW(Leccion[SubSección]),ROW(Leccion[SubSección]))),ROW(CF12))),"")</f>
        <v/>
      </c>
      <c r="CH13" s="51" t="str">
        <f t="array" aca="1" ref="CH13" ca="1">IFERROR(INDEX(Leccion[selectorLeccion],SMALL(IF(CH$1=Leccion[SubSección],MATCH(ROW(Leccion[SubSección]),ROW(Leccion[SubSección]))),ROW(CG12))),"")</f>
        <v/>
      </c>
      <c r="CI13" s="51" t="str">
        <f t="array" aca="1" ref="CI13" ca="1">IFERROR(INDEX(Leccion[selectorLeccion],SMALL(IF(CI$1=Leccion[SubSección],MATCH(ROW(Leccion[SubSección]),ROW(Leccion[SubSección]))),ROW(CH12))),"")</f>
        <v/>
      </c>
      <c r="CJ13" s="51" t="str">
        <f t="array" aca="1" ref="CJ13" ca="1">IFERROR(INDEX(Leccion[selectorLeccion],SMALL(IF(CJ$1=Leccion[SubSección],MATCH(ROW(Leccion[SubSección]),ROW(Leccion[SubSección]))),ROW(CI12))),"")</f>
        <v/>
      </c>
      <c r="CK13" s="51" t="str">
        <f t="array" aca="1" ref="CK13" ca="1">IFERROR(INDEX(Leccion[selectorLeccion],SMALL(IF(CK$1=Leccion[SubSección],MATCH(ROW(Leccion[SubSección]),ROW(Leccion[SubSección]))),ROW(CJ12))),"")</f>
        <v/>
      </c>
      <c r="CL13" s="51" t="str">
        <f t="array" aca="1" ref="CL13" ca="1">IFERROR(INDEX(Leccion[selectorLeccion],SMALL(IF(CL$1=Leccion[SubSección],MATCH(ROW(Leccion[SubSección]),ROW(Leccion[SubSección]))),ROW(CK12))),"")</f>
        <v/>
      </c>
      <c r="CM13" s="51" t="str">
        <f t="array" aca="1" ref="CM13" ca="1">IFERROR(INDEX(Leccion[selectorLeccion],SMALL(IF(CM$1=Leccion[SubSección],MATCH(ROW(Leccion[SubSección]),ROW(Leccion[SubSección]))),ROW(CL12))),"")</f>
        <v/>
      </c>
      <c r="CN13" s="51" t="str">
        <f t="array" aca="1" ref="CN13" ca="1">IFERROR(INDEX(Leccion[selectorLeccion],SMALL(IF(CN$1=Leccion[SubSección],MATCH(ROW(Leccion[SubSección]),ROW(Leccion[SubSección]))),ROW(CM12))),"")</f>
        <v/>
      </c>
      <c r="CO13" s="51" t="str">
        <f t="array" aca="1" ref="CO13" ca="1">IFERROR(INDEX(Leccion[selectorLeccion],SMALL(IF(CO$1=Leccion[SubSección],MATCH(ROW(Leccion[SubSección]),ROW(Leccion[SubSección]))),ROW(CN12))),"")</f>
        <v/>
      </c>
      <c r="CP13" s="51" t="str">
        <f t="array" aca="1" ref="CP13" ca="1">IFERROR(INDEX(Leccion[selectorLeccion],SMALL(IF(CP$1=Leccion[SubSección],MATCH(ROW(Leccion[SubSección]),ROW(Leccion[SubSección]))),ROW(CO12))),"")</f>
        <v/>
      </c>
      <c r="CQ13" s="51" t="str">
        <f t="array" aca="1" ref="CQ13" ca="1">IFERROR(INDEX(Leccion[selectorLeccion],SMALL(IF(CQ$1=Leccion[SubSección],MATCH(ROW(Leccion[SubSección]),ROW(Leccion[SubSección]))),ROW(CP12))),"")</f>
        <v/>
      </c>
      <c r="CR13" s="51" t="str">
        <f t="array" aca="1" ref="CR13" ca="1">IFERROR(INDEX(Leccion[selectorLeccion],SMALL(IF(CR$1=Leccion[SubSección],MATCH(ROW(Leccion[SubSección]),ROW(Leccion[SubSección]))),ROW(CQ12))),"")</f>
        <v/>
      </c>
      <c r="CS13" s="51" t="str">
        <f t="array" aca="1" ref="CS13" ca="1">IFERROR(INDEX(Leccion[selectorLeccion],SMALL(IF(CS$1=Leccion[SubSección],MATCH(ROW(Leccion[SubSección]),ROW(Leccion[SubSección]))),ROW(CR12))),"")</f>
        <v/>
      </c>
      <c r="CT13" s="51" t="str">
        <f t="array" aca="1" ref="CT13" ca="1">IFERROR(INDEX(Leccion[selectorLeccion],SMALL(IF(CT$1=Leccion[SubSección],MATCH(ROW(Leccion[SubSección]),ROW(Leccion[SubSección]))),ROW(CS12))),"")</f>
        <v/>
      </c>
      <c r="CU13" s="51" t="str">
        <f t="array" aca="1" ref="CU13" ca="1">IFERROR(INDEX(Leccion[selectorLeccion],SMALL(IF(CU$1=Leccion[SubSección],MATCH(ROW(Leccion[SubSección]),ROW(Leccion[SubSección]))),ROW(CT12))),"")</f>
        <v/>
      </c>
      <c r="CV13" s="51" t="str">
        <f t="array" aca="1" ref="CV13" ca="1">IFERROR(INDEX(Leccion[selectorLeccion],SMALL(IF(CV$1=Leccion[SubSección],MATCH(ROW(Leccion[SubSección]),ROW(Leccion[SubSección]))),ROW(CU12))),"")</f>
        <v/>
      </c>
      <c r="CW13" s="51" t="str">
        <f t="array" aca="1" ref="CW13" ca="1">IFERROR(INDEX(Leccion[selectorLeccion],SMALL(IF(CW$1=Leccion[SubSección],MATCH(ROW(Leccion[SubSección]),ROW(Leccion[SubSección]))),ROW(CV12))),"")</f>
        <v/>
      </c>
      <c r="CX13" s="51" t="str">
        <f t="array" aca="1" ref="CX13" ca="1">IFERROR(INDEX(Leccion[selectorLeccion],SMALL(IF(CX$1=Leccion[SubSección],MATCH(ROW(Leccion[SubSección]),ROW(Leccion[SubSección]))),ROW(CW12))),"")</f>
        <v/>
      </c>
      <c r="CY13" s="51" t="str">
        <f t="array" aca="1" ref="CY13" ca="1">IFERROR(INDEX(Leccion[selectorLeccion],SMALL(IF(CY$1=Leccion[SubSección],MATCH(ROW(Leccion[SubSección]),ROW(Leccion[SubSección]))),ROW(CX12))),"")</f>
        <v/>
      </c>
      <c r="CZ13" s="51" t="str">
        <f t="array" aca="1" ref="CZ13" ca="1">IFERROR(INDEX(Leccion[selectorLeccion],SMALL(IF(CZ$1=Leccion[SubSección],MATCH(ROW(Leccion[SubSección]),ROW(Leccion[SubSección]))),ROW(CY12))),"")</f>
        <v/>
      </c>
      <c r="DA13" s="51" t="str">
        <f t="array" aca="1" ref="DA13" ca="1">IFERROR(INDEX(Leccion[selectorLeccion],SMALL(IF(DA$1=Leccion[SubSección],MATCH(ROW(Leccion[SubSección]),ROW(Leccion[SubSección]))),ROW(CZ12))),"")</f>
        <v/>
      </c>
      <c r="DB13" s="51" t="str">
        <f t="array" aca="1" ref="DB13" ca="1">IFERROR(INDEX(Leccion[selectorLeccion],SMALL(IF(DB$1=Leccion[SubSección],MATCH(ROW(Leccion[SubSección]),ROW(Leccion[SubSección]))),ROW(DA12))),"")</f>
        <v/>
      </c>
      <c r="DC13" s="51" t="str">
        <f t="array" aca="1" ref="DC13" ca="1">IFERROR(INDEX(Leccion[selectorLeccion],SMALL(IF(DC$1=Leccion[SubSección],MATCH(ROW(Leccion[SubSección]),ROW(Leccion[SubSección]))),ROW(DB12))),"")</f>
        <v/>
      </c>
      <c r="DD13" s="51" t="str">
        <f t="array" aca="1" ref="DD13" ca="1">IFERROR(INDEX(Leccion[selectorLeccion],SMALL(IF(DD$1=Leccion[SubSección],MATCH(ROW(Leccion[SubSección]),ROW(Leccion[SubSección]))),ROW(DC12))),"")</f>
        <v/>
      </c>
      <c r="DE13" s="51" t="str">
        <f t="array" aca="1" ref="DE13" ca="1">IFERROR(INDEX(Leccion[selectorLeccion],SMALL(IF(DE$1=Leccion[SubSección],MATCH(ROW(Leccion[SubSección]),ROW(Leccion[SubSección]))),ROW(DD12))),"")</f>
        <v/>
      </c>
      <c r="DF13" s="51" t="str">
        <f t="array" aca="1" ref="DF13" ca="1">IFERROR(INDEX(Leccion[selectorLeccion],SMALL(IF(DF$1=Leccion[SubSección],MATCH(ROW(Leccion[SubSección]),ROW(Leccion[SubSección]))),ROW(DE12))),"")</f>
        <v/>
      </c>
      <c r="DG13" s="51" t="str">
        <f t="array" aca="1" ref="DG13" ca="1">IFERROR(INDEX(Leccion[selectorLeccion],SMALL(IF(DG$1=Leccion[SubSección],MATCH(ROW(Leccion[SubSección]),ROW(Leccion[SubSección]))),ROW(DF12))),"")</f>
        <v/>
      </c>
      <c r="DH13" s="51" t="str">
        <f t="array" aca="1" ref="DH13" ca="1">IFERROR(INDEX(Leccion[selectorLeccion],SMALL(IF(DH$1=Leccion[SubSección],MATCH(ROW(Leccion[SubSección]),ROW(Leccion[SubSección]))),ROW(DG12))),"")</f>
        <v/>
      </c>
      <c r="DI13" s="51" t="str">
        <f t="array" aca="1" ref="DI13" ca="1">IFERROR(INDEX(Leccion[selectorLeccion],SMALL(IF(DI$1=Leccion[SubSección],MATCH(ROW(Leccion[SubSección]),ROW(Leccion[SubSección]))),ROW(DH12))),"")</f>
        <v/>
      </c>
      <c r="DJ13" s="51" t="str">
        <f t="array" aca="1" ref="DJ13" ca="1">IFERROR(INDEX(Leccion[selectorLeccion],SMALL(IF(DJ$1=Leccion[SubSección],MATCH(ROW(Leccion[SubSección]),ROW(Leccion[SubSección]))),ROW(DI12))),"")</f>
        <v/>
      </c>
      <c r="DK13" s="51" t="str">
        <f t="array" aca="1" ref="DK13" ca="1">IFERROR(INDEX(Leccion[selectorLeccion],SMALL(IF(DK$1=Leccion[SubSección],MATCH(ROW(Leccion[SubSección]),ROW(Leccion[SubSección]))),ROW(DJ12))),"")</f>
        <v/>
      </c>
      <c r="DL13" s="51" t="str">
        <f t="array" aca="1" ref="DL13" ca="1">IFERROR(INDEX(Leccion[selectorLeccion],SMALL(IF(DL$1=Leccion[SubSección],MATCH(ROW(Leccion[SubSección]),ROW(Leccion[SubSección]))),ROW(DK12))),"")</f>
        <v/>
      </c>
      <c r="DM13" s="51" t="str">
        <f t="array" aca="1" ref="DM13" ca="1">IFERROR(INDEX(Leccion[selectorLeccion],SMALL(IF(DM$1=Leccion[SubSección],MATCH(ROW(Leccion[SubSección]),ROW(Leccion[SubSección]))),ROW(DL12))),"")</f>
        <v/>
      </c>
      <c r="DN13" s="51" t="str">
        <f t="array" aca="1" ref="DN13" ca="1">IFERROR(INDEX(Leccion[selectorLeccion],SMALL(IF(DN$1=Leccion[SubSección],MATCH(ROW(Leccion[SubSección]),ROW(Leccion[SubSección]))),ROW(DM12))),"")</f>
        <v/>
      </c>
      <c r="DO13" s="51" t="str">
        <f t="array" aca="1" ref="DO13" ca="1">IFERROR(INDEX(Leccion[selectorLeccion],SMALL(IF(DO$1=Leccion[SubSección],MATCH(ROW(Leccion[SubSección]),ROW(Leccion[SubSección]))),ROW(DN12))),"")</f>
        <v/>
      </c>
      <c r="DP13" s="51" t="str">
        <f t="array" aca="1" ref="DP13" ca="1">IFERROR(INDEX(Leccion[selectorLeccion],SMALL(IF(DP$1=Leccion[SubSección],MATCH(ROW(Leccion[SubSección]),ROW(Leccion[SubSección]))),ROW(DO12))),"")</f>
        <v/>
      </c>
      <c r="DQ13" s="51" t="str">
        <f t="array" aca="1" ref="DQ13" ca="1">IFERROR(INDEX(Leccion[selectorLeccion],SMALL(IF(DQ$1=Leccion[SubSección],MATCH(ROW(Leccion[SubSección]),ROW(Leccion[SubSección]))),ROW(DP12))),"")</f>
        <v/>
      </c>
      <c r="DR13" s="51" t="str">
        <f t="array" aca="1" ref="DR13" ca="1">IFERROR(INDEX(Leccion[selectorLeccion],SMALL(IF(DR$1=Leccion[SubSección],MATCH(ROW(Leccion[SubSección]),ROW(Leccion[SubSección]))),ROW(DQ12))),"")</f>
        <v/>
      </c>
      <c r="DS13" s="51" t="str">
        <f t="array" aca="1" ref="DS13" ca="1">IFERROR(INDEX(Leccion[selectorLeccion],SMALL(IF(DS$1=Leccion[SubSección],MATCH(ROW(Leccion[SubSección]),ROW(Leccion[SubSección]))),ROW(DR12))),"")</f>
        <v/>
      </c>
      <c r="DT13" s="51" t="str">
        <f t="array" aca="1" ref="DT13" ca="1">IFERROR(INDEX(Leccion[selectorLeccion],SMALL(IF(DT$1=Leccion[SubSección],MATCH(ROW(Leccion[SubSección]),ROW(Leccion[SubSección]))),ROW(DS12))),"")</f>
        <v/>
      </c>
      <c r="DU13" s="51" t="str">
        <f t="array" aca="1" ref="DU13" ca="1">IFERROR(INDEX(Leccion[selectorLeccion],SMALL(IF(DU$1=Leccion[SubSección],MATCH(ROW(Leccion[SubSección]),ROW(Leccion[SubSección]))),ROW(DT12))),"")</f>
        <v/>
      </c>
      <c r="DV13" s="51" t="str">
        <f t="array" aca="1" ref="DV13" ca="1">IFERROR(INDEX(Leccion[selectorLeccion],SMALL(IF(DV$1=Leccion[SubSección],MATCH(ROW(Leccion[SubSección]),ROW(Leccion[SubSección]))),ROW(DU12))),"")</f>
        <v/>
      </c>
      <c r="DW13" s="51" t="str">
        <f t="array" aca="1" ref="DW13" ca="1">IFERROR(INDEX(Leccion[selectorLeccion],SMALL(IF(DW$1=Leccion[SubSección],MATCH(ROW(Leccion[SubSección]),ROW(Leccion[SubSección]))),ROW(DV12))),"")</f>
        <v/>
      </c>
      <c r="DX13" s="51" t="str">
        <f t="array" aca="1" ref="DX13" ca="1">IFERROR(INDEX(Leccion[selectorLeccion],SMALL(IF(DX$1=Leccion[SubSección],MATCH(ROW(Leccion[SubSección]),ROW(Leccion[SubSección]))),ROW(DW12))),"")</f>
        <v/>
      </c>
      <c r="DY13" s="51" t="str">
        <f t="array" aca="1" ref="DY13" ca="1">IFERROR(INDEX(Leccion[selectorLeccion],SMALL(IF(DY$1=Leccion[SubSección],MATCH(ROW(Leccion[SubSección]),ROW(Leccion[SubSección]))),ROW(DX12))),"")</f>
        <v/>
      </c>
      <c r="DZ13" s="51" t="str">
        <f t="array" aca="1" ref="DZ13" ca="1">IFERROR(INDEX(Leccion[selectorLeccion],SMALL(IF(DZ$1=Leccion[SubSección],MATCH(ROW(Leccion[SubSección]),ROW(Leccion[SubSección]))),ROW(DY12))),"")</f>
        <v/>
      </c>
      <c r="EA13" s="51" t="str">
        <f t="array" aca="1" ref="EA13" ca="1">IFERROR(INDEX(Leccion[selectorLeccion],SMALL(IF(EA$1=Leccion[SubSección],MATCH(ROW(Leccion[SubSección]),ROW(Leccion[SubSección]))),ROW(DZ12))),"")</f>
        <v/>
      </c>
      <c r="EB13" s="51" t="str">
        <f t="array" aca="1" ref="EB13" ca="1">IFERROR(INDEX(Leccion[selectorLeccion],SMALL(IF(EB$1=Leccion[SubSección],MATCH(ROW(Leccion[SubSección]),ROW(Leccion[SubSección]))),ROW(EA12))),"")</f>
        <v/>
      </c>
      <c r="EC13" s="51" t="str">
        <f t="array" aca="1" ref="EC13" ca="1">IFERROR(INDEX(Leccion[selectorLeccion],SMALL(IF(EC$1=Leccion[SubSección],MATCH(ROW(Leccion[SubSección]),ROW(Leccion[SubSección]))),ROW(EB12))),"")</f>
        <v/>
      </c>
      <c r="ED13" s="51" t="str">
        <f t="array" aca="1" ref="ED13" ca="1">IFERROR(INDEX(Leccion[selectorLeccion],SMALL(IF(ED$1=Leccion[SubSección],MATCH(ROW(Leccion[SubSección]),ROW(Leccion[SubSección]))),ROW(EC12))),"")</f>
        <v/>
      </c>
      <c r="EE13" s="51" t="str">
        <f t="array" aca="1" ref="EE13" ca="1">IFERROR(INDEX(Leccion[selectorLeccion],SMALL(IF(EE$1=Leccion[SubSección],MATCH(ROW(Leccion[SubSección]),ROW(Leccion[SubSección]))),ROW(ED12))),"")</f>
        <v/>
      </c>
      <c r="EF13" s="51" t="str">
        <f t="array" aca="1" ref="EF13" ca="1">IFERROR(INDEX(Leccion[selectorLeccion],SMALL(IF(EF$1=Leccion[SubSección],MATCH(ROW(Leccion[SubSección]),ROW(Leccion[SubSección]))),ROW(EE12))),"")</f>
        <v/>
      </c>
      <c r="EG13" s="51" t="str">
        <f t="array" aca="1" ref="EG13" ca="1">IFERROR(INDEX(Leccion[selectorLeccion],SMALL(IF(EG$1=Leccion[SubSección],MATCH(ROW(Leccion[SubSección]),ROW(Leccion[SubSección]))),ROW(EF12))),"")</f>
        <v/>
      </c>
      <c r="EH13" s="51" t="str">
        <f t="array" aca="1" ref="EH13" ca="1">IFERROR(INDEX(Leccion[selectorLeccion],SMALL(IF(EH$1=Leccion[SubSección],MATCH(ROW(Leccion[SubSección]),ROW(Leccion[SubSección]))),ROW(EG12))),"")</f>
        <v/>
      </c>
      <c r="EI13" s="51" t="str">
        <f t="array" aca="1" ref="EI13" ca="1">IFERROR(INDEX(Leccion[selectorLeccion],SMALL(IF(EI$1=Leccion[SubSección],MATCH(ROW(Leccion[SubSección]),ROW(Leccion[SubSección]))),ROW(EH12))),"")</f>
        <v/>
      </c>
      <c r="EJ13" s="51" t="str">
        <f t="array" aca="1" ref="EJ13" ca="1">IFERROR(INDEX(Leccion[selectorLeccion],SMALL(IF(EJ$1=Leccion[SubSección],MATCH(ROW(Leccion[SubSección]),ROW(Leccion[SubSección]))),ROW(EI12))),"")</f>
        <v/>
      </c>
      <c r="EK13" s="51" t="str">
        <f t="array" aca="1" ref="EK13" ca="1">IFERROR(INDEX(Leccion[selectorLeccion],SMALL(IF(EK$1=Leccion[SubSección],MATCH(ROW(Leccion[SubSección]),ROW(Leccion[SubSección]))),ROW(EJ12))),"")</f>
        <v/>
      </c>
      <c r="EL13" s="51" t="str">
        <f t="array" aca="1" ref="EL13" ca="1">IFERROR(INDEX(Leccion[selectorLeccion],SMALL(IF(EL$1=Leccion[SubSección],MATCH(ROW(Leccion[SubSección]),ROW(Leccion[SubSección]))),ROW(EK12))),"")</f>
        <v/>
      </c>
      <c r="EM13" s="51" t="str">
        <f t="array" aca="1" ref="EM13" ca="1">IFERROR(INDEX(Leccion[selectorLeccion],SMALL(IF(EM$1=Leccion[SubSección],MATCH(ROW(Leccion[SubSección]),ROW(Leccion[SubSección]))),ROW(EL12))),"")</f>
        <v/>
      </c>
      <c r="EN13" s="51" t="str">
        <f t="array" aca="1" ref="EN13" ca="1">IFERROR(INDEX(Leccion[selectorLeccion],SMALL(IF(EN$1=Leccion[SubSección],MATCH(ROW(Leccion[SubSección]),ROW(Leccion[SubSección]))),ROW(EM12))),"")</f>
        <v/>
      </c>
      <c r="EO13" s="51" t="str">
        <f t="array" aca="1" ref="EO13" ca="1">IFERROR(INDEX(Leccion[selectorLeccion],SMALL(IF(EO$1=Leccion[SubSección],MATCH(ROW(Leccion[SubSección]),ROW(Leccion[SubSección]))),ROW(EN12))),"")</f>
        <v/>
      </c>
      <c r="EP13" s="51" t="str">
        <f t="array" aca="1" ref="EP13" ca="1">IFERROR(INDEX(Leccion[selectorLeccion],SMALL(IF(EP$1=Leccion[SubSección],MATCH(ROW(Leccion[SubSección]),ROW(Leccion[SubSección]))),ROW(EO12))),"")</f>
        <v/>
      </c>
      <c r="EQ13" s="51" t="str">
        <f t="array" aca="1" ref="EQ13" ca="1">IFERROR(INDEX(Leccion[selectorLeccion],SMALL(IF(EQ$1=Leccion[SubSección],MATCH(ROW(Leccion[SubSección]),ROW(Leccion[SubSección]))),ROW(EP12))),"")</f>
        <v/>
      </c>
      <c r="ER13" s="51" t="str">
        <f t="array" aca="1" ref="ER13" ca="1">IFERROR(INDEX(Leccion[selectorLeccion],SMALL(IF(ER$1=Leccion[SubSección],MATCH(ROW(Leccion[SubSección]),ROW(Leccion[SubSección]))),ROW(EQ12))),"")</f>
        <v/>
      </c>
      <c r="ES13" s="51" t="str">
        <f t="array" aca="1" ref="ES13" ca="1">IFERROR(INDEX(Leccion[selectorLeccion],SMALL(IF(ES$1=Leccion[SubSección],MATCH(ROW(Leccion[SubSección]),ROW(Leccion[SubSección]))),ROW(ER12))),"")</f>
        <v/>
      </c>
      <c r="ET13" s="51" t="str">
        <f t="array" aca="1" ref="ET13" ca="1">IFERROR(INDEX(Leccion[selectorLeccion],SMALL(IF(ET$1=Leccion[SubSección],MATCH(ROW(Leccion[SubSección]),ROW(Leccion[SubSección]))),ROW(ES12))),"")</f>
        <v/>
      </c>
      <c r="EU13" s="51" t="str">
        <f t="array" aca="1" ref="EU13" ca="1">IFERROR(INDEX(Leccion[selectorLeccion],SMALL(IF(EU$1=Leccion[SubSección],MATCH(ROW(Leccion[SubSección]),ROW(Leccion[SubSección]))),ROW(ET12))),"")</f>
        <v/>
      </c>
      <c r="EV13" s="51" t="str">
        <f t="array" aca="1" ref="EV13" ca="1">IFERROR(INDEX(Leccion[selectorLeccion],SMALL(IF(EV$1=Leccion[SubSección],MATCH(ROW(Leccion[SubSección]),ROW(Leccion[SubSección]))),ROW(EU12))),"")</f>
        <v/>
      </c>
      <c r="EW13" s="51" t="str">
        <f t="array" aca="1" ref="EW13" ca="1">IFERROR(INDEX(Leccion[selectorLeccion],SMALL(IF(EW$1=Leccion[SubSección],MATCH(ROW(Leccion[SubSección]),ROW(Leccion[SubSección]))),ROW(EV12))),"")</f>
        <v/>
      </c>
      <c r="EX13" s="51" t="str">
        <f t="array" aca="1" ref="EX13" ca="1">IFERROR(INDEX(Leccion[selectorLeccion],SMALL(IF(EX$1=Leccion[SubSección],MATCH(ROW(Leccion[SubSección]),ROW(Leccion[SubSección]))),ROW(EW12))),"")</f>
        <v/>
      </c>
      <c r="EY13" s="51" t="str">
        <f t="array" aca="1" ref="EY13" ca="1">IFERROR(INDEX(Leccion[selectorLeccion],SMALL(IF(EY$1=Leccion[SubSección],MATCH(ROW(Leccion[SubSección]),ROW(Leccion[SubSección]))),ROW(EX12))),"")</f>
        <v/>
      </c>
      <c r="EZ13" s="51" t="str">
        <f t="array" aca="1" ref="EZ13" ca="1">IFERROR(INDEX(Leccion[selectorLeccion],SMALL(IF(EZ$1=Leccion[SubSección],MATCH(ROW(Leccion[SubSección]),ROW(Leccion[SubSección]))),ROW(EY12))),"")</f>
        <v/>
      </c>
    </row>
    <row r="14" spans="2:156" x14ac:dyDescent="0.3">
      <c r="B14" s="51" t="str">
        <f t="array" aca="1" ref="B14" ca="1">IFERROR(INDEX(Leccion[selectorLeccion],SMALL(IF(B$1=Leccion[SubSección],MATCH(ROW(Leccion[SubSección]),ROW(Leccion[SubSección]))),ROW(A13))),"")</f>
        <v/>
      </c>
      <c r="C14" s="51" t="str">
        <f t="array" aca="1" ref="C14" ca="1">IFERROR(INDEX(Leccion[selectorLeccion],SMALL(IF(C$1=Leccion[SubSección],MATCH(ROW(Leccion[SubSección]),ROW(Leccion[SubSección]))),ROW(B13))),"")</f>
        <v/>
      </c>
      <c r="D14" s="51" t="str">
        <f t="array" aca="1" ref="D14" ca="1">IFERROR(INDEX(Leccion[selectorLeccion],SMALL(IF(D$1=Leccion[SubSección],MATCH(ROW(Leccion[SubSección]),ROW(Leccion[SubSección]))),ROW(C13))),"")</f>
        <v/>
      </c>
      <c r="E14" s="51" t="str">
        <f t="array" aca="1" ref="E14" ca="1">IFERROR(INDEX(Leccion[selectorLeccion],SMALL(IF(E$1=Leccion[SubSección],MATCH(ROW(Leccion[SubSección]),ROW(Leccion[SubSección]))),ROW(D13))),"")</f>
        <v/>
      </c>
      <c r="F14" s="51" t="str">
        <f t="array" aca="1" ref="F14" ca="1">IFERROR(INDEX(Leccion[selectorLeccion],SMALL(IF(F$1=Leccion[SubSección],MATCH(ROW(Leccion[SubSección]),ROW(Leccion[SubSección]))),ROW(E13))),"")</f>
        <v/>
      </c>
      <c r="G14" s="51" t="str">
        <f t="array" aca="1" ref="G14" ca="1">IFERROR(INDEX(Leccion[selectorLeccion],SMALL(IF(G$1=Leccion[SubSección],MATCH(ROW(Leccion[SubSección]),ROW(Leccion[SubSección]))),ROW(F13))),"")</f>
        <v/>
      </c>
      <c r="H14" s="51" t="str">
        <f t="array" aca="1" ref="H14" ca="1">IFERROR(INDEX(Leccion[selectorLeccion],SMALL(IF(H$1=Leccion[SubSección],MATCH(ROW(Leccion[SubSección]),ROW(Leccion[SubSección]))),ROW(G13))),"")</f>
        <v/>
      </c>
      <c r="I14" s="51" t="str">
        <f t="array" aca="1" ref="I14" ca="1">IFERROR(INDEX(Leccion[selectorLeccion],SMALL(IF(I$1=Leccion[SubSección],MATCH(ROW(Leccion[SubSección]),ROW(Leccion[SubSección]))),ROW(H13))),"")</f>
        <v/>
      </c>
      <c r="J14" s="51" t="str">
        <f t="array" aca="1" ref="J14" ca="1">IFERROR(INDEX(Leccion[selectorLeccion],SMALL(IF(J$1=Leccion[SubSección],MATCH(ROW(Leccion[SubSección]),ROW(Leccion[SubSección]))),ROW(I13))),"")</f>
        <v/>
      </c>
      <c r="K14" s="51" t="str">
        <f t="array" aca="1" ref="K14" ca="1">IFERROR(INDEX(Leccion[selectorLeccion],SMALL(IF(K$1=Leccion[SubSección],MATCH(ROW(Leccion[SubSección]),ROW(Leccion[SubSección]))),ROW(J13))),"")</f>
        <v/>
      </c>
      <c r="L14" s="51" t="str">
        <f t="array" aca="1" ref="L14" ca="1">IFERROR(INDEX(Leccion[selectorLeccion],SMALL(IF(L$1=Leccion[SubSección],MATCH(ROW(Leccion[SubSección]),ROW(Leccion[SubSección]))),ROW(K13))),"")</f>
        <v/>
      </c>
      <c r="M14" s="51" t="str">
        <f t="array" aca="1" ref="M14" ca="1">IFERROR(INDEX(Leccion[selectorLeccion],SMALL(IF(M$1=Leccion[SubSección],MATCH(ROW(Leccion[SubSección]),ROW(Leccion[SubSección]))),ROW(L13))),"")</f>
        <v/>
      </c>
      <c r="N14" s="51" t="str">
        <f t="array" aca="1" ref="N14" ca="1">IFERROR(INDEX(Leccion[selectorLeccion],SMALL(IF(N$1=Leccion[SubSección],MATCH(ROW(Leccion[SubSección]),ROW(Leccion[SubSección]))),ROW(M13))),"")</f>
        <v/>
      </c>
      <c r="O14" s="51" t="str">
        <f t="array" aca="1" ref="O14" ca="1">IFERROR(INDEX(Leccion[selectorLeccion],SMALL(IF(O$1=Leccion[SubSección],MATCH(ROW(Leccion[SubSección]),ROW(Leccion[SubSección]))),ROW(N13))),"")</f>
        <v/>
      </c>
      <c r="P14" s="51" t="str">
        <f t="array" aca="1" ref="P14" ca="1">IFERROR(INDEX(Leccion[selectorLeccion],SMALL(IF(P$1=Leccion[SubSección],MATCH(ROW(Leccion[SubSección]),ROW(Leccion[SubSección]))),ROW(O13))),"")</f>
        <v/>
      </c>
      <c r="Q14" s="51" t="str">
        <f t="array" aca="1" ref="Q14" ca="1">IFERROR(INDEX(Leccion[selectorLeccion],SMALL(IF(Q$1=Leccion[SubSección],MATCH(ROW(Leccion[SubSección]),ROW(Leccion[SubSección]))),ROW(P13))),"")</f>
        <v/>
      </c>
      <c r="R14" s="51" t="str">
        <f t="array" aca="1" ref="R14" ca="1">IFERROR(INDEX(Leccion[selectorLeccion],SMALL(IF(R$1=Leccion[SubSección],MATCH(ROW(Leccion[SubSección]),ROW(Leccion[SubSección]))),ROW(Q13))),"")</f>
        <v/>
      </c>
      <c r="S14" s="51" t="str">
        <f t="array" aca="1" ref="S14" ca="1">IFERROR(INDEX(Leccion[selectorLeccion],SMALL(IF(S$1=Leccion[SubSección],MATCH(ROW(Leccion[SubSección]),ROW(Leccion[SubSección]))),ROW(R13))),"")</f>
        <v/>
      </c>
      <c r="T14" s="51" t="str">
        <f t="array" aca="1" ref="T14" ca="1">IFERROR(INDEX(Leccion[selectorLeccion],SMALL(IF(T$1=Leccion[SubSección],MATCH(ROW(Leccion[SubSección]),ROW(Leccion[SubSección]))),ROW(S13))),"")</f>
        <v/>
      </c>
      <c r="U14" s="51" t="str">
        <f t="array" aca="1" ref="U14" ca="1">IFERROR(INDEX(Leccion[selectorLeccion],SMALL(IF(U$1=Leccion[SubSección],MATCH(ROW(Leccion[SubSección]),ROW(Leccion[SubSección]))),ROW(T13))),"")</f>
        <v/>
      </c>
      <c r="V14" s="51" t="str">
        <f t="array" aca="1" ref="V14" ca="1">IFERROR(INDEX(Leccion[selectorLeccion],SMALL(IF(V$1=Leccion[SubSección],MATCH(ROW(Leccion[SubSección]),ROW(Leccion[SubSección]))),ROW(U13))),"")</f>
        <v/>
      </c>
      <c r="W14" s="51" t="str">
        <f t="array" aca="1" ref="W14" ca="1">IFERROR(INDEX(Leccion[selectorLeccion],SMALL(IF(W$1=Leccion[SubSección],MATCH(ROW(Leccion[SubSección]),ROW(Leccion[SubSección]))),ROW(V13))),"")</f>
        <v/>
      </c>
      <c r="X14" s="51" t="str">
        <f t="array" aca="1" ref="X14" ca="1">IFERROR(INDEX(Leccion[selectorLeccion],SMALL(IF(X$1=Leccion[SubSección],MATCH(ROW(Leccion[SubSección]),ROW(Leccion[SubSección]))),ROW(W13))),"")</f>
        <v/>
      </c>
      <c r="Y14" s="51" t="str">
        <f t="array" aca="1" ref="Y14" ca="1">IFERROR(INDEX(Leccion[selectorLeccion],SMALL(IF(Y$1=Leccion[SubSección],MATCH(ROW(Leccion[SubSección]),ROW(Leccion[SubSección]))),ROW(X13))),"")</f>
        <v/>
      </c>
      <c r="Z14" s="51" t="str">
        <f t="array" aca="1" ref="Z14" ca="1">IFERROR(INDEX(Leccion[selectorLeccion],SMALL(IF(Z$1=Leccion[SubSección],MATCH(ROW(Leccion[SubSección]),ROW(Leccion[SubSección]))),ROW(Y13))),"")</f>
        <v/>
      </c>
      <c r="AA14" s="51" t="str">
        <f t="array" aca="1" ref="AA14" ca="1">IFERROR(INDEX(Leccion[selectorLeccion],SMALL(IF(AA$1=Leccion[SubSección],MATCH(ROW(Leccion[SubSección]),ROW(Leccion[SubSección]))),ROW(Z13))),"")</f>
        <v/>
      </c>
      <c r="AB14" s="51" t="str">
        <f t="array" aca="1" ref="AB14" ca="1">IFERROR(INDEX(Leccion[selectorLeccion],SMALL(IF(AB$1=Leccion[SubSección],MATCH(ROW(Leccion[SubSección]),ROW(Leccion[SubSección]))),ROW(AA13))),"")</f>
        <v/>
      </c>
      <c r="AC14" s="51" t="str">
        <f t="array" aca="1" ref="AC14" ca="1">IFERROR(INDEX(Leccion[selectorLeccion],SMALL(IF(AC$1=Leccion[SubSección],MATCH(ROW(Leccion[SubSección]),ROW(Leccion[SubSección]))),ROW(AB13))),"")</f>
        <v/>
      </c>
      <c r="AD14" s="51" t="str">
        <f t="array" aca="1" ref="AD14" ca="1">IFERROR(INDEX(Leccion[selectorLeccion],SMALL(IF(AD$1=Leccion[SubSección],MATCH(ROW(Leccion[SubSección]),ROW(Leccion[SubSección]))),ROW(AC13))),"")</f>
        <v/>
      </c>
      <c r="AE14" s="51" t="str">
        <f t="array" aca="1" ref="AE14" ca="1">IFERROR(INDEX(Leccion[selectorLeccion],SMALL(IF(AE$1=Leccion[SubSección],MATCH(ROW(Leccion[SubSección]),ROW(Leccion[SubSección]))),ROW(AD13))),"")</f>
        <v/>
      </c>
      <c r="AF14" s="51" t="str">
        <f t="array" aca="1" ref="AF14" ca="1">IFERROR(INDEX(Leccion[selectorLeccion],SMALL(IF(AF$1=Leccion[SubSección],MATCH(ROW(Leccion[SubSección]),ROW(Leccion[SubSección]))),ROW(AE13))),"")</f>
        <v/>
      </c>
      <c r="AG14" s="51" t="str">
        <f t="array" aca="1" ref="AG14" ca="1">IFERROR(INDEX(Leccion[selectorLeccion],SMALL(IF(AG$1=Leccion[SubSección],MATCH(ROW(Leccion[SubSección]),ROW(Leccion[SubSección]))),ROW(AF13))),"")</f>
        <v/>
      </c>
      <c r="AH14" s="51" t="str">
        <f t="array" aca="1" ref="AH14" ca="1">IFERROR(INDEX(Leccion[selectorLeccion],SMALL(IF(AH$1=Leccion[SubSección],MATCH(ROW(Leccion[SubSección]),ROW(Leccion[SubSección]))),ROW(AG13))),"")</f>
        <v/>
      </c>
      <c r="AI14" s="51" t="str">
        <f t="array" aca="1" ref="AI14" ca="1">IFERROR(INDEX(Leccion[selectorLeccion],SMALL(IF(AI$1=Leccion[SubSección],MATCH(ROW(Leccion[SubSección]),ROW(Leccion[SubSección]))),ROW(AH13))),"")</f>
        <v/>
      </c>
      <c r="AJ14" s="51" t="str">
        <f t="array" aca="1" ref="AJ14" ca="1">IFERROR(INDEX(Leccion[selectorLeccion],SMALL(IF(AJ$1=Leccion[SubSección],MATCH(ROW(Leccion[SubSección]),ROW(Leccion[SubSección]))),ROW(AI13))),"")</f>
        <v/>
      </c>
      <c r="AK14" s="51" t="str">
        <f t="array" aca="1" ref="AK14" ca="1">IFERROR(INDEX(Leccion[selectorLeccion],SMALL(IF(AK$1=Leccion[SubSección],MATCH(ROW(Leccion[SubSección]),ROW(Leccion[SubSección]))),ROW(AJ13))),"")</f>
        <v/>
      </c>
      <c r="AL14" s="51" t="str">
        <f t="array" aca="1" ref="AL14" ca="1">IFERROR(INDEX(Leccion[selectorLeccion],SMALL(IF(AL$1=Leccion[SubSección],MATCH(ROW(Leccion[SubSección]),ROW(Leccion[SubSección]))),ROW(AK13))),"")</f>
        <v/>
      </c>
      <c r="AM14" s="51" t="str">
        <f t="array" aca="1" ref="AM14" ca="1">IFERROR(INDEX(Leccion[selectorLeccion],SMALL(IF(AM$1=Leccion[SubSección],MATCH(ROW(Leccion[SubSección]),ROW(Leccion[SubSección]))),ROW(AL13))),"")</f>
        <v/>
      </c>
      <c r="AN14" s="51" t="str">
        <f t="array" aca="1" ref="AN14" ca="1">IFERROR(INDEX(Leccion[selectorLeccion],SMALL(IF(AN$1=Leccion[SubSección],MATCH(ROW(Leccion[SubSección]),ROW(Leccion[SubSección]))),ROW(AM13))),"")</f>
        <v/>
      </c>
      <c r="AO14" s="51" t="str">
        <f t="array" aca="1" ref="AO14" ca="1">IFERROR(INDEX(Leccion[selectorLeccion],SMALL(IF(AO$1=Leccion[SubSección],MATCH(ROW(Leccion[SubSección]),ROW(Leccion[SubSección]))),ROW(AN13))),"")</f>
        <v/>
      </c>
      <c r="AP14" s="51" t="str">
        <f t="array" aca="1" ref="AP14" ca="1">IFERROR(INDEX(Leccion[selectorLeccion],SMALL(IF(AP$1=Leccion[SubSección],MATCH(ROW(Leccion[SubSección]),ROW(Leccion[SubSección]))),ROW(AO13))),"")</f>
        <v/>
      </c>
      <c r="AQ14" s="51" t="str">
        <f t="array" aca="1" ref="AQ14" ca="1">IFERROR(INDEX(Leccion[selectorLeccion],SMALL(IF(AQ$1=Leccion[SubSección],MATCH(ROW(Leccion[SubSección]),ROW(Leccion[SubSección]))),ROW(AP13))),"")</f>
        <v/>
      </c>
      <c r="AR14" s="51" t="str">
        <f t="array" aca="1" ref="AR14" ca="1">IFERROR(INDEX(Leccion[selectorLeccion],SMALL(IF(AR$1=Leccion[SubSección],MATCH(ROW(Leccion[SubSección]),ROW(Leccion[SubSección]))),ROW(AQ13))),"")</f>
        <v/>
      </c>
      <c r="AS14" s="51" t="str">
        <f t="array" aca="1" ref="AS14" ca="1">IFERROR(INDEX(Leccion[selectorLeccion],SMALL(IF(AS$1=Leccion[SubSección],MATCH(ROW(Leccion[SubSección]),ROW(Leccion[SubSección]))),ROW(AR13))),"")</f>
        <v/>
      </c>
      <c r="AT14" s="51" t="str">
        <f t="array" aca="1" ref="AT14" ca="1">IFERROR(INDEX(Leccion[selectorLeccion],SMALL(IF(AT$1=Leccion[SubSección],MATCH(ROW(Leccion[SubSección]),ROW(Leccion[SubSección]))),ROW(AS13))),"")</f>
        <v/>
      </c>
      <c r="AU14" s="51" t="str">
        <f t="array" aca="1" ref="AU14" ca="1">IFERROR(INDEX(Leccion[selectorLeccion],SMALL(IF(AU$1=Leccion[SubSección],MATCH(ROW(Leccion[SubSección]),ROW(Leccion[SubSección]))),ROW(AT13))),"")</f>
        <v/>
      </c>
      <c r="AV14" s="51" t="str">
        <f t="array" aca="1" ref="AV14" ca="1">IFERROR(INDEX(Leccion[selectorLeccion],SMALL(IF(AV$1=Leccion[SubSección],MATCH(ROW(Leccion[SubSección]),ROW(Leccion[SubSección]))),ROW(AU13))),"")</f>
        <v/>
      </c>
      <c r="AW14" s="51" t="str">
        <f t="array" aca="1" ref="AW14" ca="1">IFERROR(INDEX(Leccion[selectorLeccion],SMALL(IF(AW$1=Leccion[SubSección],MATCH(ROW(Leccion[SubSección]),ROW(Leccion[SubSección]))),ROW(AV13))),"")</f>
        <v/>
      </c>
      <c r="AX14" s="51" t="str">
        <f t="array" aca="1" ref="AX14" ca="1">IFERROR(INDEX(Leccion[selectorLeccion],SMALL(IF(AX$1=Leccion[SubSección],MATCH(ROW(Leccion[SubSección]),ROW(Leccion[SubSección]))),ROW(AW13))),"")</f>
        <v/>
      </c>
      <c r="AY14" s="51" t="str">
        <f t="array" aca="1" ref="AY14" ca="1">IFERROR(INDEX(Leccion[selectorLeccion],SMALL(IF(AY$1=Leccion[SubSección],MATCH(ROW(Leccion[SubSección]),ROW(Leccion[SubSección]))),ROW(AX13))),"")</f>
        <v/>
      </c>
      <c r="AZ14" s="51" t="str">
        <f t="array" aca="1" ref="AZ14" ca="1">IFERROR(INDEX(Leccion[selectorLeccion],SMALL(IF(AZ$1=Leccion[SubSección],MATCH(ROW(Leccion[SubSección]),ROW(Leccion[SubSección]))),ROW(AY13))),"")</f>
        <v/>
      </c>
      <c r="BA14" s="51" t="str">
        <f t="array" aca="1" ref="BA14" ca="1">IFERROR(INDEX(Leccion[selectorLeccion],SMALL(IF(BA$1=Leccion[SubSección],MATCH(ROW(Leccion[SubSección]),ROW(Leccion[SubSección]))),ROW(AZ13))),"")</f>
        <v/>
      </c>
      <c r="BB14" s="51" t="str">
        <f t="array" aca="1" ref="BB14" ca="1">IFERROR(INDEX(Leccion[selectorLeccion],SMALL(IF(BB$1=Leccion[SubSección],MATCH(ROW(Leccion[SubSección]),ROW(Leccion[SubSección]))),ROW(BA13))),"")</f>
        <v/>
      </c>
      <c r="BC14" s="51" t="str">
        <f t="array" aca="1" ref="BC14" ca="1">IFERROR(INDEX(Leccion[selectorLeccion],SMALL(IF(BC$1=Leccion[SubSección],MATCH(ROW(Leccion[SubSección]),ROW(Leccion[SubSección]))),ROW(BB13))),"")</f>
        <v/>
      </c>
      <c r="BD14" s="51" t="str">
        <f t="array" aca="1" ref="BD14" ca="1">IFERROR(INDEX(Leccion[selectorLeccion],SMALL(IF(BD$1=Leccion[SubSección],MATCH(ROW(Leccion[SubSección]),ROW(Leccion[SubSección]))),ROW(BC13))),"")</f>
        <v/>
      </c>
      <c r="BE14" s="51" t="str">
        <f t="array" aca="1" ref="BE14" ca="1">IFERROR(INDEX(Leccion[selectorLeccion],SMALL(IF(BE$1=Leccion[SubSección],MATCH(ROW(Leccion[SubSección]),ROW(Leccion[SubSección]))),ROW(BD13))),"")</f>
        <v/>
      </c>
      <c r="BF14" s="51" t="str">
        <f t="array" aca="1" ref="BF14" ca="1">IFERROR(INDEX(Leccion[selectorLeccion],SMALL(IF(BF$1=Leccion[SubSección],MATCH(ROW(Leccion[SubSección]),ROW(Leccion[SubSección]))),ROW(BE13))),"")</f>
        <v/>
      </c>
      <c r="BG14" s="51" t="str">
        <f t="array" aca="1" ref="BG14" ca="1">IFERROR(INDEX(Leccion[selectorLeccion],SMALL(IF(BG$1=Leccion[SubSección],MATCH(ROW(Leccion[SubSección]),ROW(Leccion[SubSección]))),ROW(BF13))),"")</f>
        <v/>
      </c>
      <c r="BH14" s="51" t="str">
        <f t="array" aca="1" ref="BH14" ca="1">IFERROR(INDEX(Leccion[selectorLeccion],SMALL(IF(BH$1=Leccion[SubSección],MATCH(ROW(Leccion[SubSección]),ROW(Leccion[SubSección]))),ROW(BG13))),"")</f>
        <v/>
      </c>
      <c r="BI14" s="51" t="str">
        <f t="array" aca="1" ref="BI14" ca="1">IFERROR(INDEX(Leccion[selectorLeccion],SMALL(IF(BI$1=Leccion[SubSección],MATCH(ROW(Leccion[SubSección]),ROW(Leccion[SubSección]))),ROW(BH13))),"")</f>
        <v/>
      </c>
      <c r="BJ14" s="51" t="str">
        <f t="array" aca="1" ref="BJ14" ca="1">IFERROR(INDEX(Leccion[selectorLeccion],SMALL(IF(BJ$1=Leccion[SubSección],MATCH(ROW(Leccion[SubSección]),ROW(Leccion[SubSección]))),ROW(BI13))),"")</f>
        <v/>
      </c>
      <c r="BK14" s="51" t="str">
        <f t="array" aca="1" ref="BK14" ca="1">IFERROR(INDEX(Leccion[selectorLeccion],SMALL(IF(BK$1=Leccion[SubSección],MATCH(ROW(Leccion[SubSección]),ROW(Leccion[SubSección]))),ROW(BJ13))),"")</f>
        <v/>
      </c>
      <c r="BL14" s="51" t="str">
        <f t="array" aca="1" ref="BL14" ca="1">IFERROR(INDEX(Leccion[selectorLeccion],SMALL(IF(BL$1=Leccion[SubSección],MATCH(ROW(Leccion[SubSección]),ROW(Leccion[SubSección]))),ROW(BK13))),"")</f>
        <v/>
      </c>
      <c r="BM14" s="51" t="str">
        <f t="array" aca="1" ref="BM14" ca="1">IFERROR(INDEX(Leccion[selectorLeccion],SMALL(IF(BM$1=Leccion[SubSección],MATCH(ROW(Leccion[SubSección]),ROW(Leccion[SubSección]))),ROW(BL13))),"")</f>
        <v/>
      </c>
      <c r="BN14" s="51" t="str">
        <f t="array" aca="1" ref="BN14" ca="1">IFERROR(INDEX(Leccion[selectorLeccion],SMALL(IF(BN$1=Leccion[SubSección],MATCH(ROW(Leccion[SubSección]),ROW(Leccion[SubSección]))),ROW(BM13))),"")</f>
        <v/>
      </c>
      <c r="BO14" s="51" t="str">
        <f t="array" aca="1" ref="BO14" ca="1">IFERROR(INDEX(Leccion[selectorLeccion],SMALL(IF(BO$1=Leccion[SubSección],MATCH(ROW(Leccion[SubSección]),ROW(Leccion[SubSección]))),ROW(BN13))),"")</f>
        <v/>
      </c>
      <c r="BP14" s="51" t="str">
        <f t="array" aca="1" ref="BP14" ca="1">IFERROR(INDEX(Leccion[selectorLeccion],SMALL(IF(BP$1=Leccion[SubSección],MATCH(ROW(Leccion[SubSección]),ROW(Leccion[SubSección]))),ROW(BO13))),"")</f>
        <v/>
      </c>
      <c r="BQ14" s="51" t="str">
        <f t="array" aca="1" ref="BQ14" ca="1">IFERROR(INDEX(Leccion[selectorLeccion],SMALL(IF(BQ$1=Leccion[SubSección],MATCH(ROW(Leccion[SubSección]),ROW(Leccion[SubSección]))),ROW(BP13))),"")</f>
        <v/>
      </c>
      <c r="BR14" s="51" t="str">
        <f t="array" aca="1" ref="BR14" ca="1">IFERROR(INDEX(Leccion[selectorLeccion],SMALL(IF(BR$1=Leccion[SubSección],MATCH(ROW(Leccion[SubSección]),ROW(Leccion[SubSección]))),ROW(BQ13))),"")</f>
        <v/>
      </c>
      <c r="BS14" s="51" t="str">
        <f t="array" aca="1" ref="BS14" ca="1">IFERROR(INDEX(Leccion[selectorLeccion],SMALL(IF(BS$1=Leccion[SubSección],MATCH(ROW(Leccion[SubSección]),ROW(Leccion[SubSección]))),ROW(BR13))),"")</f>
        <v/>
      </c>
      <c r="BT14" s="51" t="str">
        <f t="array" aca="1" ref="BT14" ca="1">IFERROR(INDEX(Leccion[selectorLeccion],SMALL(IF(BT$1=Leccion[SubSección],MATCH(ROW(Leccion[SubSección]),ROW(Leccion[SubSección]))),ROW(BS13))),"")</f>
        <v/>
      </c>
      <c r="BU14" s="51" t="str">
        <f t="array" aca="1" ref="BU14" ca="1">IFERROR(INDEX(Leccion[selectorLeccion],SMALL(IF(BU$1=Leccion[SubSección],MATCH(ROW(Leccion[SubSección]),ROW(Leccion[SubSección]))),ROW(BT13))),"")</f>
        <v/>
      </c>
      <c r="BV14" s="51" t="str">
        <f t="array" aca="1" ref="BV14" ca="1">IFERROR(INDEX(Leccion[selectorLeccion],SMALL(IF(BV$1=Leccion[SubSección],MATCH(ROW(Leccion[SubSección]),ROW(Leccion[SubSección]))),ROW(BU13))),"")</f>
        <v/>
      </c>
      <c r="BW14" s="51" t="str">
        <f t="array" aca="1" ref="BW14" ca="1">IFERROR(INDEX(Leccion[selectorLeccion],SMALL(IF(BW$1=Leccion[SubSección],MATCH(ROW(Leccion[SubSección]),ROW(Leccion[SubSección]))),ROW(BV13))),"")</f>
        <v/>
      </c>
      <c r="BX14" s="51" t="str">
        <f t="array" aca="1" ref="BX14" ca="1">IFERROR(INDEX(Leccion[selectorLeccion],SMALL(IF(BX$1=Leccion[SubSección],MATCH(ROW(Leccion[SubSección]),ROW(Leccion[SubSección]))),ROW(BW13))),"")</f>
        <v/>
      </c>
      <c r="BY14" s="51" t="str">
        <f t="array" aca="1" ref="BY14" ca="1">IFERROR(INDEX(Leccion[selectorLeccion],SMALL(IF(BY$1=Leccion[SubSección],MATCH(ROW(Leccion[SubSección]),ROW(Leccion[SubSección]))),ROW(BX13))),"")</f>
        <v/>
      </c>
      <c r="BZ14" s="51" t="str">
        <f t="array" aca="1" ref="BZ14" ca="1">IFERROR(INDEX(Leccion[selectorLeccion],SMALL(IF(BZ$1=Leccion[SubSección],MATCH(ROW(Leccion[SubSección]),ROW(Leccion[SubSección]))),ROW(BY13))),"")</f>
        <v/>
      </c>
      <c r="CA14" s="51" t="str">
        <f t="array" aca="1" ref="CA14" ca="1">IFERROR(INDEX(Leccion[selectorLeccion],SMALL(IF(CA$1=Leccion[SubSección],MATCH(ROW(Leccion[SubSección]),ROW(Leccion[SubSección]))),ROW(BZ13))),"")</f>
        <v/>
      </c>
      <c r="CB14" s="51" t="str">
        <f t="array" aca="1" ref="CB14" ca="1">IFERROR(INDEX(Leccion[selectorLeccion],SMALL(IF(CB$1=Leccion[SubSección],MATCH(ROW(Leccion[SubSección]),ROW(Leccion[SubSección]))),ROW(CA13))),"")</f>
        <v/>
      </c>
      <c r="CC14" s="51" t="str">
        <f t="array" aca="1" ref="CC14" ca="1">IFERROR(INDEX(Leccion[selectorLeccion],SMALL(IF(CC$1=Leccion[SubSección],MATCH(ROW(Leccion[SubSección]),ROW(Leccion[SubSección]))),ROW(CB13))),"")</f>
        <v/>
      </c>
      <c r="CD14" s="51" t="str">
        <f t="array" aca="1" ref="CD14" ca="1">IFERROR(INDEX(Leccion[selectorLeccion],SMALL(IF(CD$1=Leccion[SubSección],MATCH(ROW(Leccion[SubSección]),ROW(Leccion[SubSección]))),ROW(CC13))),"")</f>
        <v/>
      </c>
      <c r="CE14" s="51" t="str">
        <f t="array" aca="1" ref="CE14" ca="1">IFERROR(INDEX(Leccion[selectorLeccion],SMALL(IF(CE$1=Leccion[SubSección],MATCH(ROW(Leccion[SubSección]),ROW(Leccion[SubSección]))),ROW(CD13))),"")</f>
        <v/>
      </c>
      <c r="CF14" s="51" t="str">
        <f t="array" aca="1" ref="CF14" ca="1">IFERROR(INDEX(Leccion[selectorLeccion],SMALL(IF(CF$1=Leccion[SubSección],MATCH(ROW(Leccion[SubSección]),ROW(Leccion[SubSección]))),ROW(CE13))),"")</f>
        <v/>
      </c>
      <c r="CG14" s="51" t="str">
        <f t="array" aca="1" ref="CG14" ca="1">IFERROR(INDEX(Leccion[selectorLeccion],SMALL(IF(CG$1=Leccion[SubSección],MATCH(ROW(Leccion[SubSección]),ROW(Leccion[SubSección]))),ROW(CF13))),"")</f>
        <v/>
      </c>
      <c r="CH14" s="51" t="str">
        <f t="array" aca="1" ref="CH14" ca="1">IFERROR(INDEX(Leccion[selectorLeccion],SMALL(IF(CH$1=Leccion[SubSección],MATCH(ROW(Leccion[SubSección]),ROW(Leccion[SubSección]))),ROW(CG13))),"")</f>
        <v/>
      </c>
      <c r="CI14" s="51" t="str">
        <f t="array" aca="1" ref="CI14" ca="1">IFERROR(INDEX(Leccion[selectorLeccion],SMALL(IF(CI$1=Leccion[SubSección],MATCH(ROW(Leccion[SubSección]),ROW(Leccion[SubSección]))),ROW(CH13))),"")</f>
        <v/>
      </c>
      <c r="CJ14" s="51" t="str">
        <f t="array" aca="1" ref="CJ14" ca="1">IFERROR(INDEX(Leccion[selectorLeccion],SMALL(IF(CJ$1=Leccion[SubSección],MATCH(ROW(Leccion[SubSección]),ROW(Leccion[SubSección]))),ROW(CI13))),"")</f>
        <v/>
      </c>
      <c r="CK14" s="51" t="str">
        <f t="array" aca="1" ref="CK14" ca="1">IFERROR(INDEX(Leccion[selectorLeccion],SMALL(IF(CK$1=Leccion[SubSección],MATCH(ROW(Leccion[SubSección]),ROW(Leccion[SubSección]))),ROW(CJ13))),"")</f>
        <v/>
      </c>
      <c r="CL14" s="51" t="str">
        <f t="array" aca="1" ref="CL14" ca="1">IFERROR(INDEX(Leccion[selectorLeccion],SMALL(IF(CL$1=Leccion[SubSección],MATCH(ROW(Leccion[SubSección]),ROW(Leccion[SubSección]))),ROW(CK13))),"")</f>
        <v/>
      </c>
      <c r="CM14" s="51" t="str">
        <f t="array" aca="1" ref="CM14" ca="1">IFERROR(INDEX(Leccion[selectorLeccion],SMALL(IF(CM$1=Leccion[SubSección],MATCH(ROW(Leccion[SubSección]),ROW(Leccion[SubSección]))),ROW(CL13))),"")</f>
        <v/>
      </c>
      <c r="CN14" s="51" t="str">
        <f t="array" aca="1" ref="CN14" ca="1">IFERROR(INDEX(Leccion[selectorLeccion],SMALL(IF(CN$1=Leccion[SubSección],MATCH(ROW(Leccion[SubSección]),ROW(Leccion[SubSección]))),ROW(CM13))),"")</f>
        <v/>
      </c>
      <c r="CO14" s="51" t="str">
        <f t="array" aca="1" ref="CO14" ca="1">IFERROR(INDEX(Leccion[selectorLeccion],SMALL(IF(CO$1=Leccion[SubSección],MATCH(ROW(Leccion[SubSección]),ROW(Leccion[SubSección]))),ROW(CN13))),"")</f>
        <v/>
      </c>
      <c r="CP14" s="51" t="str">
        <f t="array" aca="1" ref="CP14" ca="1">IFERROR(INDEX(Leccion[selectorLeccion],SMALL(IF(CP$1=Leccion[SubSección],MATCH(ROW(Leccion[SubSección]),ROW(Leccion[SubSección]))),ROW(CO13))),"")</f>
        <v/>
      </c>
      <c r="CQ14" s="51" t="str">
        <f t="array" aca="1" ref="CQ14" ca="1">IFERROR(INDEX(Leccion[selectorLeccion],SMALL(IF(CQ$1=Leccion[SubSección],MATCH(ROW(Leccion[SubSección]),ROW(Leccion[SubSección]))),ROW(CP13))),"")</f>
        <v/>
      </c>
      <c r="CR14" s="51" t="str">
        <f t="array" aca="1" ref="CR14" ca="1">IFERROR(INDEX(Leccion[selectorLeccion],SMALL(IF(CR$1=Leccion[SubSección],MATCH(ROW(Leccion[SubSección]),ROW(Leccion[SubSección]))),ROW(CQ13))),"")</f>
        <v/>
      </c>
      <c r="CS14" s="51" t="str">
        <f t="array" aca="1" ref="CS14" ca="1">IFERROR(INDEX(Leccion[selectorLeccion],SMALL(IF(CS$1=Leccion[SubSección],MATCH(ROW(Leccion[SubSección]),ROW(Leccion[SubSección]))),ROW(CR13))),"")</f>
        <v/>
      </c>
      <c r="CT14" s="51" t="str">
        <f t="array" aca="1" ref="CT14" ca="1">IFERROR(INDEX(Leccion[selectorLeccion],SMALL(IF(CT$1=Leccion[SubSección],MATCH(ROW(Leccion[SubSección]),ROW(Leccion[SubSección]))),ROW(CS13))),"")</f>
        <v/>
      </c>
      <c r="CU14" s="51" t="str">
        <f t="array" aca="1" ref="CU14" ca="1">IFERROR(INDEX(Leccion[selectorLeccion],SMALL(IF(CU$1=Leccion[SubSección],MATCH(ROW(Leccion[SubSección]),ROW(Leccion[SubSección]))),ROW(CT13))),"")</f>
        <v/>
      </c>
      <c r="CV14" s="51" t="str">
        <f t="array" aca="1" ref="CV14" ca="1">IFERROR(INDEX(Leccion[selectorLeccion],SMALL(IF(CV$1=Leccion[SubSección],MATCH(ROW(Leccion[SubSección]),ROW(Leccion[SubSección]))),ROW(CU13))),"")</f>
        <v/>
      </c>
      <c r="CW14" s="51" t="str">
        <f t="array" aca="1" ref="CW14" ca="1">IFERROR(INDEX(Leccion[selectorLeccion],SMALL(IF(CW$1=Leccion[SubSección],MATCH(ROW(Leccion[SubSección]),ROW(Leccion[SubSección]))),ROW(CV13))),"")</f>
        <v/>
      </c>
      <c r="CX14" s="51" t="str">
        <f t="array" aca="1" ref="CX14" ca="1">IFERROR(INDEX(Leccion[selectorLeccion],SMALL(IF(CX$1=Leccion[SubSección],MATCH(ROW(Leccion[SubSección]),ROW(Leccion[SubSección]))),ROW(CW13))),"")</f>
        <v/>
      </c>
      <c r="CY14" s="51" t="str">
        <f t="array" aca="1" ref="CY14" ca="1">IFERROR(INDEX(Leccion[selectorLeccion],SMALL(IF(CY$1=Leccion[SubSección],MATCH(ROW(Leccion[SubSección]),ROW(Leccion[SubSección]))),ROW(CX13))),"")</f>
        <v/>
      </c>
      <c r="CZ14" s="51" t="str">
        <f t="array" aca="1" ref="CZ14" ca="1">IFERROR(INDEX(Leccion[selectorLeccion],SMALL(IF(CZ$1=Leccion[SubSección],MATCH(ROW(Leccion[SubSección]),ROW(Leccion[SubSección]))),ROW(CY13))),"")</f>
        <v/>
      </c>
      <c r="DA14" s="51" t="str">
        <f t="array" aca="1" ref="DA14" ca="1">IFERROR(INDEX(Leccion[selectorLeccion],SMALL(IF(DA$1=Leccion[SubSección],MATCH(ROW(Leccion[SubSección]),ROW(Leccion[SubSección]))),ROW(CZ13))),"")</f>
        <v/>
      </c>
      <c r="DB14" s="51" t="str">
        <f t="array" aca="1" ref="DB14" ca="1">IFERROR(INDEX(Leccion[selectorLeccion],SMALL(IF(DB$1=Leccion[SubSección],MATCH(ROW(Leccion[SubSección]),ROW(Leccion[SubSección]))),ROW(DA13))),"")</f>
        <v/>
      </c>
      <c r="DC14" s="51" t="str">
        <f t="array" aca="1" ref="DC14" ca="1">IFERROR(INDEX(Leccion[selectorLeccion],SMALL(IF(DC$1=Leccion[SubSección],MATCH(ROW(Leccion[SubSección]),ROW(Leccion[SubSección]))),ROW(DB13))),"")</f>
        <v/>
      </c>
      <c r="DD14" s="51" t="str">
        <f t="array" aca="1" ref="DD14" ca="1">IFERROR(INDEX(Leccion[selectorLeccion],SMALL(IF(DD$1=Leccion[SubSección],MATCH(ROW(Leccion[SubSección]),ROW(Leccion[SubSección]))),ROW(DC13))),"")</f>
        <v/>
      </c>
      <c r="DE14" s="51" t="str">
        <f t="array" aca="1" ref="DE14" ca="1">IFERROR(INDEX(Leccion[selectorLeccion],SMALL(IF(DE$1=Leccion[SubSección],MATCH(ROW(Leccion[SubSección]),ROW(Leccion[SubSección]))),ROW(DD13))),"")</f>
        <v/>
      </c>
      <c r="DF14" s="51" t="str">
        <f t="array" aca="1" ref="DF14" ca="1">IFERROR(INDEX(Leccion[selectorLeccion],SMALL(IF(DF$1=Leccion[SubSección],MATCH(ROW(Leccion[SubSección]),ROW(Leccion[SubSección]))),ROW(DE13))),"")</f>
        <v/>
      </c>
      <c r="DG14" s="51" t="str">
        <f t="array" aca="1" ref="DG14" ca="1">IFERROR(INDEX(Leccion[selectorLeccion],SMALL(IF(DG$1=Leccion[SubSección],MATCH(ROW(Leccion[SubSección]),ROW(Leccion[SubSección]))),ROW(DF13))),"")</f>
        <v/>
      </c>
      <c r="DH14" s="51" t="str">
        <f t="array" aca="1" ref="DH14" ca="1">IFERROR(INDEX(Leccion[selectorLeccion],SMALL(IF(DH$1=Leccion[SubSección],MATCH(ROW(Leccion[SubSección]),ROW(Leccion[SubSección]))),ROW(DG13))),"")</f>
        <v/>
      </c>
      <c r="DI14" s="51" t="str">
        <f t="array" aca="1" ref="DI14" ca="1">IFERROR(INDEX(Leccion[selectorLeccion],SMALL(IF(DI$1=Leccion[SubSección],MATCH(ROW(Leccion[SubSección]),ROW(Leccion[SubSección]))),ROW(DH13))),"")</f>
        <v/>
      </c>
      <c r="DJ14" s="51" t="str">
        <f t="array" aca="1" ref="DJ14" ca="1">IFERROR(INDEX(Leccion[selectorLeccion],SMALL(IF(DJ$1=Leccion[SubSección],MATCH(ROW(Leccion[SubSección]),ROW(Leccion[SubSección]))),ROW(DI13))),"")</f>
        <v/>
      </c>
      <c r="DK14" s="51" t="str">
        <f t="array" aca="1" ref="DK14" ca="1">IFERROR(INDEX(Leccion[selectorLeccion],SMALL(IF(DK$1=Leccion[SubSección],MATCH(ROW(Leccion[SubSección]),ROW(Leccion[SubSección]))),ROW(DJ13))),"")</f>
        <v/>
      </c>
      <c r="DL14" s="51" t="str">
        <f t="array" aca="1" ref="DL14" ca="1">IFERROR(INDEX(Leccion[selectorLeccion],SMALL(IF(DL$1=Leccion[SubSección],MATCH(ROW(Leccion[SubSección]),ROW(Leccion[SubSección]))),ROW(DK13))),"")</f>
        <v/>
      </c>
      <c r="DM14" s="51" t="str">
        <f t="array" aca="1" ref="DM14" ca="1">IFERROR(INDEX(Leccion[selectorLeccion],SMALL(IF(DM$1=Leccion[SubSección],MATCH(ROW(Leccion[SubSección]),ROW(Leccion[SubSección]))),ROW(DL13))),"")</f>
        <v/>
      </c>
      <c r="DN14" s="51" t="str">
        <f t="array" aca="1" ref="DN14" ca="1">IFERROR(INDEX(Leccion[selectorLeccion],SMALL(IF(DN$1=Leccion[SubSección],MATCH(ROW(Leccion[SubSección]),ROW(Leccion[SubSección]))),ROW(DM13))),"")</f>
        <v/>
      </c>
      <c r="DO14" s="51" t="str">
        <f t="array" aca="1" ref="DO14" ca="1">IFERROR(INDEX(Leccion[selectorLeccion],SMALL(IF(DO$1=Leccion[SubSección],MATCH(ROW(Leccion[SubSección]),ROW(Leccion[SubSección]))),ROW(DN13))),"")</f>
        <v/>
      </c>
      <c r="DP14" s="51" t="str">
        <f t="array" aca="1" ref="DP14" ca="1">IFERROR(INDEX(Leccion[selectorLeccion],SMALL(IF(DP$1=Leccion[SubSección],MATCH(ROW(Leccion[SubSección]),ROW(Leccion[SubSección]))),ROW(DO13))),"")</f>
        <v/>
      </c>
      <c r="DQ14" s="51" t="str">
        <f t="array" aca="1" ref="DQ14" ca="1">IFERROR(INDEX(Leccion[selectorLeccion],SMALL(IF(DQ$1=Leccion[SubSección],MATCH(ROW(Leccion[SubSección]),ROW(Leccion[SubSección]))),ROW(DP13))),"")</f>
        <v/>
      </c>
      <c r="DR14" s="51" t="str">
        <f t="array" aca="1" ref="DR14" ca="1">IFERROR(INDEX(Leccion[selectorLeccion],SMALL(IF(DR$1=Leccion[SubSección],MATCH(ROW(Leccion[SubSección]),ROW(Leccion[SubSección]))),ROW(DQ13))),"")</f>
        <v/>
      </c>
      <c r="DS14" s="51" t="str">
        <f t="array" aca="1" ref="DS14" ca="1">IFERROR(INDEX(Leccion[selectorLeccion],SMALL(IF(DS$1=Leccion[SubSección],MATCH(ROW(Leccion[SubSección]),ROW(Leccion[SubSección]))),ROW(DR13))),"")</f>
        <v/>
      </c>
      <c r="DT14" s="51" t="str">
        <f t="array" aca="1" ref="DT14" ca="1">IFERROR(INDEX(Leccion[selectorLeccion],SMALL(IF(DT$1=Leccion[SubSección],MATCH(ROW(Leccion[SubSección]),ROW(Leccion[SubSección]))),ROW(DS13))),"")</f>
        <v/>
      </c>
      <c r="DU14" s="51" t="str">
        <f t="array" aca="1" ref="DU14" ca="1">IFERROR(INDEX(Leccion[selectorLeccion],SMALL(IF(DU$1=Leccion[SubSección],MATCH(ROW(Leccion[SubSección]),ROW(Leccion[SubSección]))),ROW(DT13))),"")</f>
        <v/>
      </c>
      <c r="DV14" s="51" t="str">
        <f t="array" aca="1" ref="DV14" ca="1">IFERROR(INDEX(Leccion[selectorLeccion],SMALL(IF(DV$1=Leccion[SubSección],MATCH(ROW(Leccion[SubSección]),ROW(Leccion[SubSección]))),ROW(DU13))),"")</f>
        <v/>
      </c>
      <c r="DW14" s="51" t="str">
        <f t="array" aca="1" ref="DW14" ca="1">IFERROR(INDEX(Leccion[selectorLeccion],SMALL(IF(DW$1=Leccion[SubSección],MATCH(ROW(Leccion[SubSección]),ROW(Leccion[SubSección]))),ROW(DV13))),"")</f>
        <v/>
      </c>
      <c r="DX14" s="51" t="str">
        <f t="array" aca="1" ref="DX14" ca="1">IFERROR(INDEX(Leccion[selectorLeccion],SMALL(IF(DX$1=Leccion[SubSección],MATCH(ROW(Leccion[SubSección]),ROW(Leccion[SubSección]))),ROW(DW13))),"")</f>
        <v/>
      </c>
      <c r="DY14" s="51" t="str">
        <f t="array" aca="1" ref="DY14" ca="1">IFERROR(INDEX(Leccion[selectorLeccion],SMALL(IF(DY$1=Leccion[SubSección],MATCH(ROW(Leccion[SubSección]),ROW(Leccion[SubSección]))),ROW(DX13))),"")</f>
        <v/>
      </c>
      <c r="DZ14" s="51" t="str">
        <f t="array" aca="1" ref="DZ14" ca="1">IFERROR(INDEX(Leccion[selectorLeccion],SMALL(IF(DZ$1=Leccion[SubSección],MATCH(ROW(Leccion[SubSección]),ROW(Leccion[SubSección]))),ROW(DY13))),"")</f>
        <v/>
      </c>
      <c r="EA14" s="51" t="str">
        <f t="array" aca="1" ref="EA14" ca="1">IFERROR(INDEX(Leccion[selectorLeccion],SMALL(IF(EA$1=Leccion[SubSección],MATCH(ROW(Leccion[SubSección]),ROW(Leccion[SubSección]))),ROW(DZ13))),"")</f>
        <v/>
      </c>
      <c r="EB14" s="51" t="str">
        <f t="array" aca="1" ref="EB14" ca="1">IFERROR(INDEX(Leccion[selectorLeccion],SMALL(IF(EB$1=Leccion[SubSección],MATCH(ROW(Leccion[SubSección]),ROW(Leccion[SubSección]))),ROW(EA13))),"")</f>
        <v/>
      </c>
      <c r="EC14" s="51" t="str">
        <f t="array" aca="1" ref="EC14" ca="1">IFERROR(INDEX(Leccion[selectorLeccion],SMALL(IF(EC$1=Leccion[SubSección],MATCH(ROW(Leccion[SubSección]),ROW(Leccion[SubSección]))),ROW(EB13))),"")</f>
        <v/>
      </c>
      <c r="ED14" s="51" t="str">
        <f t="array" aca="1" ref="ED14" ca="1">IFERROR(INDEX(Leccion[selectorLeccion],SMALL(IF(ED$1=Leccion[SubSección],MATCH(ROW(Leccion[SubSección]),ROW(Leccion[SubSección]))),ROW(EC13))),"")</f>
        <v/>
      </c>
      <c r="EE14" s="51" t="str">
        <f t="array" aca="1" ref="EE14" ca="1">IFERROR(INDEX(Leccion[selectorLeccion],SMALL(IF(EE$1=Leccion[SubSección],MATCH(ROW(Leccion[SubSección]),ROW(Leccion[SubSección]))),ROW(ED13))),"")</f>
        <v/>
      </c>
      <c r="EF14" s="51" t="str">
        <f t="array" aca="1" ref="EF14" ca="1">IFERROR(INDEX(Leccion[selectorLeccion],SMALL(IF(EF$1=Leccion[SubSección],MATCH(ROW(Leccion[SubSección]),ROW(Leccion[SubSección]))),ROW(EE13))),"")</f>
        <v/>
      </c>
      <c r="EG14" s="51" t="str">
        <f t="array" aca="1" ref="EG14" ca="1">IFERROR(INDEX(Leccion[selectorLeccion],SMALL(IF(EG$1=Leccion[SubSección],MATCH(ROW(Leccion[SubSección]),ROW(Leccion[SubSección]))),ROW(EF13))),"")</f>
        <v/>
      </c>
      <c r="EH14" s="51" t="str">
        <f t="array" aca="1" ref="EH14" ca="1">IFERROR(INDEX(Leccion[selectorLeccion],SMALL(IF(EH$1=Leccion[SubSección],MATCH(ROW(Leccion[SubSección]),ROW(Leccion[SubSección]))),ROW(EG13))),"")</f>
        <v/>
      </c>
      <c r="EI14" s="51" t="str">
        <f t="array" aca="1" ref="EI14" ca="1">IFERROR(INDEX(Leccion[selectorLeccion],SMALL(IF(EI$1=Leccion[SubSección],MATCH(ROW(Leccion[SubSección]),ROW(Leccion[SubSección]))),ROW(EH13))),"")</f>
        <v/>
      </c>
      <c r="EJ14" s="51" t="str">
        <f t="array" aca="1" ref="EJ14" ca="1">IFERROR(INDEX(Leccion[selectorLeccion],SMALL(IF(EJ$1=Leccion[SubSección],MATCH(ROW(Leccion[SubSección]),ROW(Leccion[SubSección]))),ROW(EI13))),"")</f>
        <v/>
      </c>
      <c r="EK14" s="51" t="str">
        <f t="array" aca="1" ref="EK14" ca="1">IFERROR(INDEX(Leccion[selectorLeccion],SMALL(IF(EK$1=Leccion[SubSección],MATCH(ROW(Leccion[SubSección]),ROW(Leccion[SubSección]))),ROW(EJ13))),"")</f>
        <v/>
      </c>
      <c r="EL14" s="51" t="str">
        <f t="array" aca="1" ref="EL14" ca="1">IFERROR(INDEX(Leccion[selectorLeccion],SMALL(IF(EL$1=Leccion[SubSección],MATCH(ROW(Leccion[SubSección]),ROW(Leccion[SubSección]))),ROW(EK13))),"")</f>
        <v/>
      </c>
      <c r="EM14" s="51" t="str">
        <f t="array" aca="1" ref="EM14" ca="1">IFERROR(INDEX(Leccion[selectorLeccion],SMALL(IF(EM$1=Leccion[SubSección],MATCH(ROW(Leccion[SubSección]),ROW(Leccion[SubSección]))),ROW(EL13))),"")</f>
        <v/>
      </c>
      <c r="EN14" s="51" t="str">
        <f t="array" aca="1" ref="EN14" ca="1">IFERROR(INDEX(Leccion[selectorLeccion],SMALL(IF(EN$1=Leccion[SubSección],MATCH(ROW(Leccion[SubSección]),ROW(Leccion[SubSección]))),ROW(EM13))),"")</f>
        <v/>
      </c>
      <c r="EO14" s="51" t="str">
        <f t="array" aca="1" ref="EO14" ca="1">IFERROR(INDEX(Leccion[selectorLeccion],SMALL(IF(EO$1=Leccion[SubSección],MATCH(ROW(Leccion[SubSección]),ROW(Leccion[SubSección]))),ROW(EN13))),"")</f>
        <v/>
      </c>
      <c r="EP14" s="51" t="str">
        <f t="array" aca="1" ref="EP14" ca="1">IFERROR(INDEX(Leccion[selectorLeccion],SMALL(IF(EP$1=Leccion[SubSección],MATCH(ROW(Leccion[SubSección]),ROW(Leccion[SubSección]))),ROW(EO13))),"")</f>
        <v/>
      </c>
      <c r="EQ14" s="51" t="str">
        <f t="array" aca="1" ref="EQ14" ca="1">IFERROR(INDEX(Leccion[selectorLeccion],SMALL(IF(EQ$1=Leccion[SubSección],MATCH(ROW(Leccion[SubSección]),ROW(Leccion[SubSección]))),ROW(EP13))),"")</f>
        <v/>
      </c>
      <c r="ER14" s="51" t="str">
        <f t="array" aca="1" ref="ER14" ca="1">IFERROR(INDEX(Leccion[selectorLeccion],SMALL(IF(ER$1=Leccion[SubSección],MATCH(ROW(Leccion[SubSección]),ROW(Leccion[SubSección]))),ROW(EQ13))),"")</f>
        <v/>
      </c>
      <c r="ES14" s="51" t="str">
        <f t="array" aca="1" ref="ES14" ca="1">IFERROR(INDEX(Leccion[selectorLeccion],SMALL(IF(ES$1=Leccion[SubSección],MATCH(ROW(Leccion[SubSección]),ROW(Leccion[SubSección]))),ROW(ER13))),"")</f>
        <v/>
      </c>
      <c r="ET14" s="51" t="str">
        <f t="array" aca="1" ref="ET14" ca="1">IFERROR(INDEX(Leccion[selectorLeccion],SMALL(IF(ET$1=Leccion[SubSección],MATCH(ROW(Leccion[SubSección]),ROW(Leccion[SubSección]))),ROW(ES13))),"")</f>
        <v/>
      </c>
      <c r="EU14" s="51" t="str">
        <f t="array" aca="1" ref="EU14" ca="1">IFERROR(INDEX(Leccion[selectorLeccion],SMALL(IF(EU$1=Leccion[SubSección],MATCH(ROW(Leccion[SubSección]),ROW(Leccion[SubSección]))),ROW(ET13))),"")</f>
        <v/>
      </c>
      <c r="EV14" s="51" t="str">
        <f t="array" aca="1" ref="EV14" ca="1">IFERROR(INDEX(Leccion[selectorLeccion],SMALL(IF(EV$1=Leccion[SubSección],MATCH(ROW(Leccion[SubSección]),ROW(Leccion[SubSección]))),ROW(EU13))),"")</f>
        <v/>
      </c>
      <c r="EW14" s="51" t="str">
        <f t="array" aca="1" ref="EW14" ca="1">IFERROR(INDEX(Leccion[selectorLeccion],SMALL(IF(EW$1=Leccion[SubSección],MATCH(ROW(Leccion[SubSección]),ROW(Leccion[SubSección]))),ROW(EV13))),"")</f>
        <v/>
      </c>
      <c r="EX14" s="51" t="str">
        <f t="array" aca="1" ref="EX14" ca="1">IFERROR(INDEX(Leccion[selectorLeccion],SMALL(IF(EX$1=Leccion[SubSección],MATCH(ROW(Leccion[SubSección]),ROW(Leccion[SubSección]))),ROW(EW13))),"")</f>
        <v/>
      </c>
      <c r="EY14" s="51" t="str">
        <f t="array" aca="1" ref="EY14" ca="1">IFERROR(INDEX(Leccion[selectorLeccion],SMALL(IF(EY$1=Leccion[SubSección],MATCH(ROW(Leccion[SubSección]),ROW(Leccion[SubSección]))),ROW(EX13))),"")</f>
        <v/>
      </c>
      <c r="EZ14" s="51" t="str">
        <f t="array" aca="1" ref="EZ14" ca="1">IFERROR(INDEX(Leccion[selectorLeccion],SMALL(IF(EZ$1=Leccion[SubSección],MATCH(ROW(Leccion[SubSección]),ROW(Leccion[SubSección]))),ROW(EY13))),"")</f>
        <v/>
      </c>
    </row>
    <row r="15" spans="2:156" x14ac:dyDescent="0.3">
      <c r="B15" s="51" t="str">
        <f t="array" aca="1" ref="B15" ca="1">IFERROR(INDEX(Leccion[selectorLeccion],SMALL(IF(B$1=Leccion[SubSección],MATCH(ROW(Leccion[SubSección]),ROW(Leccion[SubSección]))),ROW(A14))),"")</f>
        <v/>
      </c>
      <c r="C15" s="51" t="str">
        <f t="array" aca="1" ref="C15" ca="1">IFERROR(INDEX(Leccion[selectorLeccion],SMALL(IF(C$1=Leccion[SubSección],MATCH(ROW(Leccion[SubSección]),ROW(Leccion[SubSección]))),ROW(B14))),"")</f>
        <v/>
      </c>
      <c r="D15" s="51" t="str">
        <f t="array" aca="1" ref="D15" ca="1">IFERROR(INDEX(Leccion[selectorLeccion],SMALL(IF(D$1=Leccion[SubSección],MATCH(ROW(Leccion[SubSección]),ROW(Leccion[SubSección]))),ROW(C14))),"")</f>
        <v/>
      </c>
      <c r="E15" s="51" t="str">
        <f t="array" aca="1" ref="E15" ca="1">IFERROR(INDEX(Leccion[selectorLeccion],SMALL(IF(E$1=Leccion[SubSección],MATCH(ROW(Leccion[SubSección]),ROW(Leccion[SubSección]))),ROW(D14))),"")</f>
        <v/>
      </c>
      <c r="F15" s="51" t="str">
        <f t="array" aca="1" ref="F15" ca="1">IFERROR(INDEX(Leccion[selectorLeccion],SMALL(IF(F$1=Leccion[SubSección],MATCH(ROW(Leccion[SubSección]),ROW(Leccion[SubSección]))),ROW(E14))),"")</f>
        <v/>
      </c>
      <c r="G15" s="51" t="str">
        <f t="array" aca="1" ref="G15" ca="1">IFERROR(INDEX(Leccion[selectorLeccion],SMALL(IF(G$1=Leccion[SubSección],MATCH(ROW(Leccion[SubSección]),ROW(Leccion[SubSección]))),ROW(F14))),"")</f>
        <v/>
      </c>
      <c r="H15" s="51" t="str">
        <f t="array" aca="1" ref="H15" ca="1">IFERROR(INDEX(Leccion[selectorLeccion],SMALL(IF(H$1=Leccion[SubSección],MATCH(ROW(Leccion[SubSección]),ROW(Leccion[SubSección]))),ROW(G14))),"")</f>
        <v/>
      </c>
      <c r="I15" s="51" t="str">
        <f t="array" aca="1" ref="I15" ca="1">IFERROR(INDEX(Leccion[selectorLeccion],SMALL(IF(I$1=Leccion[SubSección],MATCH(ROW(Leccion[SubSección]),ROW(Leccion[SubSección]))),ROW(H14))),"")</f>
        <v/>
      </c>
      <c r="J15" s="51" t="str">
        <f t="array" aca="1" ref="J15" ca="1">IFERROR(INDEX(Leccion[selectorLeccion],SMALL(IF(J$1=Leccion[SubSección],MATCH(ROW(Leccion[SubSección]),ROW(Leccion[SubSección]))),ROW(I14))),"")</f>
        <v/>
      </c>
      <c r="K15" s="51" t="str">
        <f t="array" aca="1" ref="K15" ca="1">IFERROR(INDEX(Leccion[selectorLeccion],SMALL(IF(K$1=Leccion[SubSección],MATCH(ROW(Leccion[SubSección]),ROW(Leccion[SubSección]))),ROW(J14))),"")</f>
        <v/>
      </c>
      <c r="L15" s="51" t="str">
        <f t="array" aca="1" ref="L15" ca="1">IFERROR(INDEX(Leccion[selectorLeccion],SMALL(IF(L$1=Leccion[SubSección],MATCH(ROW(Leccion[SubSección]),ROW(Leccion[SubSección]))),ROW(K14))),"")</f>
        <v/>
      </c>
      <c r="M15" s="51" t="str">
        <f t="array" aca="1" ref="M15" ca="1">IFERROR(INDEX(Leccion[selectorLeccion],SMALL(IF(M$1=Leccion[SubSección],MATCH(ROW(Leccion[SubSección]),ROW(Leccion[SubSección]))),ROW(L14))),"")</f>
        <v/>
      </c>
      <c r="N15" s="51" t="str">
        <f t="array" aca="1" ref="N15" ca="1">IFERROR(INDEX(Leccion[selectorLeccion],SMALL(IF(N$1=Leccion[SubSección],MATCH(ROW(Leccion[SubSección]),ROW(Leccion[SubSección]))),ROW(M14))),"")</f>
        <v/>
      </c>
      <c r="O15" s="51" t="str">
        <f t="array" aca="1" ref="O15" ca="1">IFERROR(INDEX(Leccion[selectorLeccion],SMALL(IF(O$1=Leccion[SubSección],MATCH(ROW(Leccion[SubSección]),ROW(Leccion[SubSección]))),ROW(N14))),"")</f>
        <v/>
      </c>
      <c r="P15" s="51" t="str">
        <f t="array" aca="1" ref="P15" ca="1">IFERROR(INDEX(Leccion[selectorLeccion],SMALL(IF(P$1=Leccion[SubSección],MATCH(ROW(Leccion[SubSección]),ROW(Leccion[SubSección]))),ROW(O14))),"")</f>
        <v/>
      </c>
      <c r="Q15" s="51" t="str">
        <f t="array" aca="1" ref="Q15" ca="1">IFERROR(INDEX(Leccion[selectorLeccion],SMALL(IF(Q$1=Leccion[SubSección],MATCH(ROW(Leccion[SubSección]),ROW(Leccion[SubSección]))),ROW(P14))),"")</f>
        <v/>
      </c>
      <c r="R15" s="51" t="str">
        <f t="array" aca="1" ref="R15" ca="1">IFERROR(INDEX(Leccion[selectorLeccion],SMALL(IF(R$1=Leccion[SubSección],MATCH(ROW(Leccion[SubSección]),ROW(Leccion[SubSección]))),ROW(Q14))),"")</f>
        <v/>
      </c>
      <c r="S15" s="51" t="str">
        <f t="array" aca="1" ref="S15" ca="1">IFERROR(INDEX(Leccion[selectorLeccion],SMALL(IF(S$1=Leccion[SubSección],MATCH(ROW(Leccion[SubSección]),ROW(Leccion[SubSección]))),ROW(R14))),"")</f>
        <v/>
      </c>
      <c r="T15" s="51" t="str">
        <f t="array" aca="1" ref="T15" ca="1">IFERROR(INDEX(Leccion[selectorLeccion],SMALL(IF(T$1=Leccion[SubSección],MATCH(ROW(Leccion[SubSección]),ROW(Leccion[SubSección]))),ROW(S14))),"")</f>
        <v/>
      </c>
      <c r="U15" s="51" t="str">
        <f t="array" aca="1" ref="U15" ca="1">IFERROR(INDEX(Leccion[selectorLeccion],SMALL(IF(U$1=Leccion[SubSección],MATCH(ROW(Leccion[SubSección]),ROW(Leccion[SubSección]))),ROW(T14))),"")</f>
        <v/>
      </c>
      <c r="V15" s="51" t="str">
        <f t="array" aca="1" ref="V15" ca="1">IFERROR(INDEX(Leccion[selectorLeccion],SMALL(IF(V$1=Leccion[SubSección],MATCH(ROW(Leccion[SubSección]),ROW(Leccion[SubSección]))),ROW(U14))),"")</f>
        <v/>
      </c>
      <c r="W15" s="51" t="str">
        <f t="array" aca="1" ref="W15" ca="1">IFERROR(INDEX(Leccion[selectorLeccion],SMALL(IF(W$1=Leccion[SubSección],MATCH(ROW(Leccion[SubSección]),ROW(Leccion[SubSección]))),ROW(V14))),"")</f>
        <v/>
      </c>
      <c r="X15" s="51" t="str">
        <f t="array" aca="1" ref="X15" ca="1">IFERROR(INDEX(Leccion[selectorLeccion],SMALL(IF(X$1=Leccion[SubSección],MATCH(ROW(Leccion[SubSección]),ROW(Leccion[SubSección]))),ROW(W14))),"")</f>
        <v/>
      </c>
      <c r="Y15" s="51" t="str">
        <f t="array" aca="1" ref="Y15" ca="1">IFERROR(INDEX(Leccion[selectorLeccion],SMALL(IF(Y$1=Leccion[SubSección],MATCH(ROW(Leccion[SubSección]),ROW(Leccion[SubSección]))),ROW(X14))),"")</f>
        <v/>
      </c>
      <c r="Z15" s="51" t="str">
        <f t="array" aca="1" ref="Z15" ca="1">IFERROR(INDEX(Leccion[selectorLeccion],SMALL(IF(Z$1=Leccion[SubSección],MATCH(ROW(Leccion[SubSección]),ROW(Leccion[SubSección]))),ROW(Y14))),"")</f>
        <v/>
      </c>
      <c r="AA15" s="51" t="str">
        <f t="array" aca="1" ref="AA15" ca="1">IFERROR(INDEX(Leccion[selectorLeccion],SMALL(IF(AA$1=Leccion[SubSección],MATCH(ROW(Leccion[SubSección]),ROW(Leccion[SubSección]))),ROW(Z14))),"")</f>
        <v/>
      </c>
      <c r="AB15" s="51" t="str">
        <f t="array" aca="1" ref="AB15" ca="1">IFERROR(INDEX(Leccion[selectorLeccion],SMALL(IF(AB$1=Leccion[SubSección],MATCH(ROW(Leccion[SubSección]),ROW(Leccion[SubSección]))),ROW(AA14))),"")</f>
        <v/>
      </c>
      <c r="AC15" s="51" t="str">
        <f t="array" aca="1" ref="AC15" ca="1">IFERROR(INDEX(Leccion[selectorLeccion],SMALL(IF(AC$1=Leccion[SubSección],MATCH(ROW(Leccion[SubSección]),ROW(Leccion[SubSección]))),ROW(AB14))),"")</f>
        <v/>
      </c>
      <c r="AD15" s="51" t="str">
        <f t="array" aca="1" ref="AD15" ca="1">IFERROR(INDEX(Leccion[selectorLeccion],SMALL(IF(AD$1=Leccion[SubSección],MATCH(ROW(Leccion[SubSección]),ROW(Leccion[SubSección]))),ROW(AC14))),"")</f>
        <v/>
      </c>
      <c r="AE15" s="51" t="str">
        <f t="array" aca="1" ref="AE15" ca="1">IFERROR(INDEX(Leccion[selectorLeccion],SMALL(IF(AE$1=Leccion[SubSección],MATCH(ROW(Leccion[SubSección]),ROW(Leccion[SubSección]))),ROW(AD14))),"")</f>
        <v/>
      </c>
      <c r="AF15" s="51" t="str">
        <f t="array" aca="1" ref="AF15" ca="1">IFERROR(INDEX(Leccion[selectorLeccion],SMALL(IF(AF$1=Leccion[SubSección],MATCH(ROW(Leccion[SubSección]),ROW(Leccion[SubSección]))),ROW(AE14))),"")</f>
        <v/>
      </c>
      <c r="AG15" s="51" t="str">
        <f t="array" aca="1" ref="AG15" ca="1">IFERROR(INDEX(Leccion[selectorLeccion],SMALL(IF(AG$1=Leccion[SubSección],MATCH(ROW(Leccion[SubSección]),ROW(Leccion[SubSección]))),ROW(AF14))),"")</f>
        <v/>
      </c>
      <c r="AH15" s="51" t="str">
        <f t="array" aca="1" ref="AH15" ca="1">IFERROR(INDEX(Leccion[selectorLeccion],SMALL(IF(AH$1=Leccion[SubSección],MATCH(ROW(Leccion[SubSección]),ROW(Leccion[SubSección]))),ROW(AG14))),"")</f>
        <v/>
      </c>
      <c r="AI15" s="51" t="str">
        <f t="array" aca="1" ref="AI15" ca="1">IFERROR(INDEX(Leccion[selectorLeccion],SMALL(IF(AI$1=Leccion[SubSección],MATCH(ROW(Leccion[SubSección]),ROW(Leccion[SubSección]))),ROW(AH14))),"")</f>
        <v/>
      </c>
      <c r="AJ15" s="51" t="str">
        <f t="array" aca="1" ref="AJ15" ca="1">IFERROR(INDEX(Leccion[selectorLeccion],SMALL(IF(AJ$1=Leccion[SubSección],MATCH(ROW(Leccion[SubSección]),ROW(Leccion[SubSección]))),ROW(AI14))),"")</f>
        <v/>
      </c>
      <c r="AK15" s="51" t="str">
        <f t="array" aca="1" ref="AK15" ca="1">IFERROR(INDEX(Leccion[selectorLeccion],SMALL(IF(AK$1=Leccion[SubSección],MATCH(ROW(Leccion[SubSección]),ROW(Leccion[SubSección]))),ROW(AJ14))),"")</f>
        <v/>
      </c>
      <c r="AL15" s="51" t="str">
        <f t="array" aca="1" ref="AL15" ca="1">IFERROR(INDEX(Leccion[selectorLeccion],SMALL(IF(AL$1=Leccion[SubSección],MATCH(ROW(Leccion[SubSección]),ROW(Leccion[SubSección]))),ROW(AK14))),"")</f>
        <v/>
      </c>
      <c r="AM15" s="51" t="str">
        <f t="array" aca="1" ref="AM15" ca="1">IFERROR(INDEX(Leccion[selectorLeccion],SMALL(IF(AM$1=Leccion[SubSección],MATCH(ROW(Leccion[SubSección]),ROW(Leccion[SubSección]))),ROW(AL14))),"")</f>
        <v/>
      </c>
      <c r="AN15" s="51" t="str">
        <f t="array" aca="1" ref="AN15" ca="1">IFERROR(INDEX(Leccion[selectorLeccion],SMALL(IF(AN$1=Leccion[SubSección],MATCH(ROW(Leccion[SubSección]),ROW(Leccion[SubSección]))),ROW(AM14))),"")</f>
        <v/>
      </c>
      <c r="AO15" s="51" t="str">
        <f t="array" aca="1" ref="AO15" ca="1">IFERROR(INDEX(Leccion[selectorLeccion],SMALL(IF(AO$1=Leccion[SubSección],MATCH(ROW(Leccion[SubSección]),ROW(Leccion[SubSección]))),ROW(AN14))),"")</f>
        <v/>
      </c>
      <c r="AP15" s="51" t="str">
        <f t="array" aca="1" ref="AP15" ca="1">IFERROR(INDEX(Leccion[selectorLeccion],SMALL(IF(AP$1=Leccion[SubSección],MATCH(ROW(Leccion[SubSección]),ROW(Leccion[SubSección]))),ROW(AO14))),"")</f>
        <v/>
      </c>
      <c r="AQ15" s="51" t="str">
        <f t="array" aca="1" ref="AQ15" ca="1">IFERROR(INDEX(Leccion[selectorLeccion],SMALL(IF(AQ$1=Leccion[SubSección],MATCH(ROW(Leccion[SubSección]),ROW(Leccion[SubSección]))),ROW(AP14))),"")</f>
        <v/>
      </c>
      <c r="AR15" s="51" t="str">
        <f t="array" aca="1" ref="AR15" ca="1">IFERROR(INDEX(Leccion[selectorLeccion],SMALL(IF(AR$1=Leccion[SubSección],MATCH(ROW(Leccion[SubSección]),ROW(Leccion[SubSección]))),ROW(AQ14))),"")</f>
        <v/>
      </c>
      <c r="AS15" s="51" t="str">
        <f t="array" aca="1" ref="AS15" ca="1">IFERROR(INDEX(Leccion[selectorLeccion],SMALL(IF(AS$1=Leccion[SubSección],MATCH(ROW(Leccion[SubSección]),ROW(Leccion[SubSección]))),ROW(AR14))),"")</f>
        <v/>
      </c>
      <c r="AT15" s="51" t="str">
        <f t="array" aca="1" ref="AT15" ca="1">IFERROR(INDEX(Leccion[selectorLeccion],SMALL(IF(AT$1=Leccion[SubSección],MATCH(ROW(Leccion[SubSección]),ROW(Leccion[SubSección]))),ROW(AS14))),"")</f>
        <v/>
      </c>
      <c r="AU15" s="51" t="str">
        <f t="array" aca="1" ref="AU15" ca="1">IFERROR(INDEX(Leccion[selectorLeccion],SMALL(IF(AU$1=Leccion[SubSección],MATCH(ROW(Leccion[SubSección]),ROW(Leccion[SubSección]))),ROW(AT14))),"")</f>
        <v/>
      </c>
      <c r="AV15" s="51" t="str">
        <f t="array" aca="1" ref="AV15" ca="1">IFERROR(INDEX(Leccion[selectorLeccion],SMALL(IF(AV$1=Leccion[SubSección],MATCH(ROW(Leccion[SubSección]),ROW(Leccion[SubSección]))),ROW(AU14))),"")</f>
        <v/>
      </c>
      <c r="AW15" s="51" t="str">
        <f t="array" aca="1" ref="AW15" ca="1">IFERROR(INDEX(Leccion[selectorLeccion],SMALL(IF(AW$1=Leccion[SubSección],MATCH(ROW(Leccion[SubSección]),ROW(Leccion[SubSección]))),ROW(AV14))),"")</f>
        <v/>
      </c>
      <c r="AX15" s="51" t="str">
        <f t="array" aca="1" ref="AX15" ca="1">IFERROR(INDEX(Leccion[selectorLeccion],SMALL(IF(AX$1=Leccion[SubSección],MATCH(ROW(Leccion[SubSección]),ROW(Leccion[SubSección]))),ROW(AW14))),"")</f>
        <v/>
      </c>
      <c r="AY15" s="51" t="str">
        <f t="array" aca="1" ref="AY15" ca="1">IFERROR(INDEX(Leccion[selectorLeccion],SMALL(IF(AY$1=Leccion[SubSección],MATCH(ROW(Leccion[SubSección]),ROW(Leccion[SubSección]))),ROW(AX14))),"")</f>
        <v/>
      </c>
      <c r="AZ15" s="51" t="str">
        <f t="array" aca="1" ref="AZ15" ca="1">IFERROR(INDEX(Leccion[selectorLeccion],SMALL(IF(AZ$1=Leccion[SubSección],MATCH(ROW(Leccion[SubSección]),ROW(Leccion[SubSección]))),ROW(AY14))),"")</f>
        <v/>
      </c>
      <c r="BA15" s="51" t="str">
        <f t="array" aca="1" ref="BA15" ca="1">IFERROR(INDEX(Leccion[selectorLeccion],SMALL(IF(BA$1=Leccion[SubSección],MATCH(ROW(Leccion[SubSección]),ROW(Leccion[SubSección]))),ROW(AZ14))),"")</f>
        <v/>
      </c>
      <c r="BB15" s="51" t="str">
        <f t="array" aca="1" ref="BB15" ca="1">IFERROR(INDEX(Leccion[selectorLeccion],SMALL(IF(BB$1=Leccion[SubSección],MATCH(ROW(Leccion[SubSección]),ROW(Leccion[SubSección]))),ROW(BA14))),"")</f>
        <v/>
      </c>
      <c r="BC15" s="51" t="str">
        <f t="array" aca="1" ref="BC15" ca="1">IFERROR(INDEX(Leccion[selectorLeccion],SMALL(IF(BC$1=Leccion[SubSección],MATCH(ROW(Leccion[SubSección]),ROW(Leccion[SubSección]))),ROW(BB14))),"")</f>
        <v/>
      </c>
      <c r="BD15" s="51" t="str">
        <f t="array" aca="1" ref="BD15" ca="1">IFERROR(INDEX(Leccion[selectorLeccion],SMALL(IF(BD$1=Leccion[SubSección],MATCH(ROW(Leccion[SubSección]),ROW(Leccion[SubSección]))),ROW(BC14))),"")</f>
        <v/>
      </c>
      <c r="BE15" s="51" t="str">
        <f t="array" aca="1" ref="BE15" ca="1">IFERROR(INDEX(Leccion[selectorLeccion],SMALL(IF(BE$1=Leccion[SubSección],MATCH(ROW(Leccion[SubSección]),ROW(Leccion[SubSección]))),ROW(BD14))),"")</f>
        <v/>
      </c>
      <c r="BF15" s="51" t="str">
        <f t="array" aca="1" ref="BF15" ca="1">IFERROR(INDEX(Leccion[selectorLeccion],SMALL(IF(BF$1=Leccion[SubSección],MATCH(ROW(Leccion[SubSección]),ROW(Leccion[SubSección]))),ROW(BE14))),"")</f>
        <v/>
      </c>
      <c r="BG15" s="51" t="str">
        <f t="array" aca="1" ref="BG15" ca="1">IFERROR(INDEX(Leccion[selectorLeccion],SMALL(IF(BG$1=Leccion[SubSección],MATCH(ROW(Leccion[SubSección]),ROW(Leccion[SubSección]))),ROW(BF14))),"")</f>
        <v/>
      </c>
      <c r="BH15" s="51" t="str">
        <f t="array" aca="1" ref="BH15" ca="1">IFERROR(INDEX(Leccion[selectorLeccion],SMALL(IF(BH$1=Leccion[SubSección],MATCH(ROW(Leccion[SubSección]),ROW(Leccion[SubSección]))),ROW(BG14))),"")</f>
        <v/>
      </c>
      <c r="BI15" s="51" t="str">
        <f t="array" aca="1" ref="BI15" ca="1">IFERROR(INDEX(Leccion[selectorLeccion],SMALL(IF(BI$1=Leccion[SubSección],MATCH(ROW(Leccion[SubSección]),ROW(Leccion[SubSección]))),ROW(BH14))),"")</f>
        <v/>
      </c>
      <c r="BJ15" s="51" t="str">
        <f t="array" aca="1" ref="BJ15" ca="1">IFERROR(INDEX(Leccion[selectorLeccion],SMALL(IF(BJ$1=Leccion[SubSección],MATCH(ROW(Leccion[SubSección]),ROW(Leccion[SubSección]))),ROW(BI14))),"")</f>
        <v/>
      </c>
      <c r="BK15" s="51" t="str">
        <f t="array" aca="1" ref="BK15" ca="1">IFERROR(INDEX(Leccion[selectorLeccion],SMALL(IF(BK$1=Leccion[SubSección],MATCH(ROW(Leccion[SubSección]),ROW(Leccion[SubSección]))),ROW(BJ14))),"")</f>
        <v/>
      </c>
      <c r="BL15" s="51" t="str">
        <f t="array" aca="1" ref="BL15" ca="1">IFERROR(INDEX(Leccion[selectorLeccion],SMALL(IF(BL$1=Leccion[SubSección],MATCH(ROW(Leccion[SubSección]),ROW(Leccion[SubSección]))),ROW(BK14))),"")</f>
        <v/>
      </c>
      <c r="BM15" s="51" t="str">
        <f t="array" aca="1" ref="BM15" ca="1">IFERROR(INDEX(Leccion[selectorLeccion],SMALL(IF(BM$1=Leccion[SubSección],MATCH(ROW(Leccion[SubSección]),ROW(Leccion[SubSección]))),ROW(BL14))),"")</f>
        <v/>
      </c>
      <c r="BN15" s="51" t="str">
        <f t="array" aca="1" ref="BN15" ca="1">IFERROR(INDEX(Leccion[selectorLeccion],SMALL(IF(BN$1=Leccion[SubSección],MATCH(ROW(Leccion[SubSección]),ROW(Leccion[SubSección]))),ROW(BM14))),"")</f>
        <v/>
      </c>
      <c r="BO15" s="51" t="str">
        <f t="array" aca="1" ref="BO15" ca="1">IFERROR(INDEX(Leccion[selectorLeccion],SMALL(IF(BO$1=Leccion[SubSección],MATCH(ROW(Leccion[SubSección]),ROW(Leccion[SubSección]))),ROW(BN14))),"")</f>
        <v/>
      </c>
      <c r="BP15" s="51" t="str">
        <f t="array" aca="1" ref="BP15" ca="1">IFERROR(INDEX(Leccion[selectorLeccion],SMALL(IF(BP$1=Leccion[SubSección],MATCH(ROW(Leccion[SubSección]),ROW(Leccion[SubSección]))),ROW(BO14))),"")</f>
        <v/>
      </c>
      <c r="BQ15" s="51" t="str">
        <f t="array" aca="1" ref="BQ15" ca="1">IFERROR(INDEX(Leccion[selectorLeccion],SMALL(IF(BQ$1=Leccion[SubSección],MATCH(ROW(Leccion[SubSección]),ROW(Leccion[SubSección]))),ROW(BP14))),"")</f>
        <v/>
      </c>
      <c r="BR15" s="51" t="str">
        <f t="array" aca="1" ref="BR15" ca="1">IFERROR(INDEX(Leccion[selectorLeccion],SMALL(IF(BR$1=Leccion[SubSección],MATCH(ROW(Leccion[SubSección]),ROW(Leccion[SubSección]))),ROW(BQ14))),"")</f>
        <v/>
      </c>
      <c r="BS15" s="51" t="str">
        <f t="array" aca="1" ref="BS15" ca="1">IFERROR(INDEX(Leccion[selectorLeccion],SMALL(IF(BS$1=Leccion[SubSección],MATCH(ROW(Leccion[SubSección]),ROW(Leccion[SubSección]))),ROW(BR14))),"")</f>
        <v/>
      </c>
      <c r="BT15" s="51" t="str">
        <f t="array" aca="1" ref="BT15" ca="1">IFERROR(INDEX(Leccion[selectorLeccion],SMALL(IF(BT$1=Leccion[SubSección],MATCH(ROW(Leccion[SubSección]),ROW(Leccion[SubSección]))),ROW(BS14))),"")</f>
        <v/>
      </c>
      <c r="BU15" s="51" t="str">
        <f t="array" aca="1" ref="BU15" ca="1">IFERROR(INDEX(Leccion[selectorLeccion],SMALL(IF(BU$1=Leccion[SubSección],MATCH(ROW(Leccion[SubSección]),ROW(Leccion[SubSección]))),ROW(BT14))),"")</f>
        <v/>
      </c>
      <c r="BV15" s="51" t="str">
        <f t="array" aca="1" ref="BV15" ca="1">IFERROR(INDEX(Leccion[selectorLeccion],SMALL(IF(BV$1=Leccion[SubSección],MATCH(ROW(Leccion[SubSección]),ROW(Leccion[SubSección]))),ROW(BU14))),"")</f>
        <v/>
      </c>
      <c r="BW15" s="51" t="str">
        <f t="array" aca="1" ref="BW15" ca="1">IFERROR(INDEX(Leccion[selectorLeccion],SMALL(IF(BW$1=Leccion[SubSección],MATCH(ROW(Leccion[SubSección]),ROW(Leccion[SubSección]))),ROW(BV14))),"")</f>
        <v/>
      </c>
      <c r="BX15" s="51" t="str">
        <f t="array" aca="1" ref="BX15" ca="1">IFERROR(INDEX(Leccion[selectorLeccion],SMALL(IF(BX$1=Leccion[SubSección],MATCH(ROW(Leccion[SubSección]),ROW(Leccion[SubSección]))),ROW(BW14))),"")</f>
        <v/>
      </c>
      <c r="BY15" s="51" t="str">
        <f t="array" aca="1" ref="BY15" ca="1">IFERROR(INDEX(Leccion[selectorLeccion],SMALL(IF(BY$1=Leccion[SubSección],MATCH(ROW(Leccion[SubSección]),ROW(Leccion[SubSección]))),ROW(BX14))),"")</f>
        <v/>
      </c>
      <c r="BZ15" s="51" t="str">
        <f t="array" aca="1" ref="BZ15" ca="1">IFERROR(INDEX(Leccion[selectorLeccion],SMALL(IF(BZ$1=Leccion[SubSección],MATCH(ROW(Leccion[SubSección]),ROW(Leccion[SubSección]))),ROW(BY14))),"")</f>
        <v/>
      </c>
      <c r="CA15" s="51" t="str">
        <f t="array" aca="1" ref="CA15" ca="1">IFERROR(INDEX(Leccion[selectorLeccion],SMALL(IF(CA$1=Leccion[SubSección],MATCH(ROW(Leccion[SubSección]),ROW(Leccion[SubSección]))),ROW(BZ14))),"")</f>
        <v/>
      </c>
      <c r="CB15" s="51" t="str">
        <f t="array" aca="1" ref="CB15" ca="1">IFERROR(INDEX(Leccion[selectorLeccion],SMALL(IF(CB$1=Leccion[SubSección],MATCH(ROW(Leccion[SubSección]),ROW(Leccion[SubSección]))),ROW(CA14))),"")</f>
        <v/>
      </c>
      <c r="CC15" s="51" t="str">
        <f t="array" aca="1" ref="CC15" ca="1">IFERROR(INDEX(Leccion[selectorLeccion],SMALL(IF(CC$1=Leccion[SubSección],MATCH(ROW(Leccion[SubSección]),ROW(Leccion[SubSección]))),ROW(CB14))),"")</f>
        <v/>
      </c>
      <c r="CD15" s="51" t="str">
        <f t="array" aca="1" ref="CD15" ca="1">IFERROR(INDEX(Leccion[selectorLeccion],SMALL(IF(CD$1=Leccion[SubSección],MATCH(ROW(Leccion[SubSección]),ROW(Leccion[SubSección]))),ROW(CC14))),"")</f>
        <v/>
      </c>
      <c r="CE15" s="51" t="str">
        <f t="array" aca="1" ref="CE15" ca="1">IFERROR(INDEX(Leccion[selectorLeccion],SMALL(IF(CE$1=Leccion[SubSección],MATCH(ROW(Leccion[SubSección]),ROW(Leccion[SubSección]))),ROW(CD14))),"")</f>
        <v/>
      </c>
      <c r="CF15" s="51" t="str">
        <f t="array" aca="1" ref="CF15" ca="1">IFERROR(INDEX(Leccion[selectorLeccion],SMALL(IF(CF$1=Leccion[SubSección],MATCH(ROW(Leccion[SubSección]),ROW(Leccion[SubSección]))),ROW(CE14))),"")</f>
        <v/>
      </c>
      <c r="CG15" s="51" t="str">
        <f t="array" aca="1" ref="CG15" ca="1">IFERROR(INDEX(Leccion[selectorLeccion],SMALL(IF(CG$1=Leccion[SubSección],MATCH(ROW(Leccion[SubSección]),ROW(Leccion[SubSección]))),ROW(CF14))),"")</f>
        <v/>
      </c>
      <c r="CH15" s="51" t="str">
        <f t="array" aca="1" ref="CH15" ca="1">IFERROR(INDEX(Leccion[selectorLeccion],SMALL(IF(CH$1=Leccion[SubSección],MATCH(ROW(Leccion[SubSección]),ROW(Leccion[SubSección]))),ROW(CG14))),"")</f>
        <v/>
      </c>
      <c r="CI15" s="51" t="str">
        <f t="array" aca="1" ref="CI15" ca="1">IFERROR(INDEX(Leccion[selectorLeccion],SMALL(IF(CI$1=Leccion[SubSección],MATCH(ROW(Leccion[SubSección]),ROW(Leccion[SubSección]))),ROW(CH14))),"")</f>
        <v/>
      </c>
      <c r="CJ15" s="51" t="str">
        <f t="array" aca="1" ref="CJ15" ca="1">IFERROR(INDEX(Leccion[selectorLeccion],SMALL(IF(CJ$1=Leccion[SubSección],MATCH(ROW(Leccion[SubSección]),ROW(Leccion[SubSección]))),ROW(CI14))),"")</f>
        <v/>
      </c>
      <c r="CK15" s="51" t="str">
        <f t="array" aca="1" ref="CK15" ca="1">IFERROR(INDEX(Leccion[selectorLeccion],SMALL(IF(CK$1=Leccion[SubSección],MATCH(ROW(Leccion[SubSección]),ROW(Leccion[SubSección]))),ROW(CJ14))),"")</f>
        <v/>
      </c>
      <c r="CL15" s="51" t="str">
        <f t="array" aca="1" ref="CL15" ca="1">IFERROR(INDEX(Leccion[selectorLeccion],SMALL(IF(CL$1=Leccion[SubSección],MATCH(ROW(Leccion[SubSección]),ROW(Leccion[SubSección]))),ROW(CK14))),"")</f>
        <v/>
      </c>
      <c r="CM15" s="51" t="str">
        <f t="array" aca="1" ref="CM15" ca="1">IFERROR(INDEX(Leccion[selectorLeccion],SMALL(IF(CM$1=Leccion[SubSección],MATCH(ROW(Leccion[SubSección]),ROW(Leccion[SubSección]))),ROW(CL14))),"")</f>
        <v/>
      </c>
      <c r="CN15" s="51" t="str">
        <f t="array" aca="1" ref="CN15" ca="1">IFERROR(INDEX(Leccion[selectorLeccion],SMALL(IF(CN$1=Leccion[SubSección],MATCH(ROW(Leccion[SubSección]),ROW(Leccion[SubSección]))),ROW(CM14))),"")</f>
        <v/>
      </c>
      <c r="CO15" s="51" t="str">
        <f t="array" aca="1" ref="CO15" ca="1">IFERROR(INDEX(Leccion[selectorLeccion],SMALL(IF(CO$1=Leccion[SubSección],MATCH(ROW(Leccion[SubSección]),ROW(Leccion[SubSección]))),ROW(CN14))),"")</f>
        <v/>
      </c>
      <c r="CP15" s="51" t="str">
        <f t="array" aca="1" ref="CP15" ca="1">IFERROR(INDEX(Leccion[selectorLeccion],SMALL(IF(CP$1=Leccion[SubSección],MATCH(ROW(Leccion[SubSección]),ROW(Leccion[SubSección]))),ROW(CO14))),"")</f>
        <v/>
      </c>
      <c r="CQ15" s="51" t="str">
        <f t="array" aca="1" ref="CQ15" ca="1">IFERROR(INDEX(Leccion[selectorLeccion],SMALL(IF(CQ$1=Leccion[SubSección],MATCH(ROW(Leccion[SubSección]),ROW(Leccion[SubSección]))),ROW(CP14))),"")</f>
        <v/>
      </c>
      <c r="CR15" s="51" t="str">
        <f t="array" aca="1" ref="CR15" ca="1">IFERROR(INDEX(Leccion[selectorLeccion],SMALL(IF(CR$1=Leccion[SubSección],MATCH(ROW(Leccion[SubSección]),ROW(Leccion[SubSección]))),ROW(CQ14))),"")</f>
        <v/>
      </c>
      <c r="CS15" s="51" t="str">
        <f t="array" aca="1" ref="CS15" ca="1">IFERROR(INDEX(Leccion[selectorLeccion],SMALL(IF(CS$1=Leccion[SubSección],MATCH(ROW(Leccion[SubSección]),ROW(Leccion[SubSección]))),ROW(CR14))),"")</f>
        <v/>
      </c>
      <c r="CT15" s="51" t="str">
        <f t="array" aca="1" ref="CT15" ca="1">IFERROR(INDEX(Leccion[selectorLeccion],SMALL(IF(CT$1=Leccion[SubSección],MATCH(ROW(Leccion[SubSección]),ROW(Leccion[SubSección]))),ROW(CS14))),"")</f>
        <v/>
      </c>
      <c r="CU15" s="51" t="str">
        <f t="array" aca="1" ref="CU15" ca="1">IFERROR(INDEX(Leccion[selectorLeccion],SMALL(IF(CU$1=Leccion[SubSección],MATCH(ROW(Leccion[SubSección]),ROW(Leccion[SubSección]))),ROW(CT14))),"")</f>
        <v/>
      </c>
      <c r="CV15" s="51" t="str">
        <f t="array" aca="1" ref="CV15" ca="1">IFERROR(INDEX(Leccion[selectorLeccion],SMALL(IF(CV$1=Leccion[SubSección],MATCH(ROW(Leccion[SubSección]),ROW(Leccion[SubSección]))),ROW(CU14))),"")</f>
        <v/>
      </c>
      <c r="CW15" s="51" t="str">
        <f t="array" aca="1" ref="CW15" ca="1">IFERROR(INDEX(Leccion[selectorLeccion],SMALL(IF(CW$1=Leccion[SubSección],MATCH(ROW(Leccion[SubSección]),ROW(Leccion[SubSección]))),ROW(CV14))),"")</f>
        <v/>
      </c>
      <c r="CX15" s="51" t="str">
        <f t="array" aca="1" ref="CX15" ca="1">IFERROR(INDEX(Leccion[selectorLeccion],SMALL(IF(CX$1=Leccion[SubSección],MATCH(ROW(Leccion[SubSección]),ROW(Leccion[SubSección]))),ROW(CW14))),"")</f>
        <v/>
      </c>
      <c r="CY15" s="51" t="str">
        <f t="array" aca="1" ref="CY15" ca="1">IFERROR(INDEX(Leccion[selectorLeccion],SMALL(IF(CY$1=Leccion[SubSección],MATCH(ROW(Leccion[SubSección]),ROW(Leccion[SubSección]))),ROW(CX14))),"")</f>
        <v/>
      </c>
      <c r="CZ15" s="51" t="str">
        <f t="array" aca="1" ref="CZ15" ca="1">IFERROR(INDEX(Leccion[selectorLeccion],SMALL(IF(CZ$1=Leccion[SubSección],MATCH(ROW(Leccion[SubSección]),ROW(Leccion[SubSección]))),ROW(CY14))),"")</f>
        <v/>
      </c>
      <c r="DA15" s="51" t="str">
        <f t="array" aca="1" ref="DA15" ca="1">IFERROR(INDEX(Leccion[selectorLeccion],SMALL(IF(DA$1=Leccion[SubSección],MATCH(ROW(Leccion[SubSección]),ROW(Leccion[SubSección]))),ROW(CZ14))),"")</f>
        <v/>
      </c>
      <c r="DB15" s="51" t="str">
        <f t="array" aca="1" ref="DB15" ca="1">IFERROR(INDEX(Leccion[selectorLeccion],SMALL(IF(DB$1=Leccion[SubSección],MATCH(ROW(Leccion[SubSección]),ROW(Leccion[SubSección]))),ROW(DA14))),"")</f>
        <v/>
      </c>
      <c r="DC15" s="51" t="str">
        <f t="array" aca="1" ref="DC15" ca="1">IFERROR(INDEX(Leccion[selectorLeccion],SMALL(IF(DC$1=Leccion[SubSección],MATCH(ROW(Leccion[SubSección]),ROW(Leccion[SubSección]))),ROW(DB14))),"")</f>
        <v/>
      </c>
      <c r="DD15" s="51" t="str">
        <f t="array" aca="1" ref="DD15" ca="1">IFERROR(INDEX(Leccion[selectorLeccion],SMALL(IF(DD$1=Leccion[SubSección],MATCH(ROW(Leccion[SubSección]),ROW(Leccion[SubSección]))),ROW(DC14))),"")</f>
        <v/>
      </c>
      <c r="DE15" s="51" t="str">
        <f t="array" aca="1" ref="DE15" ca="1">IFERROR(INDEX(Leccion[selectorLeccion],SMALL(IF(DE$1=Leccion[SubSección],MATCH(ROW(Leccion[SubSección]),ROW(Leccion[SubSección]))),ROW(DD14))),"")</f>
        <v/>
      </c>
      <c r="DF15" s="51" t="str">
        <f t="array" aca="1" ref="DF15" ca="1">IFERROR(INDEX(Leccion[selectorLeccion],SMALL(IF(DF$1=Leccion[SubSección],MATCH(ROW(Leccion[SubSección]),ROW(Leccion[SubSección]))),ROW(DE14))),"")</f>
        <v/>
      </c>
      <c r="DG15" s="51" t="str">
        <f t="array" aca="1" ref="DG15" ca="1">IFERROR(INDEX(Leccion[selectorLeccion],SMALL(IF(DG$1=Leccion[SubSección],MATCH(ROW(Leccion[SubSección]),ROW(Leccion[SubSección]))),ROW(DF14))),"")</f>
        <v/>
      </c>
      <c r="DH15" s="51" t="str">
        <f t="array" aca="1" ref="DH15" ca="1">IFERROR(INDEX(Leccion[selectorLeccion],SMALL(IF(DH$1=Leccion[SubSección],MATCH(ROW(Leccion[SubSección]),ROW(Leccion[SubSección]))),ROW(DG14))),"")</f>
        <v/>
      </c>
      <c r="DI15" s="51" t="str">
        <f t="array" aca="1" ref="DI15" ca="1">IFERROR(INDEX(Leccion[selectorLeccion],SMALL(IF(DI$1=Leccion[SubSección],MATCH(ROW(Leccion[SubSección]),ROW(Leccion[SubSección]))),ROW(DH14))),"")</f>
        <v/>
      </c>
      <c r="DJ15" s="51" t="str">
        <f t="array" aca="1" ref="DJ15" ca="1">IFERROR(INDEX(Leccion[selectorLeccion],SMALL(IF(DJ$1=Leccion[SubSección],MATCH(ROW(Leccion[SubSección]),ROW(Leccion[SubSección]))),ROW(DI14))),"")</f>
        <v/>
      </c>
      <c r="DK15" s="51" t="str">
        <f t="array" aca="1" ref="DK15" ca="1">IFERROR(INDEX(Leccion[selectorLeccion],SMALL(IF(DK$1=Leccion[SubSección],MATCH(ROW(Leccion[SubSección]),ROW(Leccion[SubSección]))),ROW(DJ14))),"")</f>
        <v/>
      </c>
      <c r="DL15" s="51" t="str">
        <f t="array" aca="1" ref="DL15" ca="1">IFERROR(INDEX(Leccion[selectorLeccion],SMALL(IF(DL$1=Leccion[SubSección],MATCH(ROW(Leccion[SubSección]),ROW(Leccion[SubSección]))),ROW(DK14))),"")</f>
        <v/>
      </c>
      <c r="DM15" s="51" t="str">
        <f t="array" aca="1" ref="DM15" ca="1">IFERROR(INDEX(Leccion[selectorLeccion],SMALL(IF(DM$1=Leccion[SubSección],MATCH(ROW(Leccion[SubSección]),ROW(Leccion[SubSección]))),ROW(DL14))),"")</f>
        <v/>
      </c>
      <c r="DN15" s="51" t="str">
        <f t="array" aca="1" ref="DN15" ca="1">IFERROR(INDEX(Leccion[selectorLeccion],SMALL(IF(DN$1=Leccion[SubSección],MATCH(ROW(Leccion[SubSección]),ROW(Leccion[SubSección]))),ROW(DM14))),"")</f>
        <v/>
      </c>
      <c r="DO15" s="51" t="str">
        <f t="array" aca="1" ref="DO15" ca="1">IFERROR(INDEX(Leccion[selectorLeccion],SMALL(IF(DO$1=Leccion[SubSección],MATCH(ROW(Leccion[SubSección]),ROW(Leccion[SubSección]))),ROW(DN14))),"")</f>
        <v/>
      </c>
      <c r="DP15" s="51" t="str">
        <f t="array" aca="1" ref="DP15" ca="1">IFERROR(INDEX(Leccion[selectorLeccion],SMALL(IF(DP$1=Leccion[SubSección],MATCH(ROW(Leccion[SubSección]),ROW(Leccion[SubSección]))),ROW(DO14))),"")</f>
        <v/>
      </c>
      <c r="DQ15" s="51" t="str">
        <f t="array" aca="1" ref="DQ15" ca="1">IFERROR(INDEX(Leccion[selectorLeccion],SMALL(IF(DQ$1=Leccion[SubSección],MATCH(ROW(Leccion[SubSección]),ROW(Leccion[SubSección]))),ROW(DP14))),"")</f>
        <v/>
      </c>
      <c r="DR15" s="51" t="str">
        <f t="array" aca="1" ref="DR15" ca="1">IFERROR(INDEX(Leccion[selectorLeccion],SMALL(IF(DR$1=Leccion[SubSección],MATCH(ROW(Leccion[SubSección]),ROW(Leccion[SubSección]))),ROW(DQ14))),"")</f>
        <v/>
      </c>
      <c r="DS15" s="51" t="str">
        <f t="array" aca="1" ref="DS15" ca="1">IFERROR(INDEX(Leccion[selectorLeccion],SMALL(IF(DS$1=Leccion[SubSección],MATCH(ROW(Leccion[SubSección]),ROW(Leccion[SubSección]))),ROW(DR14))),"")</f>
        <v/>
      </c>
      <c r="DT15" s="51" t="str">
        <f t="array" aca="1" ref="DT15" ca="1">IFERROR(INDEX(Leccion[selectorLeccion],SMALL(IF(DT$1=Leccion[SubSección],MATCH(ROW(Leccion[SubSección]),ROW(Leccion[SubSección]))),ROW(DS14))),"")</f>
        <v/>
      </c>
      <c r="DU15" s="51" t="str">
        <f t="array" aca="1" ref="DU15" ca="1">IFERROR(INDEX(Leccion[selectorLeccion],SMALL(IF(DU$1=Leccion[SubSección],MATCH(ROW(Leccion[SubSección]),ROW(Leccion[SubSección]))),ROW(DT14))),"")</f>
        <v/>
      </c>
      <c r="DV15" s="51" t="str">
        <f t="array" aca="1" ref="DV15" ca="1">IFERROR(INDEX(Leccion[selectorLeccion],SMALL(IF(DV$1=Leccion[SubSección],MATCH(ROW(Leccion[SubSección]),ROW(Leccion[SubSección]))),ROW(DU14))),"")</f>
        <v/>
      </c>
      <c r="DW15" s="51" t="str">
        <f t="array" aca="1" ref="DW15" ca="1">IFERROR(INDEX(Leccion[selectorLeccion],SMALL(IF(DW$1=Leccion[SubSección],MATCH(ROW(Leccion[SubSección]),ROW(Leccion[SubSección]))),ROW(DV14))),"")</f>
        <v/>
      </c>
      <c r="DX15" s="51" t="str">
        <f t="array" aca="1" ref="DX15" ca="1">IFERROR(INDEX(Leccion[selectorLeccion],SMALL(IF(DX$1=Leccion[SubSección],MATCH(ROW(Leccion[SubSección]),ROW(Leccion[SubSección]))),ROW(DW14))),"")</f>
        <v/>
      </c>
      <c r="DY15" s="51" t="str">
        <f t="array" aca="1" ref="DY15" ca="1">IFERROR(INDEX(Leccion[selectorLeccion],SMALL(IF(DY$1=Leccion[SubSección],MATCH(ROW(Leccion[SubSección]),ROW(Leccion[SubSección]))),ROW(DX14))),"")</f>
        <v/>
      </c>
      <c r="DZ15" s="51" t="str">
        <f t="array" aca="1" ref="DZ15" ca="1">IFERROR(INDEX(Leccion[selectorLeccion],SMALL(IF(DZ$1=Leccion[SubSección],MATCH(ROW(Leccion[SubSección]),ROW(Leccion[SubSección]))),ROW(DY14))),"")</f>
        <v/>
      </c>
      <c r="EA15" s="51" t="str">
        <f t="array" aca="1" ref="EA15" ca="1">IFERROR(INDEX(Leccion[selectorLeccion],SMALL(IF(EA$1=Leccion[SubSección],MATCH(ROW(Leccion[SubSección]),ROW(Leccion[SubSección]))),ROW(DZ14))),"")</f>
        <v/>
      </c>
      <c r="EB15" s="51" t="str">
        <f t="array" aca="1" ref="EB15" ca="1">IFERROR(INDEX(Leccion[selectorLeccion],SMALL(IF(EB$1=Leccion[SubSección],MATCH(ROW(Leccion[SubSección]),ROW(Leccion[SubSección]))),ROW(EA14))),"")</f>
        <v/>
      </c>
      <c r="EC15" s="51" t="str">
        <f t="array" aca="1" ref="EC15" ca="1">IFERROR(INDEX(Leccion[selectorLeccion],SMALL(IF(EC$1=Leccion[SubSección],MATCH(ROW(Leccion[SubSección]),ROW(Leccion[SubSección]))),ROW(EB14))),"")</f>
        <v/>
      </c>
      <c r="ED15" s="51" t="str">
        <f t="array" aca="1" ref="ED15" ca="1">IFERROR(INDEX(Leccion[selectorLeccion],SMALL(IF(ED$1=Leccion[SubSección],MATCH(ROW(Leccion[SubSección]),ROW(Leccion[SubSección]))),ROW(EC14))),"")</f>
        <v/>
      </c>
      <c r="EE15" s="51" t="str">
        <f t="array" aca="1" ref="EE15" ca="1">IFERROR(INDEX(Leccion[selectorLeccion],SMALL(IF(EE$1=Leccion[SubSección],MATCH(ROW(Leccion[SubSección]),ROW(Leccion[SubSección]))),ROW(ED14))),"")</f>
        <v/>
      </c>
      <c r="EF15" s="51" t="str">
        <f t="array" aca="1" ref="EF15" ca="1">IFERROR(INDEX(Leccion[selectorLeccion],SMALL(IF(EF$1=Leccion[SubSección],MATCH(ROW(Leccion[SubSección]),ROW(Leccion[SubSección]))),ROW(EE14))),"")</f>
        <v/>
      </c>
      <c r="EG15" s="51" t="str">
        <f t="array" aca="1" ref="EG15" ca="1">IFERROR(INDEX(Leccion[selectorLeccion],SMALL(IF(EG$1=Leccion[SubSección],MATCH(ROW(Leccion[SubSección]),ROW(Leccion[SubSección]))),ROW(EF14))),"")</f>
        <v/>
      </c>
      <c r="EH15" s="51" t="str">
        <f t="array" aca="1" ref="EH15" ca="1">IFERROR(INDEX(Leccion[selectorLeccion],SMALL(IF(EH$1=Leccion[SubSección],MATCH(ROW(Leccion[SubSección]),ROW(Leccion[SubSección]))),ROW(EG14))),"")</f>
        <v/>
      </c>
      <c r="EI15" s="51" t="str">
        <f t="array" aca="1" ref="EI15" ca="1">IFERROR(INDEX(Leccion[selectorLeccion],SMALL(IF(EI$1=Leccion[SubSección],MATCH(ROW(Leccion[SubSección]),ROW(Leccion[SubSección]))),ROW(EH14))),"")</f>
        <v/>
      </c>
      <c r="EJ15" s="51" t="str">
        <f t="array" aca="1" ref="EJ15" ca="1">IFERROR(INDEX(Leccion[selectorLeccion],SMALL(IF(EJ$1=Leccion[SubSección],MATCH(ROW(Leccion[SubSección]),ROW(Leccion[SubSección]))),ROW(EI14))),"")</f>
        <v/>
      </c>
      <c r="EK15" s="51" t="str">
        <f t="array" aca="1" ref="EK15" ca="1">IFERROR(INDEX(Leccion[selectorLeccion],SMALL(IF(EK$1=Leccion[SubSección],MATCH(ROW(Leccion[SubSección]),ROW(Leccion[SubSección]))),ROW(EJ14))),"")</f>
        <v/>
      </c>
      <c r="EL15" s="51" t="str">
        <f t="array" aca="1" ref="EL15" ca="1">IFERROR(INDEX(Leccion[selectorLeccion],SMALL(IF(EL$1=Leccion[SubSección],MATCH(ROW(Leccion[SubSección]),ROW(Leccion[SubSección]))),ROW(EK14))),"")</f>
        <v/>
      </c>
      <c r="EM15" s="51" t="str">
        <f t="array" aca="1" ref="EM15" ca="1">IFERROR(INDEX(Leccion[selectorLeccion],SMALL(IF(EM$1=Leccion[SubSección],MATCH(ROW(Leccion[SubSección]),ROW(Leccion[SubSección]))),ROW(EL14))),"")</f>
        <v/>
      </c>
      <c r="EN15" s="51" t="str">
        <f t="array" aca="1" ref="EN15" ca="1">IFERROR(INDEX(Leccion[selectorLeccion],SMALL(IF(EN$1=Leccion[SubSección],MATCH(ROW(Leccion[SubSección]),ROW(Leccion[SubSección]))),ROW(EM14))),"")</f>
        <v/>
      </c>
      <c r="EO15" s="51" t="str">
        <f t="array" aca="1" ref="EO15" ca="1">IFERROR(INDEX(Leccion[selectorLeccion],SMALL(IF(EO$1=Leccion[SubSección],MATCH(ROW(Leccion[SubSección]),ROW(Leccion[SubSección]))),ROW(EN14))),"")</f>
        <v/>
      </c>
      <c r="EP15" s="51" t="str">
        <f t="array" aca="1" ref="EP15" ca="1">IFERROR(INDEX(Leccion[selectorLeccion],SMALL(IF(EP$1=Leccion[SubSección],MATCH(ROW(Leccion[SubSección]),ROW(Leccion[SubSección]))),ROW(EO14))),"")</f>
        <v/>
      </c>
      <c r="EQ15" s="51" t="str">
        <f t="array" aca="1" ref="EQ15" ca="1">IFERROR(INDEX(Leccion[selectorLeccion],SMALL(IF(EQ$1=Leccion[SubSección],MATCH(ROW(Leccion[SubSección]),ROW(Leccion[SubSección]))),ROW(EP14))),"")</f>
        <v/>
      </c>
      <c r="ER15" s="51" t="str">
        <f t="array" aca="1" ref="ER15" ca="1">IFERROR(INDEX(Leccion[selectorLeccion],SMALL(IF(ER$1=Leccion[SubSección],MATCH(ROW(Leccion[SubSección]),ROW(Leccion[SubSección]))),ROW(EQ14))),"")</f>
        <v/>
      </c>
      <c r="ES15" s="51" t="str">
        <f t="array" aca="1" ref="ES15" ca="1">IFERROR(INDEX(Leccion[selectorLeccion],SMALL(IF(ES$1=Leccion[SubSección],MATCH(ROW(Leccion[SubSección]),ROW(Leccion[SubSección]))),ROW(ER14))),"")</f>
        <v/>
      </c>
      <c r="ET15" s="51" t="str">
        <f t="array" aca="1" ref="ET15" ca="1">IFERROR(INDEX(Leccion[selectorLeccion],SMALL(IF(ET$1=Leccion[SubSección],MATCH(ROW(Leccion[SubSección]),ROW(Leccion[SubSección]))),ROW(ES14))),"")</f>
        <v/>
      </c>
      <c r="EU15" s="51" t="str">
        <f t="array" aca="1" ref="EU15" ca="1">IFERROR(INDEX(Leccion[selectorLeccion],SMALL(IF(EU$1=Leccion[SubSección],MATCH(ROW(Leccion[SubSección]),ROW(Leccion[SubSección]))),ROW(ET14))),"")</f>
        <v/>
      </c>
      <c r="EV15" s="51" t="str">
        <f t="array" aca="1" ref="EV15" ca="1">IFERROR(INDEX(Leccion[selectorLeccion],SMALL(IF(EV$1=Leccion[SubSección],MATCH(ROW(Leccion[SubSección]),ROW(Leccion[SubSección]))),ROW(EU14))),"")</f>
        <v/>
      </c>
      <c r="EW15" s="51" t="str">
        <f t="array" aca="1" ref="EW15" ca="1">IFERROR(INDEX(Leccion[selectorLeccion],SMALL(IF(EW$1=Leccion[SubSección],MATCH(ROW(Leccion[SubSección]),ROW(Leccion[SubSección]))),ROW(EV14))),"")</f>
        <v/>
      </c>
      <c r="EX15" s="51" t="str">
        <f t="array" aca="1" ref="EX15" ca="1">IFERROR(INDEX(Leccion[selectorLeccion],SMALL(IF(EX$1=Leccion[SubSección],MATCH(ROW(Leccion[SubSección]),ROW(Leccion[SubSección]))),ROW(EW14))),"")</f>
        <v/>
      </c>
      <c r="EY15" s="51" t="str">
        <f t="array" aca="1" ref="EY15" ca="1">IFERROR(INDEX(Leccion[selectorLeccion],SMALL(IF(EY$1=Leccion[SubSección],MATCH(ROW(Leccion[SubSección]),ROW(Leccion[SubSección]))),ROW(EX14))),"")</f>
        <v/>
      </c>
      <c r="EZ15" s="51" t="str">
        <f t="array" aca="1" ref="EZ15" ca="1">IFERROR(INDEX(Leccion[selectorLeccion],SMALL(IF(EZ$1=Leccion[SubSección],MATCH(ROW(Leccion[SubSección]),ROW(Leccion[SubSección]))),ROW(EY14))),"")</f>
        <v/>
      </c>
    </row>
    <row r="16" spans="2:156" x14ac:dyDescent="0.3">
      <c r="B16" s="51" t="str">
        <f t="array" aca="1" ref="B16" ca="1">IFERROR(INDEX(Leccion[selectorLeccion],SMALL(IF(B$1=Leccion[SubSección],MATCH(ROW(Leccion[SubSección]),ROW(Leccion[SubSección]))),ROW(A15))),"")</f>
        <v/>
      </c>
      <c r="C16" s="51" t="str">
        <f t="array" aca="1" ref="C16" ca="1">IFERROR(INDEX(Leccion[selectorLeccion],SMALL(IF(C$1=Leccion[SubSección],MATCH(ROW(Leccion[SubSección]),ROW(Leccion[SubSección]))),ROW(B15))),"")</f>
        <v/>
      </c>
      <c r="D16" s="51" t="str">
        <f t="array" aca="1" ref="D16" ca="1">IFERROR(INDEX(Leccion[selectorLeccion],SMALL(IF(D$1=Leccion[SubSección],MATCH(ROW(Leccion[SubSección]),ROW(Leccion[SubSección]))),ROW(C15))),"")</f>
        <v/>
      </c>
      <c r="E16" s="51" t="str">
        <f t="array" aca="1" ref="E16" ca="1">IFERROR(INDEX(Leccion[selectorLeccion],SMALL(IF(E$1=Leccion[SubSección],MATCH(ROW(Leccion[SubSección]),ROW(Leccion[SubSección]))),ROW(D15))),"")</f>
        <v/>
      </c>
      <c r="F16" s="51" t="str">
        <f t="array" aca="1" ref="F16" ca="1">IFERROR(INDEX(Leccion[selectorLeccion],SMALL(IF(F$1=Leccion[SubSección],MATCH(ROW(Leccion[SubSección]),ROW(Leccion[SubSección]))),ROW(E15))),"")</f>
        <v/>
      </c>
      <c r="G16" s="51" t="str">
        <f t="array" aca="1" ref="G16" ca="1">IFERROR(INDEX(Leccion[selectorLeccion],SMALL(IF(G$1=Leccion[SubSección],MATCH(ROW(Leccion[SubSección]),ROW(Leccion[SubSección]))),ROW(F15))),"")</f>
        <v/>
      </c>
      <c r="H16" s="51" t="str">
        <f t="array" aca="1" ref="H16" ca="1">IFERROR(INDEX(Leccion[selectorLeccion],SMALL(IF(H$1=Leccion[SubSección],MATCH(ROW(Leccion[SubSección]),ROW(Leccion[SubSección]))),ROW(G15))),"")</f>
        <v/>
      </c>
      <c r="I16" s="51" t="str">
        <f t="array" aca="1" ref="I16" ca="1">IFERROR(INDEX(Leccion[selectorLeccion],SMALL(IF(I$1=Leccion[SubSección],MATCH(ROW(Leccion[SubSección]),ROW(Leccion[SubSección]))),ROW(H15))),"")</f>
        <v/>
      </c>
      <c r="J16" s="51" t="str">
        <f t="array" aca="1" ref="J16" ca="1">IFERROR(INDEX(Leccion[selectorLeccion],SMALL(IF(J$1=Leccion[SubSección],MATCH(ROW(Leccion[SubSección]),ROW(Leccion[SubSección]))),ROW(I15))),"")</f>
        <v/>
      </c>
      <c r="K16" s="51" t="str">
        <f t="array" aca="1" ref="K16" ca="1">IFERROR(INDEX(Leccion[selectorLeccion],SMALL(IF(K$1=Leccion[SubSección],MATCH(ROW(Leccion[SubSección]),ROW(Leccion[SubSección]))),ROW(J15))),"")</f>
        <v/>
      </c>
      <c r="L16" s="51" t="str">
        <f t="array" aca="1" ref="L16" ca="1">IFERROR(INDEX(Leccion[selectorLeccion],SMALL(IF(L$1=Leccion[SubSección],MATCH(ROW(Leccion[SubSección]),ROW(Leccion[SubSección]))),ROW(K15))),"")</f>
        <v/>
      </c>
      <c r="M16" s="51" t="str">
        <f t="array" aca="1" ref="M16" ca="1">IFERROR(INDEX(Leccion[selectorLeccion],SMALL(IF(M$1=Leccion[SubSección],MATCH(ROW(Leccion[SubSección]),ROW(Leccion[SubSección]))),ROW(L15))),"")</f>
        <v/>
      </c>
      <c r="N16" s="51" t="str">
        <f t="array" aca="1" ref="N16" ca="1">IFERROR(INDEX(Leccion[selectorLeccion],SMALL(IF(N$1=Leccion[SubSección],MATCH(ROW(Leccion[SubSección]),ROW(Leccion[SubSección]))),ROW(M15))),"")</f>
        <v/>
      </c>
      <c r="O16" s="51" t="str">
        <f t="array" aca="1" ref="O16" ca="1">IFERROR(INDEX(Leccion[selectorLeccion],SMALL(IF(O$1=Leccion[SubSección],MATCH(ROW(Leccion[SubSección]),ROW(Leccion[SubSección]))),ROW(N15))),"")</f>
        <v/>
      </c>
      <c r="P16" s="51" t="str">
        <f t="array" aca="1" ref="P16" ca="1">IFERROR(INDEX(Leccion[selectorLeccion],SMALL(IF(P$1=Leccion[SubSección],MATCH(ROW(Leccion[SubSección]),ROW(Leccion[SubSección]))),ROW(O15))),"")</f>
        <v/>
      </c>
      <c r="Q16" s="51" t="str">
        <f t="array" aca="1" ref="Q16" ca="1">IFERROR(INDEX(Leccion[selectorLeccion],SMALL(IF(Q$1=Leccion[SubSección],MATCH(ROW(Leccion[SubSección]),ROW(Leccion[SubSección]))),ROW(P15))),"")</f>
        <v/>
      </c>
      <c r="R16" s="51" t="str">
        <f t="array" aca="1" ref="R16" ca="1">IFERROR(INDEX(Leccion[selectorLeccion],SMALL(IF(R$1=Leccion[SubSección],MATCH(ROW(Leccion[SubSección]),ROW(Leccion[SubSección]))),ROW(Q15))),"")</f>
        <v/>
      </c>
      <c r="S16" s="51" t="str">
        <f t="array" aca="1" ref="S16" ca="1">IFERROR(INDEX(Leccion[selectorLeccion],SMALL(IF(S$1=Leccion[SubSección],MATCH(ROW(Leccion[SubSección]),ROW(Leccion[SubSección]))),ROW(R15))),"")</f>
        <v/>
      </c>
      <c r="T16" s="51" t="str">
        <f t="array" aca="1" ref="T16" ca="1">IFERROR(INDEX(Leccion[selectorLeccion],SMALL(IF(T$1=Leccion[SubSección],MATCH(ROW(Leccion[SubSección]),ROW(Leccion[SubSección]))),ROW(S15))),"")</f>
        <v/>
      </c>
      <c r="U16" s="51" t="str">
        <f t="array" aca="1" ref="U16" ca="1">IFERROR(INDEX(Leccion[selectorLeccion],SMALL(IF(U$1=Leccion[SubSección],MATCH(ROW(Leccion[SubSección]),ROW(Leccion[SubSección]))),ROW(T15))),"")</f>
        <v/>
      </c>
      <c r="V16" s="51" t="str">
        <f t="array" aca="1" ref="V16" ca="1">IFERROR(INDEX(Leccion[selectorLeccion],SMALL(IF(V$1=Leccion[SubSección],MATCH(ROW(Leccion[SubSección]),ROW(Leccion[SubSección]))),ROW(U15))),"")</f>
        <v/>
      </c>
      <c r="W16" s="51" t="str">
        <f t="array" aca="1" ref="W16" ca="1">IFERROR(INDEX(Leccion[selectorLeccion],SMALL(IF(W$1=Leccion[SubSección],MATCH(ROW(Leccion[SubSección]),ROW(Leccion[SubSección]))),ROW(V15))),"")</f>
        <v/>
      </c>
      <c r="X16" s="51" t="str">
        <f t="array" aca="1" ref="X16" ca="1">IFERROR(INDEX(Leccion[selectorLeccion],SMALL(IF(X$1=Leccion[SubSección],MATCH(ROW(Leccion[SubSección]),ROW(Leccion[SubSección]))),ROW(W15))),"")</f>
        <v/>
      </c>
      <c r="Y16" s="51" t="str">
        <f t="array" aca="1" ref="Y16" ca="1">IFERROR(INDEX(Leccion[selectorLeccion],SMALL(IF(Y$1=Leccion[SubSección],MATCH(ROW(Leccion[SubSección]),ROW(Leccion[SubSección]))),ROW(X15))),"")</f>
        <v/>
      </c>
      <c r="Z16" s="51" t="str">
        <f t="array" aca="1" ref="Z16" ca="1">IFERROR(INDEX(Leccion[selectorLeccion],SMALL(IF(Z$1=Leccion[SubSección],MATCH(ROW(Leccion[SubSección]),ROW(Leccion[SubSección]))),ROW(Y15))),"")</f>
        <v/>
      </c>
      <c r="AA16" s="51" t="str">
        <f t="array" aca="1" ref="AA16" ca="1">IFERROR(INDEX(Leccion[selectorLeccion],SMALL(IF(AA$1=Leccion[SubSección],MATCH(ROW(Leccion[SubSección]),ROW(Leccion[SubSección]))),ROW(Z15))),"")</f>
        <v/>
      </c>
      <c r="AB16" s="51" t="str">
        <f t="array" aca="1" ref="AB16" ca="1">IFERROR(INDEX(Leccion[selectorLeccion],SMALL(IF(AB$1=Leccion[SubSección],MATCH(ROW(Leccion[SubSección]),ROW(Leccion[SubSección]))),ROW(AA15))),"")</f>
        <v/>
      </c>
      <c r="AC16" s="51" t="str">
        <f t="array" aca="1" ref="AC16" ca="1">IFERROR(INDEX(Leccion[selectorLeccion],SMALL(IF(AC$1=Leccion[SubSección],MATCH(ROW(Leccion[SubSección]),ROW(Leccion[SubSección]))),ROW(AB15))),"")</f>
        <v/>
      </c>
      <c r="AD16" s="51" t="str">
        <f t="array" aca="1" ref="AD16" ca="1">IFERROR(INDEX(Leccion[selectorLeccion],SMALL(IF(AD$1=Leccion[SubSección],MATCH(ROW(Leccion[SubSección]),ROW(Leccion[SubSección]))),ROW(AC15))),"")</f>
        <v/>
      </c>
      <c r="AE16" s="51" t="str">
        <f t="array" aca="1" ref="AE16" ca="1">IFERROR(INDEX(Leccion[selectorLeccion],SMALL(IF(AE$1=Leccion[SubSección],MATCH(ROW(Leccion[SubSección]),ROW(Leccion[SubSección]))),ROW(AD15))),"")</f>
        <v/>
      </c>
      <c r="AF16" s="51" t="str">
        <f t="array" aca="1" ref="AF16" ca="1">IFERROR(INDEX(Leccion[selectorLeccion],SMALL(IF(AF$1=Leccion[SubSección],MATCH(ROW(Leccion[SubSección]),ROW(Leccion[SubSección]))),ROW(AE15))),"")</f>
        <v/>
      </c>
      <c r="AG16" s="51" t="str">
        <f t="array" aca="1" ref="AG16" ca="1">IFERROR(INDEX(Leccion[selectorLeccion],SMALL(IF(AG$1=Leccion[SubSección],MATCH(ROW(Leccion[SubSección]),ROW(Leccion[SubSección]))),ROW(AF15))),"")</f>
        <v/>
      </c>
      <c r="AH16" s="51" t="str">
        <f t="array" aca="1" ref="AH16" ca="1">IFERROR(INDEX(Leccion[selectorLeccion],SMALL(IF(AH$1=Leccion[SubSección],MATCH(ROW(Leccion[SubSección]),ROW(Leccion[SubSección]))),ROW(AG15))),"")</f>
        <v/>
      </c>
      <c r="AI16" s="51" t="str">
        <f t="array" aca="1" ref="AI16" ca="1">IFERROR(INDEX(Leccion[selectorLeccion],SMALL(IF(AI$1=Leccion[SubSección],MATCH(ROW(Leccion[SubSección]),ROW(Leccion[SubSección]))),ROW(AH15))),"")</f>
        <v/>
      </c>
      <c r="AJ16" s="51" t="str">
        <f t="array" aca="1" ref="AJ16" ca="1">IFERROR(INDEX(Leccion[selectorLeccion],SMALL(IF(AJ$1=Leccion[SubSección],MATCH(ROW(Leccion[SubSección]),ROW(Leccion[SubSección]))),ROW(AI15))),"")</f>
        <v/>
      </c>
      <c r="AK16" s="51" t="str">
        <f t="array" aca="1" ref="AK16" ca="1">IFERROR(INDEX(Leccion[selectorLeccion],SMALL(IF(AK$1=Leccion[SubSección],MATCH(ROW(Leccion[SubSección]),ROW(Leccion[SubSección]))),ROW(AJ15))),"")</f>
        <v/>
      </c>
      <c r="AL16" s="51" t="str">
        <f t="array" aca="1" ref="AL16" ca="1">IFERROR(INDEX(Leccion[selectorLeccion],SMALL(IF(AL$1=Leccion[SubSección],MATCH(ROW(Leccion[SubSección]),ROW(Leccion[SubSección]))),ROW(AK15))),"")</f>
        <v/>
      </c>
      <c r="AM16" s="51" t="str">
        <f t="array" aca="1" ref="AM16" ca="1">IFERROR(INDEX(Leccion[selectorLeccion],SMALL(IF(AM$1=Leccion[SubSección],MATCH(ROW(Leccion[SubSección]),ROW(Leccion[SubSección]))),ROW(AL15))),"")</f>
        <v/>
      </c>
      <c r="AN16" s="51" t="str">
        <f t="array" aca="1" ref="AN16" ca="1">IFERROR(INDEX(Leccion[selectorLeccion],SMALL(IF(AN$1=Leccion[SubSección],MATCH(ROW(Leccion[SubSección]),ROW(Leccion[SubSección]))),ROW(AM15))),"")</f>
        <v/>
      </c>
      <c r="AO16" s="51" t="str">
        <f t="array" aca="1" ref="AO16" ca="1">IFERROR(INDEX(Leccion[selectorLeccion],SMALL(IF(AO$1=Leccion[SubSección],MATCH(ROW(Leccion[SubSección]),ROW(Leccion[SubSección]))),ROW(AN15))),"")</f>
        <v/>
      </c>
      <c r="AP16" s="51" t="str">
        <f t="array" aca="1" ref="AP16" ca="1">IFERROR(INDEX(Leccion[selectorLeccion],SMALL(IF(AP$1=Leccion[SubSección],MATCH(ROW(Leccion[SubSección]),ROW(Leccion[SubSección]))),ROW(AO15))),"")</f>
        <v/>
      </c>
      <c r="AQ16" s="51" t="str">
        <f t="array" aca="1" ref="AQ16" ca="1">IFERROR(INDEX(Leccion[selectorLeccion],SMALL(IF(AQ$1=Leccion[SubSección],MATCH(ROW(Leccion[SubSección]),ROW(Leccion[SubSección]))),ROW(AP15))),"")</f>
        <v/>
      </c>
      <c r="AR16" s="51" t="str">
        <f t="array" aca="1" ref="AR16" ca="1">IFERROR(INDEX(Leccion[selectorLeccion],SMALL(IF(AR$1=Leccion[SubSección],MATCH(ROW(Leccion[SubSección]),ROW(Leccion[SubSección]))),ROW(AQ15))),"")</f>
        <v/>
      </c>
      <c r="AS16" s="51" t="str">
        <f t="array" aca="1" ref="AS16" ca="1">IFERROR(INDEX(Leccion[selectorLeccion],SMALL(IF(AS$1=Leccion[SubSección],MATCH(ROW(Leccion[SubSección]),ROW(Leccion[SubSección]))),ROW(AR15))),"")</f>
        <v/>
      </c>
      <c r="AT16" s="51" t="str">
        <f t="array" aca="1" ref="AT16" ca="1">IFERROR(INDEX(Leccion[selectorLeccion],SMALL(IF(AT$1=Leccion[SubSección],MATCH(ROW(Leccion[SubSección]),ROW(Leccion[SubSección]))),ROW(AS15))),"")</f>
        <v/>
      </c>
      <c r="AU16" s="51" t="str">
        <f t="array" aca="1" ref="AU16" ca="1">IFERROR(INDEX(Leccion[selectorLeccion],SMALL(IF(AU$1=Leccion[SubSección],MATCH(ROW(Leccion[SubSección]),ROW(Leccion[SubSección]))),ROW(AT15))),"")</f>
        <v/>
      </c>
      <c r="AV16" s="51" t="str">
        <f t="array" aca="1" ref="AV16" ca="1">IFERROR(INDEX(Leccion[selectorLeccion],SMALL(IF(AV$1=Leccion[SubSección],MATCH(ROW(Leccion[SubSección]),ROW(Leccion[SubSección]))),ROW(AU15))),"")</f>
        <v/>
      </c>
      <c r="AW16" s="51" t="str">
        <f t="array" aca="1" ref="AW16" ca="1">IFERROR(INDEX(Leccion[selectorLeccion],SMALL(IF(AW$1=Leccion[SubSección],MATCH(ROW(Leccion[SubSección]),ROW(Leccion[SubSección]))),ROW(AV15))),"")</f>
        <v/>
      </c>
      <c r="AX16" s="51" t="str">
        <f t="array" aca="1" ref="AX16" ca="1">IFERROR(INDEX(Leccion[selectorLeccion],SMALL(IF(AX$1=Leccion[SubSección],MATCH(ROW(Leccion[SubSección]),ROW(Leccion[SubSección]))),ROW(AW15))),"")</f>
        <v/>
      </c>
      <c r="AY16" s="51" t="str">
        <f t="array" aca="1" ref="AY16" ca="1">IFERROR(INDEX(Leccion[selectorLeccion],SMALL(IF(AY$1=Leccion[SubSección],MATCH(ROW(Leccion[SubSección]),ROW(Leccion[SubSección]))),ROW(AX15))),"")</f>
        <v/>
      </c>
      <c r="AZ16" s="51" t="str">
        <f t="array" aca="1" ref="AZ16" ca="1">IFERROR(INDEX(Leccion[selectorLeccion],SMALL(IF(AZ$1=Leccion[SubSección],MATCH(ROW(Leccion[SubSección]),ROW(Leccion[SubSección]))),ROW(AY15))),"")</f>
        <v/>
      </c>
      <c r="BA16" s="51" t="str">
        <f t="array" aca="1" ref="BA16" ca="1">IFERROR(INDEX(Leccion[selectorLeccion],SMALL(IF(BA$1=Leccion[SubSección],MATCH(ROW(Leccion[SubSección]),ROW(Leccion[SubSección]))),ROW(AZ15))),"")</f>
        <v/>
      </c>
      <c r="BB16" s="51" t="str">
        <f t="array" aca="1" ref="BB16" ca="1">IFERROR(INDEX(Leccion[selectorLeccion],SMALL(IF(BB$1=Leccion[SubSección],MATCH(ROW(Leccion[SubSección]),ROW(Leccion[SubSección]))),ROW(BA15))),"")</f>
        <v/>
      </c>
      <c r="BC16" s="51" t="str">
        <f t="array" aca="1" ref="BC16" ca="1">IFERROR(INDEX(Leccion[selectorLeccion],SMALL(IF(BC$1=Leccion[SubSección],MATCH(ROW(Leccion[SubSección]),ROW(Leccion[SubSección]))),ROW(BB15))),"")</f>
        <v/>
      </c>
      <c r="BD16" s="51" t="str">
        <f t="array" aca="1" ref="BD16" ca="1">IFERROR(INDEX(Leccion[selectorLeccion],SMALL(IF(BD$1=Leccion[SubSección],MATCH(ROW(Leccion[SubSección]),ROW(Leccion[SubSección]))),ROW(BC15))),"")</f>
        <v/>
      </c>
      <c r="BE16" s="51" t="str">
        <f t="array" aca="1" ref="BE16" ca="1">IFERROR(INDEX(Leccion[selectorLeccion],SMALL(IF(BE$1=Leccion[SubSección],MATCH(ROW(Leccion[SubSección]),ROW(Leccion[SubSección]))),ROW(BD15))),"")</f>
        <v/>
      </c>
      <c r="BF16" s="51" t="str">
        <f t="array" aca="1" ref="BF16" ca="1">IFERROR(INDEX(Leccion[selectorLeccion],SMALL(IF(BF$1=Leccion[SubSección],MATCH(ROW(Leccion[SubSección]),ROW(Leccion[SubSección]))),ROW(BE15))),"")</f>
        <v/>
      </c>
      <c r="BG16" s="51" t="str">
        <f t="array" aca="1" ref="BG16" ca="1">IFERROR(INDEX(Leccion[selectorLeccion],SMALL(IF(BG$1=Leccion[SubSección],MATCH(ROW(Leccion[SubSección]),ROW(Leccion[SubSección]))),ROW(BF15))),"")</f>
        <v/>
      </c>
      <c r="BH16" s="51" t="str">
        <f t="array" aca="1" ref="BH16" ca="1">IFERROR(INDEX(Leccion[selectorLeccion],SMALL(IF(BH$1=Leccion[SubSección],MATCH(ROW(Leccion[SubSección]),ROW(Leccion[SubSección]))),ROW(BG15))),"")</f>
        <v/>
      </c>
      <c r="BI16" s="51" t="str">
        <f t="array" aca="1" ref="BI16" ca="1">IFERROR(INDEX(Leccion[selectorLeccion],SMALL(IF(BI$1=Leccion[SubSección],MATCH(ROW(Leccion[SubSección]),ROW(Leccion[SubSección]))),ROW(BH15))),"")</f>
        <v/>
      </c>
      <c r="BJ16" s="51" t="str">
        <f t="array" aca="1" ref="BJ16" ca="1">IFERROR(INDEX(Leccion[selectorLeccion],SMALL(IF(BJ$1=Leccion[SubSección],MATCH(ROW(Leccion[SubSección]),ROW(Leccion[SubSección]))),ROW(BI15))),"")</f>
        <v/>
      </c>
      <c r="BK16" s="51" t="str">
        <f t="array" aca="1" ref="BK16" ca="1">IFERROR(INDEX(Leccion[selectorLeccion],SMALL(IF(BK$1=Leccion[SubSección],MATCH(ROW(Leccion[SubSección]),ROW(Leccion[SubSección]))),ROW(BJ15))),"")</f>
        <v/>
      </c>
      <c r="BL16" s="51" t="str">
        <f t="array" aca="1" ref="BL16" ca="1">IFERROR(INDEX(Leccion[selectorLeccion],SMALL(IF(BL$1=Leccion[SubSección],MATCH(ROW(Leccion[SubSección]),ROW(Leccion[SubSección]))),ROW(BK15))),"")</f>
        <v/>
      </c>
      <c r="BM16" s="51" t="str">
        <f t="array" aca="1" ref="BM16" ca="1">IFERROR(INDEX(Leccion[selectorLeccion],SMALL(IF(BM$1=Leccion[SubSección],MATCH(ROW(Leccion[SubSección]),ROW(Leccion[SubSección]))),ROW(BL15))),"")</f>
        <v/>
      </c>
      <c r="BN16" s="51" t="str">
        <f t="array" aca="1" ref="BN16" ca="1">IFERROR(INDEX(Leccion[selectorLeccion],SMALL(IF(BN$1=Leccion[SubSección],MATCH(ROW(Leccion[SubSección]),ROW(Leccion[SubSección]))),ROW(BM15))),"")</f>
        <v/>
      </c>
      <c r="BO16" s="51" t="str">
        <f t="array" aca="1" ref="BO16" ca="1">IFERROR(INDEX(Leccion[selectorLeccion],SMALL(IF(BO$1=Leccion[SubSección],MATCH(ROW(Leccion[SubSección]),ROW(Leccion[SubSección]))),ROW(BN15))),"")</f>
        <v/>
      </c>
      <c r="BP16" s="51" t="str">
        <f t="array" aca="1" ref="BP16" ca="1">IFERROR(INDEX(Leccion[selectorLeccion],SMALL(IF(BP$1=Leccion[SubSección],MATCH(ROW(Leccion[SubSección]),ROW(Leccion[SubSección]))),ROW(BO15))),"")</f>
        <v/>
      </c>
      <c r="BQ16" s="51" t="str">
        <f t="array" aca="1" ref="BQ16" ca="1">IFERROR(INDEX(Leccion[selectorLeccion],SMALL(IF(BQ$1=Leccion[SubSección],MATCH(ROW(Leccion[SubSección]),ROW(Leccion[SubSección]))),ROW(BP15))),"")</f>
        <v/>
      </c>
      <c r="BR16" s="51" t="str">
        <f t="array" aca="1" ref="BR16" ca="1">IFERROR(INDEX(Leccion[selectorLeccion],SMALL(IF(BR$1=Leccion[SubSección],MATCH(ROW(Leccion[SubSección]),ROW(Leccion[SubSección]))),ROW(BQ15))),"")</f>
        <v/>
      </c>
      <c r="BS16" s="51" t="str">
        <f t="array" aca="1" ref="BS16" ca="1">IFERROR(INDEX(Leccion[selectorLeccion],SMALL(IF(BS$1=Leccion[SubSección],MATCH(ROW(Leccion[SubSección]),ROW(Leccion[SubSección]))),ROW(BR15))),"")</f>
        <v/>
      </c>
      <c r="BT16" s="51" t="str">
        <f t="array" aca="1" ref="BT16" ca="1">IFERROR(INDEX(Leccion[selectorLeccion],SMALL(IF(BT$1=Leccion[SubSección],MATCH(ROW(Leccion[SubSección]),ROW(Leccion[SubSección]))),ROW(BS15))),"")</f>
        <v/>
      </c>
      <c r="BU16" s="51" t="str">
        <f t="array" aca="1" ref="BU16" ca="1">IFERROR(INDEX(Leccion[selectorLeccion],SMALL(IF(BU$1=Leccion[SubSección],MATCH(ROW(Leccion[SubSección]),ROW(Leccion[SubSección]))),ROW(BT15))),"")</f>
        <v/>
      </c>
      <c r="BV16" s="51" t="str">
        <f t="array" aca="1" ref="BV16" ca="1">IFERROR(INDEX(Leccion[selectorLeccion],SMALL(IF(BV$1=Leccion[SubSección],MATCH(ROW(Leccion[SubSección]),ROW(Leccion[SubSección]))),ROW(BU15))),"")</f>
        <v/>
      </c>
      <c r="BW16" s="51" t="str">
        <f t="array" aca="1" ref="BW16" ca="1">IFERROR(INDEX(Leccion[selectorLeccion],SMALL(IF(BW$1=Leccion[SubSección],MATCH(ROW(Leccion[SubSección]),ROW(Leccion[SubSección]))),ROW(BV15))),"")</f>
        <v/>
      </c>
      <c r="BX16" s="51" t="str">
        <f t="array" aca="1" ref="BX16" ca="1">IFERROR(INDEX(Leccion[selectorLeccion],SMALL(IF(BX$1=Leccion[SubSección],MATCH(ROW(Leccion[SubSección]),ROW(Leccion[SubSección]))),ROW(BW15))),"")</f>
        <v/>
      </c>
      <c r="BY16" s="51" t="str">
        <f t="array" aca="1" ref="BY16" ca="1">IFERROR(INDEX(Leccion[selectorLeccion],SMALL(IF(BY$1=Leccion[SubSección],MATCH(ROW(Leccion[SubSección]),ROW(Leccion[SubSección]))),ROW(BX15))),"")</f>
        <v/>
      </c>
      <c r="BZ16" s="51" t="str">
        <f t="array" aca="1" ref="BZ16" ca="1">IFERROR(INDEX(Leccion[selectorLeccion],SMALL(IF(BZ$1=Leccion[SubSección],MATCH(ROW(Leccion[SubSección]),ROW(Leccion[SubSección]))),ROW(BY15))),"")</f>
        <v/>
      </c>
      <c r="CA16" s="51" t="str">
        <f t="array" aca="1" ref="CA16" ca="1">IFERROR(INDEX(Leccion[selectorLeccion],SMALL(IF(CA$1=Leccion[SubSección],MATCH(ROW(Leccion[SubSección]),ROW(Leccion[SubSección]))),ROW(BZ15))),"")</f>
        <v/>
      </c>
      <c r="CB16" s="51" t="str">
        <f t="array" aca="1" ref="CB16" ca="1">IFERROR(INDEX(Leccion[selectorLeccion],SMALL(IF(CB$1=Leccion[SubSección],MATCH(ROW(Leccion[SubSección]),ROW(Leccion[SubSección]))),ROW(CA15))),"")</f>
        <v/>
      </c>
      <c r="CC16" s="51" t="str">
        <f t="array" aca="1" ref="CC16" ca="1">IFERROR(INDEX(Leccion[selectorLeccion],SMALL(IF(CC$1=Leccion[SubSección],MATCH(ROW(Leccion[SubSección]),ROW(Leccion[SubSección]))),ROW(CB15))),"")</f>
        <v/>
      </c>
      <c r="CD16" s="51" t="str">
        <f t="array" aca="1" ref="CD16" ca="1">IFERROR(INDEX(Leccion[selectorLeccion],SMALL(IF(CD$1=Leccion[SubSección],MATCH(ROW(Leccion[SubSección]),ROW(Leccion[SubSección]))),ROW(CC15))),"")</f>
        <v/>
      </c>
      <c r="CE16" s="51" t="str">
        <f t="array" aca="1" ref="CE16" ca="1">IFERROR(INDEX(Leccion[selectorLeccion],SMALL(IF(CE$1=Leccion[SubSección],MATCH(ROW(Leccion[SubSección]),ROW(Leccion[SubSección]))),ROW(CD15))),"")</f>
        <v/>
      </c>
      <c r="CF16" s="51" t="str">
        <f t="array" aca="1" ref="CF16" ca="1">IFERROR(INDEX(Leccion[selectorLeccion],SMALL(IF(CF$1=Leccion[SubSección],MATCH(ROW(Leccion[SubSección]),ROW(Leccion[SubSección]))),ROW(CE15))),"")</f>
        <v/>
      </c>
      <c r="CG16" s="51" t="str">
        <f t="array" aca="1" ref="CG16" ca="1">IFERROR(INDEX(Leccion[selectorLeccion],SMALL(IF(CG$1=Leccion[SubSección],MATCH(ROW(Leccion[SubSección]),ROW(Leccion[SubSección]))),ROW(CF15))),"")</f>
        <v/>
      </c>
      <c r="CH16" s="51" t="str">
        <f t="array" aca="1" ref="CH16" ca="1">IFERROR(INDEX(Leccion[selectorLeccion],SMALL(IF(CH$1=Leccion[SubSección],MATCH(ROW(Leccion[SubSección]),ROW(Leccion[SubSección]))),ROW(CG15))),"")</f>
        <v/>
      </c>
      <c r="CI16" s="51" t="str">
        <f t="array" aca="1" ref="CI16" ca="1">IFERROR(INDEX(Leccion[selectorLeccion],SMALL(IF(CI$1=Leccion[SubSección],MATCH(ROW(Leccion[SubSección]),ROW(Leccion[SubSección]))),ROW(CH15))),"")</f>
        <v/>
      </c>
      <c r="CJ16" s="51" t="str">
        <f t="array" aca="1" ref="CJ16" ca="1">IFERROR(INDEX(Leccion[selectorLeccion],SMALL(IF(CJ$1=Leccion[SubSección],MATCH(ROW(Leccion[SubSección]),ROW(Leccion[SubSección]))),ROW(CI15))),"")</f>
        <v/>
      </c>
      <c r="CK16" s="51" t="str">
        <f t="array" aca="1" ref="CK16" ca="1">IFERROR(INDEX(Leccion[selectorLeccion],SMALL(IF(CK$1=Leccion[SubSección],MATCH(ROW(Leccion[SubSección]),ROW(Leccion[SubSección]))),ROW(CJ15))),"")</f>
        <v/>
      </c>
      <c r="CL16" s="51" t="str">
        <f t="array" aca="1" ref="CL16" ca="1">IFERROR(INDEX(Leccion[selectorLeccion],SMALL(IF(CL$1=Leccion[SubSección],MATCH(ROW(Leccion[SubSección]),ROW(Leccion[SubSección]))),ROW(CK15))),"")</f>
        <v/>
      </c>
      <c r="CM16" s="51" t="str">
        <f t="array" aca="1" ref="CM16" ca="1">IFERROR(INDEX(Leccion[selectorLeccion],SMALL(IF(CM$1=Leccion[SubSección],MATCH(ROW(Leccion[SubSección]),ROW(Leccion[SubSección]))),ROW(CL15))),"")</f>
        <v/>
      </c>
      <c r="CN16" s="51" t="str">
        <f t="array" aca="1" ref="CN16" ca="1">IFERROR(INDEX(Leccion[selectorLeccion],SMALL(IF(CN$1=Leccion[SubSección],MATCH(ROW(Leccion[SubSección]),ROW(Leccion[SubSección]))),ROW(CM15))),"")</f>
        <v/>
      </c>
      <c r="CO16" s="51" t="str">
        <f t="array" aca="1" ref="CO16" ca="1">IFERROR(INDEX(Leccion[selectorLeccion],SMALL(IF(CO$1=Leccion[SubSección],MATCH(ROW(Leccion[SubSección]),ROW(Leccion[SubSección]))),ROW(CN15))),"")</f>
        <v/>
      </c>
      <c r="CP16" s="51" t="str">
        <f t="array" aca="1" ref="CP16" ca="1">IFERROR(INDEX(Leccion[selectorLeccion],SMALL(IF(CP$1=Leccion[SubSección],MATCH(ROW(Leccion[SubSección]),ROW(Leccion[SubSección]))),ROW(CO15))),"")</f>
        <v/>
      </c>
      <c r="CQ16" s="51" t="str">
        <f t="array" aca="1" ref="CQ16" ca="1">IFERROR(INDEX(Leccion[selectorLeccion],SMALL(IF(CQ$1=Leccion[SubSección],MATCH(ROW(Leccion[SubSección]),ROW(Leccion[SubSección]))),ROW(CP15))),"")</f>
        <v/>
      </c>
      <c r="CR16" s="51" t="str">
        <f t="array" aca="1" ref="CR16" ca="1">IFERROR(INDEX(Leccion[selectorLeccion],SMALL(IF(CR$1=Leccion[SubSección],MATCH(ROW(Leccion[SubSección]),ROW(Leccion[SubSección]))),ROW(CQ15))),"")</f>
        <v/>
      </c>
      <c r="CS16" s="51" t="str">
        <f t="array" aca="1" ref="CS16" ca="1">IFERROR(INDEX(Leccion[selectorLeccion],SMALL(IF(CS$1=Leccion[SubSección],MATCH(ROW(Leccion[SubSección]),ROW(Leccion[SubSección]))),ROW(CR15))),"")</f>
        <v/>
      </c>
      <c r="CT16" s="51" t="str">
        <f t="array" aca="1" ref="CT16" ca="1">IFERROR(INDEX(Leccion[selectorLeccion],SMALL(IF(CT$1=Leccion[SubSección],MATCH(ROW(Leccion[SubSección]),ROW(Leccion[SubSección]))),ROW(CS15))),"")</f>
        <v/>
      </c>
      <c r="CU16" s="51" t="str">
        <f t="array" aca="1" ref="CU16" ca="1">IFERROR(INDEX(Leccion[selectorLeccion],SMALL(IF(CU$1=Leccion[SubSección],MATCH(ROW(Leccion[SubSección]),ROW(Leccion[SubSección]))),ROW(CT15))),"")</f>
        <v/>
      </c>
      <c r="CV16" s="51" t="str">
        <f t="array" aca="1" ref="CV16" ca="1">IFERROR(INDEX(Leccion[selectorLeccion],SMALL(IF(CV$1=Leccion[SubSección],MATCH(ROW(Leccion[SubSección]),ROW(Leccion[SubSección]))),ROW(CU15))),"")</f>
        <v/>
      </c>
      <c r="CW16" s="51" t="str">
        <f t="array" aca="1" ref="CW16" ca="1">IFERROR(INDEX(Leccion[selectorLeccion],SMALL(IF(CW$1=Leccion[SubSección],MATCH(ROW(Leccion[SubSección]),ROW(Leccion[SubSección]))),ROW(CV15))),"")</f>
        <v/>
      </c>
      <c r="CX16" s="51" t="str">
        <f t="array" aca="1" ref="CX16" ca="1">IFERROR(INDEX(Leccion[selectorLeccion],SMALL(IF(CX$1=Leccion[SubSección],MATCH(ROW(Leccion[SubSección]),ROW(Leccion[SubSección]))),ROW(CW15))),"")</f>
        <v/>
      </c>
      <c r="CY16" s="51" t="str">
        <f t="array" aca="1" ref="CY16" ca="1">IFERROR(INDEX(Leccion[selectorLeccion],SMALL(IF(CY$1=Leccion[SubSección],MATCH(ROW(Leccion[SubSección]),ROW(Leccion[SubSección]))),ROW(CX15))),"")</f>
        <v/>
      </c>
      <c r="CZ16" s="51" t="str">
        <f t="array" aca="1" ref="CZ16" ca="1">IFERROR(INDEX(Leccion[selectorLeccion],SMALL(IF(CZ$1=Leccion[SubSección],MATCH(ROW(Leccion[SubSección]),ROW(Leccion[SubSección]))),ROW(CY15))),"")</f>
        <v/>
      </c>
      <c r="DA16" s="51" t="str">
        <f t="array" aca="1" ref="DA16" ca="1">IFERROR(INDEX(Leccion[selectorLeccion],SMALL(IF(DA$1=Leccion[SubSección],MATCH(ROW(Leccion[SubSección]),ROW(Leccion[SubSección]))),ROW(CZ15))),"")</f>
        <v/>
      </c>
      <c r="DB16" s="51" t="str">
        <f t="array" aca="1" ref="DB16" ca="1">IFERROR(INDEX(Leccion[selectorLeccion],SMALL(IF(DB$1=Leccion[SubSección],MATCH(ROW(Leccion[SubSección]),ROW(Leccion[SubSección]))),ROW(DA15))),"")</f>
        <v/>
      </c>
      <c r="DC16" s="51" t="str">
        <f t="array" aca="1" ref="DC16" ca="1">IFERROR(INDEX(Leccion[selectorLeccion],SMALL(IF(DC$1=Leccion[SubSección],MATCH(ROW(Leccion[SubSección]),ROW(Leccion[SubSección]))),ROW(DB15))),"")</f>
        <v/>
      </c>
      <c r="DD16" s="51" t="str">
        <f t="array" aca="1" ref="DD16" ca="1">IFERROR(INDEX(Leccion[selectorLeccion],SMALL(IF(DD$1=Leccion[SubSección],MATCH(ROW(Leccion[SubSección]),ROW(Leccion[SubSección]))),ROW(DC15))),"")</f>
        <v/>
      </c>
      <c r="DE16" s="51" t="str">
        <f t="array" aca="1" ref="DE16" ca="1">IFERROR(INDEX(Leccion[selectorLeccion],SMALL(IF(DE$1=Leccion[SubSección],MATCH(ROW(Leccion[SubSección]),ROW(Leccion[SubSección]))),ROW(DD15))),"")</f>
        <v/>
      </c>
      <c r="DF16" s="51" t="str">
        <f t="array" aca="1" ref="DF16" ca="1">IFERROR(INDEX(Leccion[selectorLeccion],SMALL(IF(DF$1=Leccion[SubSección],MATCH(ROW(Leccion[SubSección]),ROW(Leccion[SubSección]))),ROW(DE15))),"")</f>
        <v/>
      </c>
      <c r="DG16" s="51" t="str">
        <f t="array" aca="1" ref="DG16" ca="1">IFERROR(INDEX(Leccion[selectorLeccion],SMALL(IF(DG$1=Leccion[SubSección],MATCH(ROW(Leccion[SubSección]),ROW(Leccion[SubSección]))),ROW(DF15))),"")</f>
        <v/>
      </c>
      <c r="DH16" s="51" t="str">
        <f t="array" aca="1" ref="DH16" ca="1">IFERROR(INDEX(Leccion[selectorLeccion],SMALL(IF(DH$1=Leccion[SubSección],MATCH(ROW(Leccion[SubSección]),ROW(Leccion[SubSección]))),ROW(DG15))),"")</f>
        <v/>
      </c>
      <c r="DI16" s="51" t="str">
        <f t="array" aca="1" ref="DI16" ca="1">IFERROR(INDEX(Leccion[selectorLeccion],SMALL(IF(DI$1=Leccion[SubSección],MATCH(ROW(Leccion[SubSección]),ROW(Leccion[SubSección]))),ROW(DH15))),"")</f>
        <v/>
      </c>
      <c r="DJ16" s="51" t="str">
        <f t="array" aca="1" ref="DJ16" ca="1">IFERROR(INDEX(Leccion[selectorLeccion],SMALL(IF(DJ$1=Leccion[SubSección],MATCH(ROW(Leccion[SubSección]),ROW(Leccion[SubSección]))),ROW(DI15))),"")</f>
        <v/>
      </c>
      <c r="DK16" s="51" t="str">
        <f t="array" aca="1" ref="DK16" ca="1">IFERROR(INDEX(Leccion[selectorLeccion],SMALL(IF(DK$1=Leccion[SubSección],MATCH(ROW(Leccion[SubSección]),ROW(Leccion[SubSección]))),ROW(DJ15))),"")</f>
        <v/>
      </c>
      <c r="DL16" s="51" t="str">
        <f t="array" aca="1" ref="DL16" ca="1">IFERROR(INDEX(Leccion[selectorLeccion],SMALL(IF(DL$1=Leccion[SubSección],MATCH(ROW(Leccion[SubSección]),ROW(Leccion[SubSección]))),ROW(DK15))),"")</f>
        <v/>
      </c>
      <c r="DM16" s="51" t="str">
        <f t="array" aca="1" ref="DM16" ca="1">IFERROR(INDEX(Leccion[selectorLeccion],SMALL(IF(DM$1=Leccion[SubSección],MATCH(ROW(Leccion[SubSección]),ROW(Leccion[SubSección]))),ROW(DL15))),"")</f>
        <v/>
      </c>
      <c r="DN16" s="51" t="str">
        <f t="array" aca="1" ref="DN16" ca="1">IFERROR(INDEX(Leccion[selectorLeccion],SMALL(IF(DN$1=Leccion[SubSección],MATCH(ROW(Leccion[SubSección]),ROW(Leccion[SubSección]))),ROW(DM15))),"")</f>
        <v/>
      </c>
      <c r="DO16" s="51" t="str">
        <f t="array" aca="1" ref="DO16" ca="1">IFERROR(INDEX(Leccion[selectorLeccion],SMALL(IF(DO$1=Leccion[SubSección],MATCH(ROW(Leccion[SubSección]),ROW(Leccion[SubSección]))),ROW(DN15))),"")</f>
        <v/>
      </c>
      <c r="DP16" s="51" t="str">
        <f t="array" aca="1" ref="DP16" ca="1">IFERROR(INDEX(Leccion[selectorLeccion],SMALL(IF(DP$1=Leccion[SubSección],MATCH(ROW(Leccion[SubSección]),ROW(Leccion[SubSección]))),ROW(DO15))),"")</f>
        <v/>
      </c>
      <c r="DQ16" s="51" t="str">
        <f t="array" aca="1" ref="DQ16" ca="1">IFERROR(INDEX(Leccion[selectorLeccion],SMALL(IF(DQ$1=Leccion[SubSección],MATCH(ROW(Leccion[SubSección]),ROW(Leccion[SubSección]))),ROW(DP15))),"")</f>
        <v/>
      </c>
      <c r="DR16" s="51" t="str">
        <f t="array" aca="1" ref="DR16" ca="1">IFERROR(INDEX(Leccion[selectorLeccion],SMALL(IF(DR$1=Leccion[SubSección],MATCH(ROW(Leccion[SubSección]),ROW(Leccion[SubSección]))),ROW(DQ15))),"")</f>
        <v/>
      </c>
      <c r="DS16" s="51" t="str">
        <f t="array" aca="1" ref="DS16" ca="1">IFERROR(INDEX(Leccion[selectorLeccion],SMALL(IF(DS$1=Leccion[SubSección],MATCH(ROW(Leccion[SubSección]),ROW(Leccion[SubSección]))),ROW(DR15))),"")</f>
        <v/>
      </c>
      <c r="DT16" s="51" t="str">
        <f t="array" aca="1" ref="DT16" ca="1">IFERROR(INDEX(Leccion[selectorLeccion],SMALL(IF(DT$1=Leccion[SubSección],MATCH(ROW(Leccion[SubSección]),ROW(Leccion[SubSección]))),ROW(DS15))),"")</f>
        <v/>
      </c>
      <c r="DU16" s="51" t="str">
        <f t="array" aca="1" ref="DU16" ca="1">IFERROR(INDEX(Leccion[selectorLeccion],SMALL(IF(DU$1=Leccion[SubSección],MATCH(ROW(Leccion[SubSección]),ROW(Leccion[SubSección]))),ROW(DT15))),"")</f>
        <v/>
      </c>
      <c r="DV16" s="51" t="str">
        <f t="array" aca="1" ref="DV16" ca="1">IFERROR(INDEX(Leccion[selectorLeccion],SMALL(IF(DV$1=Leccion[SubSección],MATCH(ROW(Leccion[SubSección]),ROW(Leccion[SubSección]))),ROW(DU15))),"")</f>
        <v/>
      </c>
      <c r="DW16" s="51" t="str">
        <f t="array" aca="1" ref="DW16" ca="1">IFERROR(INDEX(Leccion[selectorLeccion],SMALL(IF(DW$1=Leccion[SubSección],MATCH(ROW(Leccion[SubSección]),ROW(Leccion[SubSección]))),ROW(DV15))),"")</f>
        <v/>
      </c>
      <c r="DX16" s="51" t="str">
        <f t="array" aca="1" ref="DX16" ca="1">IFERROR(INDEX(Leccion[selectorLeccion],SMALL(IF(DX$1=Leccion[SubSección],MATCH(ROW(Leccion[SubSección]),ROW(Leccion[SubSección]))),ROW(DW15))),"")</f>
        <v/>
      </c>
      <c r="DY16" s="51" t="str">
        <f t="array" aca="1" ref="DY16" ca="1">IFERROR(INDEX(Leccion[selectorLeccion],SMALL(IF(DY$1=Leccion[SubSección],MATCH(ROW(Leccion[SubSección]),ROW(Leccion[SubSección]))),ROW(DX15))),"")</f>
        <v/>
      </c>
      <c r="DZ16" s="51" t="str">
        <f t="array" aca="1" ref="DZ16" ca="1">IFERROR(INDEX(Leccion[selectorLeccion],SMALL(IF(DZ$1=Leccion[SubSección],MATCH(ROW(Leccion[SubSección]),ROW(Leccion[SubSección]))),ROW(DY15))),"")</f>
        <v/>
      </c>
      <c r="EA16" s="51" t="str">
        <f t="array" aca="1" ref="EA16" ca="1">IFERROR(INDEX(Leccion[selectorLeccion],SMALL(IF(EA$1=Leccion[SubSección],MATCH(ROW(Leccion[SubSección]),ROW(Leccion[SubSección]))),ROW(DZ15))),"")</f>
        <v/>
      </c>
      <c r="EB16" s="51" t="str">
        <f t="array" aca="1" ref="EB16" ca="1">IFERROR(INDEX(Leccion[selectorLeccion],SMALL(IF(EB$1=Leccion[SubSección],MATCH(ROW(Leccion[SubSección]),ROW(Leccion[SubSección]))),ROW(EA15))),"")</f>
        <v/>
      </c>
      <c r="EC16" s="51" t="str">
        <f t="array" aca="1" ref="EC16" ca="1">IFERROR(INDEX(Leccion[selectorLeccion],SMALL(IF(EC$1=Leccion[SubSección],MATCH(ROW(Leccion[SubSección]),ROW(Leccion[SubSección]))),ROW(EB15))),"")</f>
        <v/>
      </c>
      <c r="ED16" s="51" t="str">
        <f t="array" aca="1" ref="ED16" ca="1">IFERROR(INDEX(Leccion[selectorLeccion],SMALL(IF(ED$1=Leccion[SubSección],MATCH(ROW(Leccion[SubSección]),ROW(Leccion[SubSección]))),ROW(EC15))),"")</f>
        <v/>
      </c>
      <c r="EE16" s="51" t="str">
        <f t="array" aca="1" ref="EE16" ca="1">IFERROR(INDEX(Leccion[selectorLeccion],SMALL(IF(EE$1=Leccion[SubSección],MATCH(ROW(Leccion[SubSección]),ROW(Leccion[SubSección]))),ROW(ED15))),"")</f>
        <v/>
      </c>
      <c r="EF16" s="51" t="str">
        <f t="array" aca="1" ref="EF16" ca="1">IFERROR(INDEX(Leccion[selectorLeccion],SMALL(IF(EF$1=Leccion[SubSección],MATCH(ROW(Leccion[SubSección]),ROW(Leccion[SubSección]))),ROW(EE15))),"")</f>
        <v/>
      </c>
      <c r="EG16" s="51" t="str">
        <f t="array" aca="1" ref="EG16" ca="1">IFERROR(INDEX(Leccion[selectorLeccion],SMALL(IF(EG$1=Leccion[SubSección],MATCH(ROW(Leccion[SubSección]),ROW(Leccion[SubSección]))),ROW(EF15))),"")</f>
        <v/>
      </c>
      <c r="EH16" s="51" t="str">
        <f t="array" aca="1" ref="EH16" ca="1">IFERROR(INDEX(Leccion[selectorLeccion],SMALL(IF(EH$1=Leccion[SubSección],MATCH(ROW(Leccion[SubSección]),ROW(Leccion[SubSección]))),ROW(EG15))),"")</f>
        <v/>
      </c>
      <c r="EI16" s="51" t="str">
        <f t="array" aca="1" ref="EI16" ca="1">IFERROR(INDEX(Leccion[selectorLeccion],SMALL(IF(EI$1=Leccion[SubSección],MATCH(ROW(Leccion[SubSección]),ROW(Leccion[SubSección]))),ROW(EH15))),"")</f>
        <v/>
      </c>
      <c r="EJ16" s="51" t="str">
        <f t="array" aca="1" ref="EJ16" ca="1">IFERROR(INDEX(Leccion[selectorLeccion],SMALL(IF(EJ$1=Leccion[SubSección],MATCH(ROW(Leccion[SubSección]),ROW(Leccion[SubSección]))),ROW(EI15))),"")</f>
        <v/>
      </c>
      <c r="EK16" s="51" t="str">
        <f t="array" aca="1" ref="EK16" ca="1">IFERROR(INDEX(Leccion[selectorLeccion],SMALL(IF(EK$1=Leccion[SubSección],MATCH(ROW(Leccion[SubSección]),ROW(Leccion[SubSección]))),ROW(EJ15))),"")</f>
        <v/>
      </c>
      <c r="EL16" s="51" t="str">
        <f t="array" aca="1" ref="EL16" ca="1">IFERROR(INDEX(Leccion[selectorLeccion],SMALL(IF(EL$1=Leccion[SubSección],MATCH(ROW(Leccion[SubSección]),ROW(Leccion[SubSección]))),ROW(EK15))),"")</f>
        <v/>
      </c>
      <c r="EM16" s="51" t="str">
        <f t="array" aca="1" ref="EM16" ca="1">IFERROR(INDEX(Leccion[selectorLeccion],SMALL(IF(EM$1=Leccion[SubSección],MATCH(ROW(Leccion[SubSección]),ROW(Leccion[SubSección]))),ROW(EL15))),"")</f>
        <v/>
      </c>
      <c r="EN16" s="51" t="str">
        <f t="array" aca="1" ref="EN16" ca="1">IFERROR(INDEX(Leccion[selectorLeccion],SMALL(IF(EN$1=Leccion[SubSección],MATCH(ROW(Leccion[SubSección]),ROW(Leccion[SubSección]))),ROW(EM15))),"")</f>
        <v/>
      </c>
      <c r="EO16" s="51" t="str">
        <f t="array" aca="1" ref="EO16" ca="1">IFERROR(INDEX(Leccion[selectorLeccion],SMALL(IF(EO$1=Leccion[SubSección],MATCH(ROW(Leccion[SubSección]),ROW(Leccion[SubSección]))),ROW(EN15))),"")</f>
        <v/>
      </c>
      <c r="EP16" s="51" t="str">
        <f t="array" aca="1" ref="EP16" ca="1">IFERROR(INDEX(Leccion[selectorLeccion],SMALL(IF(EP$1=Leccion[SubSección],MATCH(ROW(Leccion[SubSección]),ROW(Leccion[SubSección]))),ROW(EO15))),"")</f>
        <v/>
      </c>
      <c r="EQ16" s="51" t="str">
        <f t="array" aca="1" ref="EQ16" ca="1">IFERROR(INDEX(Leccion[selectorLeccion],SMALL(IF(EQ$1=Leccion[SubSección],MATCH(ROW(Leccion[SubSección]),ROW(Leccion[SubSección]))),ROW(EP15))),"")</f>
        <v/>
      </c>
      <c r="ER16" s="51" t="str">
        <f t="array" aca="1" ref="ER16" ca="1">IFERROR(INDEX(Leccion[selectorLeccion],SMALL(IF(ER$1=Leccion[SubSección],MATCH(ROW(Leccion[SubSección]),ROW(Leccion[SubSección]))),ROW(EQ15))),"")</f>
        <v/>
      </c>
      <c r="ES16" s="51" t="str">
        <f t="array" aca="1" ref="ES16" ca="1">IFERROR(INDEX(Leccion[selectorLeccion],SMALL(IF(ES$1=Leccion[SubSección],MATCH(ROW(Leccion[SubSección]),ROW(Leccion[SubSección]))),ROW(ER15))),"")</f>
        <v/>
      </c>
      <c r="ET16" s="51" t="str">
        <f t="array" aca="1" ref="ET16" ca="1">IFERROR(INDEX(Leccion[selectorLeccion],SMALL(IF(ET$1=Leccion[SubSección],MATCH(ROW(Leccion[SubSección]),ROW(Leccion[SubSección]))),ROW(ES15))),"")</f>
        <v/>
      </c>
      <c r="EU16" s="51" t="str">
        <f t="array" aca="1" ref="EU16" ca="1">IFERROR(INDEX(Leccion[selectorLeccion],SMALL(IF(EU$1=Leccion[SubSección],MATCH(ROW(Leccion[SubSección]),ROW(Leccion[SubSección]))),ROW(ET15))),"")</f>
        <v/>
      </c>
      <c r="EV16" s="51" t="str">
        <f t="array" aca="1" ref="EV16" ca="1">IFERROR(INDEX(Leccion[selectorLeccion],SMALL(IF(EV$1=Leccion[SubSección],MATCH(ROW(Leccion[SubSección]),ROW(Leccion[SubSección]))),ROW(EU15))),"")</f>
        <v/>
      </c>
      <c r="EW16" s="51" t="str">
        <f t="array" aca="1" ref="EW16" ca="1">IFERROR(INDEX(Leccion[selectorLeccion],SMALL(IF(EW$1=Leccion[SubSección],MATCH(ROW(Leccion[SubSección]),ROW(Leccion[SubSección]))),ROW(EV15))),"")</f>
        <v/>
      </c>
      <c r="EX16" s="51" t="str">
        <f t="array" aca="1" ref="EX16" ca="1">IFERROR(INDEX(Leccion[selectorLeccion],SMALL(IF(EX$1=Leccion[SubSección],MATCH(ROW(Leccion[SubSección]),ROW(Leccion[SubSección]))),ROW(EW15))),"")</f>
        <v/>
      </c>
      <c r="EY16" s="51" t="str">
        <f t="array" aca="1" ref="EY16" ca="1">IFERROR(INDEX(Leccion[selectorLeccion],SMALL(IF(EY$1=Leccion[SubSección],MATCH(ROW(Leccion[SubSección]),ROW(Leccion[SubSección]))),ROW(EX15))),"")</f>
        <v/>
      </c>
      <c r="EZ16" s="51" t="str">
        <f t="array" aca="1" ref="EZ16" ca="1">IFERROR(INDEX(Leccion[selectorLeccion],SMALL(IF(EZ$1=Leccion[SubSección],MATCH(ROW(Leccion[SubSección]),ROW(Leccion[SubSección]))),ROW(EY15))),"")</f>
        <v/>
      </c>
    </row>
    <row r="17" spans="2:156" x14ac:dyDescent="0.3">
      <c r="B17" s="51" t="str">
        <f t="array" aca="1" ref="B17" ca="1">IFERROR(INDEX(Leccion[selectorLeccion],SMALL(IF(B$1=Leccion[SubSección],MATCH(ROW(Leccion[SubSección]),ROW(Leccion[SubSección]))),ROW(A16))),"")</f>
        <v/>
      </c>
      <c r="C17" s="51" t="str">
        <f t="array" aca="1" ref="C17" ca="1">IFERROR(INDEX(Leccion[selectorLeccion],SMALL(IF(C$1=Leccion[SubSección],MATCH(ROW(Leccion[SubSección]),ROW(Leccion[SubSección]))),ROW(B16))),"")</f>
        <v/>
      </c>
      <c r="D17" s="51" t="str">
        <f t="array" aca="1" ref="D17" ca="1">IFERROR(INDEX(Leccion[selectorLeccion],SMALL(IF(D$1=Leccion[SubSección],MATCH(ROW(Leccion[SubSección]),ROW(Leccion[SubSección]))),ROW(C16))),"")</f>
        <v/>
      </c>
      <c r="E17" s="51" t="str">
        <f t="array" aca="1" ref="E17" ca="1">IFERROR(INDEX(Leccion[selectorLeccion],SMALL(IF(E$1=Leccion[SubSección],MATCH(ROW(Leccion[SubSección]),ROW(Leccion[SubSección]))),ROW(D16))),"")</f>
        <v/>
      </c>
      <c r="F17" s="51" t="str">
        <f t="array" aca="1" ref="F17" ca="1">IFERROR(INDEX(Leccion[selectorLeccion],SMALL(IF(F$1=Leccion[SubSección],MATCH(ROW(Leccion[SubSección]),ROW(Leccion[SubSección]))),ROW(E16))),"")</f>
        <v/>
      </c>
      <c r="G17" s="51" t="str">
        <f t="array" aca="1" ref="G17" ca="1">IFERROR(INDEX(Leccion[selectorLeccion],SMALL(IF(G$1=Leccion[SubSección],MATCH(ROW(Leccion[SubSección]),ROW(Leccion[SubSección]))),ROW(F16))),"")</f>
        <v/>
      </c>
      <c r="H17" s="51" t="str">
        <f t="array" aca="1" ref="H17" ca="1">IFERROR(INDEX(Leccion[selectorLeccion],SMALL(IF(H$1=Leccion[SubSección],MATCH(ROW(Leccion[SubSección]),ROW(Leccion[SubSección]))),ROW(G16))),"")</f>
        <v/>
      </c>
      <c r="I17" s="51" t="str">
        <f t="array" aca="1" ref="I17" ca="1">IFERROR(INDEX(Leccion[selectorLeccion],SMALL(IF(I$1=Leccion[SubSección],MATCH(ROW(Leccion[SubSección]),ROW(Leccion[SubSección]))),ROW(H16))),"")</f>
        <v/>
      </c>
      <c r="J17" s="51" t="str">
        <f t="array" aca="1" ref="J17" ca="1">IFERROR(INDEX(Leccion[selectorLeccion],SMALL(IF(J$1=Leccion[SubSección],MATCH(ROW(Leccion[SubSección]),ROW(Leccion[SubSección]))),ROW(I16))),"")</f>
        <v/>
      </c>
      <c r="K17" s="51" t="str">
        <f t="array" aca="1" ref="K17" ca="1">IFERROR(INDEX(Leccion[selectorLeccion],SMALL(IF(K$1=Leccion[SubSección],MATCH(ROW(Leccion[SubSección]),ROW(Leccion[SubSección]))),ROW(J16))),"")</f>
        <v/>
      </c>
      <c r="L17" s="51" t="str">
        <f t="array" aca="1" ref="L17" ca="1">IFERROR(INDEX(Leccion[selectorLeccion],SMALL(IF(L$1=Leccion[SubSección],MATCH(ROW(Leccion[SubSección]),ROW(Leccion[SubSección]))),ROW(K16))),"")</f>
        <v/>
      </c>
      <c r="M17" s="51" t="str">
        <f t="array" aca="1" ref="M17" ca="1">IFERROR(INDEX(Leccion[selectorLeccion],SMALL(IF(M$1=Leccion[SubSección],MATCH(ROW(Leccion[SubSección]),ROW(Leccion[SubSección]))),ROW(L16))),"")</f>
        <v/>
      </c>
      <c r="N17" s="51" t="str">
        <f t="array" aca="1" ref="N17" ca="1">IFERROR(INDEX(Leccion[selectorLeccion],SMALL(IF(N$1=Leccion[SubSección],MATCH(ROW(Leccion[SubSección]),ROW(Leccion[SubSección]))),ROW(M16))),"")</f>
        <v/>
      </c>
      <c r="O17" s="51" t="str">
        <f t="array" aca="1" ref="O17" ca="1">IFERROR(INDEX(Leccion[selectorLeccion],SMALL(IF(O$1=Leccion[SubSección],MATCH(ROW(Leccion[SubSección]),ROW(Leccion[SubSección]))),ROW(N16))),"")</f>
        <v/>
      </c>
      <c r="P17" s="51" t="str">
        <f t="array" aca="1" ref="P17" ca="1">IFERROR(INDEX(Leccion[selectorLeccion],SMALL(IF(P$1=Leccion[SubSección],MATCH(ROW(Leccion[SubSección]),ROW(Leccion[SubSección]))),ROW(O16))),"")</f>
        <v/>
      </c>
      <c r="Q17" s="51" t="str">
        <f t="array" aca="1" ref="Q17" ca="1">IFERROR(INDEX(Leccion[selectorLeccion],SMALL(IF(Q$1=Leccion[SubSección],MATCH(ROW(Leccion[SubSección]),ROW(Leccion[SubSección]))),ROW(P16))),"")</f>
        <v/>
      </c>
      <c r="R17" s="51" t="str">
        <f t="array" aca="1" ref="R17" ca="1">IFERROR(INDEX(Leccion[selectorLeccion],SMALL(IF(R$1=Leccion[SubSección],MATCH(ROW(Leccion[SubSección]),ROW(Leccion[SubSección]))),ROW(Q16))),"")</f>
        <v/>
      </c>
      <c r="S17" s="51" t="str">
        <f t="array" aca="1" ref="S17" ca="1">IFERROR(INDEX(Leccion[selectorLeccion],SMALL(IF(S$1=Leccion[SubSección],MATCH(ROW(Leccion[SubSección]),ROW(Leccion[SubSección]))),ROW(R16))),"")</f>
        <v/>
      </c>
      <c r="T17" s="51" t="str">
        <f t="array" aca="1" ref="T17" ca="1">IFERROR(INDEX(Leccion[selectorLeccion],SMALL(IF(T$1=Leccion[SubSección],MATCH(ROW(Leccion[SubSección]),ROW(Leccion[SubSección]))),ROW(S16))),"")</f>
        <v/>
      </c>
      <c r="U17" s="51" t="str">
        <f t="array" aca="1" ref="U17" ca="1">IFERROR(INDEX(Leccion[selectorLeccion],SMALL(IF(U$1=Leccion[SubSección],MATCH(ROW(Leccion[SubSección]),ROW(Leccion[SubSección]))),ROW(T16))),"")</f>
        <v/>
      </c>
      <c r="V17" s="51" t="str">
        <f t="array" aca="1" ref="V17" ca="1">IFERROR(INDEX(Leccion[selectorLeccion],SMALL(IF(V$1=Leccion[SubSección],MATCH(ROW(Leccion[SubSección]),ROW(Leccion[SubSección]))),ROW(U16))),"")</f>
        <v/>
      </c>
      <c r="W17" s="51" t="str">
        <f t="array" aca="1" ref="W17" ca="1">IFERROR(INDEX(Leccion[selectorLeccion],SMALL(IF(W$1=Leccion[SubSección],MATCH(ROW(Leccion[SubSección]),ROW(Leccion[SubSección]))),ROW(V16))),"")</f>
        <v/>
      </c>
      <c r="X17" s="51" t="str">
        <f t="array" aca="1" ref="X17" ca="1">IFERROR(INDEX(Leccion[selectorLeccion],SMALL(IF(X$1=Leccion[SubSección],MATCH(ROW(Leccion[SubSección]),ROW(Leccion[SubSección]))),ROW(W16))),"")</f>
        <v/>
      </c>
      <c r="Y17" s="51" t="str">
        <f t="array" aca="1" ref="Y17" ca="1">IFERROR(INDEX(Leccion[selectorLeccion],SMALL(IF(Y$1=Leccion[SubSección],MATCH(ROW(Leccion[SubSección]),ROW(Leccion[SubSección]))),ROW(X16))),"")</f>
        <v/>
      </c>
      <c r="Z17" s="51" t="str">
        <f t="array" aca="1" ref="Z17" ca="1">IFERROR(INDEX(Leccion[selectorLeccion],SMALL(IF(Z$1=Leccion[SubSección],MATCH(ROW(Leccion[SubSección]),ROW(Leccion[SubSección]))),ROW(Y16))),"")</f>
        <v/>
      </c>
      <c r="AA17" s="51" t="str">
        <f t="array" aca="1" ref="AA17" ca="1">IFERROR(INDEX(Leccion[selectorLeccion],SMALL(IF(AA$1=Leccion[SubSección],MATCH(ROW(Leccion[SubSección]),ROW(Leccion[SubSección]))),ROW(Z16))),"")</f>
        <v/>
      </c>
      <c r="AB17" s="51" t="str">
        <f t="array" aca="1" ref="AB17" ca="1">IFERROR(INDEX(Leccion[selectorLeccion],SMALL(IF(AB$1=Leccion[SubSección],MATCH(ROW(Leccion[SubSección]),ROW(Leccion[SubSección]))),ROW(AA16))),"")</f>
        <v/>
      </c>
      <c r="AC17" s="51" t="str">
        <f t="array" aca="1" ref="AC17" ca="1">IFERROR(INDEX(Leccion[selectorLeccion],SMALL(IF(AC$1=Leccion[SubSección],MATCH(ROW(Leccion[SubSección]),ROW(Leccion[SubSección]))),ROW(AB16))),"")</f>
        <v/>
      </c>
      <c r="AD17" s="51" t="str">
        <f t="array" aca="1" ref="AD17" ca="1">IFERROR(INDEX(Leccion[selectorLeccion],SMALL(IF(AD$1=Leccion[SubSección],MATCH(ROW(Leccion[SubSección]),ROW(Leccion[SubSección]))),ROW(AC16))),"")</f>
        <v/>
      </c>
      <c r="AE17" s="51" t="str">
        <f t="array" aca="1" ref="AE17" ca="1">IFERROR(INDEX(Leccion[selectorLeccion],SMALL(IF(AE$1=Leccion[SubSección],MATCH(ROW(Leccion[SubSección]),ROW(Leccion[SubSección]))),ROW(AD16))),"")</f>
        <v/>
      </c>
      <c r="AF17" s="51" t="str">
        <f t="array" aca="1" ref="AF17" ca="1">IFERROR(INDEX(Leccion[selectorLeccion],SMALL(IF(AF$1=Leccion[SubSección],MATCH(ROW(Leccion[SubSección]),ROW(Leccion[SubSección]))),ROW(AE16))),"")</f>
        <v/>
      </c>
      <c r="AG17" s="51" t="str">
        <f t="array" aca="1" ref="AG17" ca="1">IFERROR(INDEX(Leccion[selectorLeccion],SMALL(IF(AG$1=Leccion[SubSección],MATCH(ROW(Leccion[SubSección]),ROW(Leccion[SubSección]))),ROW(AF16))),"")</f>
        <v/>
      </c>
      <c r="AH17" s="51" t="str">
        <f t="array" aca="1" ref="AH17" ca="1">IFERROR(INDEX(Leccion[selectorLeccion],SMALL(IF(AH$1=Leccion[SubSección],MATCH(ROW(Leccion[SubSección]),ROW(Leccion[SubSección]))),ROW(AG16))),"")</f>
        <v/>
      </c>
      <c r="AI17" s="51" t="str">
        <f t="array" aca="1" ref="AI17" ca="1">IFERROR(INDEX(Leccion[selectorLeccion],SMALL(IF(AI$1=Leccion[SubSección],MATCH(ROW(Leccion[SubSección]),ROW(Leccion[SubSección]))),ROW(AH16))),"")</f>
        <v/>
      </c>
      <c r="AJ17" s="51" t="str">
        <f t="array" aca="1" ref="AJ17" ca="1">IFERROR(INDEX(Leccion[selectorLeccion],SMALL(IF(AJ$1=Leccion[SubSección],MATCH(ROW(Leccion[SubSección]),ROW(Leccion[SubSección]))),ROW(AI16))),"")</f>
        <v/>
      </c>
      <c r="AK17" s="51" t="str">
        <f t="array" aca="1" ref="AK17" ca="1">IFERROR(INDEX(Leccion[selectorLeccion],SMALL(IF(AK$1=Leccion[SubSección],MATCH(ROW(Leccion[SubSección]),ROW(Leccion[SubSección]))),ROW(AJ16))),"")</f>
        <v/>
      </c>
      <c r="AL17" s="51" t="str">
        <f t="array" aca="1" ref="AL17" ca="1">IFERROR(INDEX(Leccion[selectorLeccion],SMALL(IF(AL$1=Leccion[SubSección],MATCH(ROW(Leccion[SubSección]),ROW(Leccion[SubSección]))),ROW(AK16))),"")</f>
        <v/>
      </c>
      <c r="AM17" s="51" t="str">
        <f t="array" aca="1" ref="AM17" ca="1">IFERROR(INDEX(Leccion[selectorLeccion],SMALL(IF(AM$1=Leccion[SubSección],MATCH(ROW(Leccion[SubSección]),ROW(Leccion[SubSección]))),ROW(AL16))),"")</f>
        <v/>
      </c>
      <c r="AN17" s="51" t="str">
        <f t="array" aca="1" ref="AN17" ca="1">IFERROR(INDEX(Leccion[selectorLeccion],SMALL(IF(AN$1=Leccion[SubSección],MATCH(ROW(Leccion[SubSección]),ROW(Leccion[SubSección]))),ROW(AM16))),"")</f>
        <v/>
      </c>
      <c r="AO17" s="51" t="str">
        <f t="array" aca="1" ref="AO17" ca="1">IFERROR(INDEX(Leccion[selectorLeccion],SMALL(IF(AO$1=Leccion[SubSección],MATCH(ROW(Leccion[SubSección]),ROW(Leccion[SubSección]))),ROW(AN16))),"")</f>
        <v/>
      </c>
      <c r="AP17" s="51" t="str">
        <f t="array" aca="1" ref="AP17" ca="1">IFERROR(INDEX(Leccion[selectorLeccion],SMALL(IF(AP$1=Leccion[SubSección],MATCH(ROW(Leccion[SubSección]),ROW(Leccion[SubSección]))),ROW(AO16))),"")</f>
        <v/>
      </c>
      <c r="AQ17" s="51" t="str">
        <f t="array" aca="1" ref="AQ17" ca="1">IFERROR(INDEX(Leccion[selectorLeccion],SMALL(IF(AQ$1=Leccion[SubSección],MATCH(ROW(Leccion[SubSección]),ROW(Leccion[SubSección]))),ROW(AP16))),"")</f>
        <v/>
      </c>
      <c r="AR17" s="51" t="str">
        <f t="array" aca="1" ref="AR17" ca="1">IFERROR(INDEX(Leccion[selectorLeccion],SMALL(IF(AR$1=Leccion[SubSección],MATCH(ROW(Leccion[SubSección]),ROW(Leccion[SubSección]))),ROW(AQ16))),"")</f>
        <v/>
      </c>
      <c r="AS17" s="51" t="str">
        <f t="array" aca="1" ref="AS17" ca="1">IFERROR(INDEX(Leccion[selectorLeccion],SMALL(IF(AS$1=Leccion[SubSección],MATCH(ROW(Leccion[SubSección]),ROW(Leccion[SubSección]))),ROW(AR16))),"")</f>
        <v/>
      </c>
      <c r="AT17" s="51" t="str">
        <f t="array" aca="1" ref="AT17" ca="1">IFERROR(INDEX(Leccion[selectorLeccion],SMALL(IF(AT$1=Leccion[SubSección],MATCH(ROW(Leccion[SubSección]),ROW(Leccion[SubSección]))),ROW(AS16))),"")</f>
        <v/>
      </c>
      <c r="AU17" s="51" t="str">
        <f t="array" aca="1" ref="AU17" ca="1">IFERROR(INDEX(Leccion[selectorLeccion],SMALL(IF(AU$1=Leccion[SubSección],MATCH(ROW(Leccion[SubSección]),ROW(Leccion[SubSección]))),ROW(AT16))),"")</f>
        <v/>
      </c>
      <c r="AV17" s="51" t="str">
        <f t="array" aca="1" ref="AV17" ca="1">IFERROR(INDEX(Leccion[selectorLeccion],SMALL(IF(AV$1=Leccion[SubSección],MATCH(ROW(Leccion[SubSección]),ROW(Leccion[SubSección]))),ROW(AU16))),"")</f>
        <v/>
      </c>
      <c r="AW17" s="51" t="str">
        <f t="array" aca="1" ref="AW17" ca="1">IFERROR(INDEX(Leccion[selectorLeccion],SMALL(IF(AW$1=Leccion[SubSección],MATCH(ROW(Leccion[SubSección]),ROW(Leccion[SubSección]))),ROW(AV16))),"")</f>
        <v/>
      </c>
      <c r="AX17" s="51" t="str">
        <f t="array" aca="1" ref="AX17" ca="1">IFERROR(INDEX(Leccion[selectorLeccion],SMALL(IF(AX$1=Leccion[SubSección],MATCH(ROW(Leccion[SubSección]),ROW(Leccion[SubSección]))),ROW(AW16))),"")</f>
        <v/>
      </c>
      <c r="AY17" s="51" t="str">
        <f t="array" aca="1" ref="AY17" ca="1">IFERROR(INDEX(Leccion[selectorLeccion],SMALL(IF(AY$1=Leccion[SubSección],MATCH(ROW(Leccion[SubSección]),ROW(Leccion[SubSección]))),ROW(AX16))),"")</f>
        <v/>
      </c>
      <c r="AZ17" s="51" t="str">
        <f t="array" aca="1" ref="AZ17" ca="1">IFERROR(INDEX(Leccion[selectorLeccion],SMALL(IF(AZ$1=Leccion[SubSección],MATCH(ROW(Leccion[SubSección]),ROW(Leccion[SubSección]))),ROW(AY16))),"")</f>
        <v/>
      </c>
      <c r="BA17" s="51" t="str">
        <f t="array" aca="1" ref="BA17" ca="1">IFERROR(INDEX(Leccion[selectorLeccion],SMALL(IF(BA$1=Leccion[SubSección],MATCH(ROW(Leccion[SubSección]),ROW(Leccion[SubSección]))),ROW(AZ16))),"")</f>
        <v/>
      </c>
      <c r="BB17" s="51" t="str">
        <f t="array" aca="1" ref="BB17" ca="1">IFERROR(INDEX(Leccion[selectorLeccion],SMALL(IF(BB$1=Leccion[SubSección],MATCH(ROW(Leccion[SubSección]),ROW(Leccion[SubSección]))),ROW(BA16))),"")</f>
        <v/>
      </c>
      <c r="BC17" s="51" t="str">
        <f t="array" aca="1" ref="BC17" ca="1">IFERROR(INDEX(Leccion[selectorLeccion],SMALL(IF(BC$1=Leccion[SubSección],MATCH(ROW(Leccion[SubSección]),ROW(Leccion[SubSección]))),ROW(BB16))),"")</f>
        <v/>
      </c>
      <c r="BD17" s="51" t="str">
        <f t="array" aca="1" ref="BD17" ca="1">IFERROR(INDEX(Leccion[selectorLeccion],SMALL(IF(BD$1=Leccion[SubSección],MATCH(ROW(Leccion[SubSección]),ROW(Leccion[SubSección]))),ROW(BC16))),"")</f>
        <v/>
      </c>
      <c r="BE17" s="51" t="str">
        <f t="array" aca="1" ref="BE17" ca="1">IFERROR(INDEX(Leccion[selectorLeccion],SMALL(IF(BE$1=Leccion[SubSección],MATCH(ROW(Leccion[SubSección]),ROW(Leccion[SubSección]))),ROW(BD16))),"")</f>
        <v/>
      </c>
      <c r="BF17" s="51" t="str">
        <f t="array" aca="1" ref="BF17" ca="1">IFERROR(INDEX(Leccion[selectorLeccion],SMALL(IF(BF$1=Leccion[SubSección],MATCH(ROW(Leccion[SubSección]),ROW(Leccion[SubSección]))),ROW(BE16))),"")</f>
        <v/>
      </c>
      <c r="BG17" s="51" t="str">
        <f t="array" aca="1" ref="BG17" ca="1">IFERROR(INDEX(Leccion[selectorLeccion],SMALL(IF(BG$1=Leccion[SubSección],MATCH(ROW(Leccion[SubSección]),ROW(Leccion[SubSección]))),ROW(BF16))),"")</f>
        <v/>
      </c>
      <c r="BH17" s="51" t="str">
        <f t="array" aca="1" ref="BH17" ca="1">IFERROR(INDEX(Leccion[selectorLeccion],SMALL(IF(BH$1=Leccion[SubSección],MATCH(ROW(Leccion[SubSección]),ROW(Leccion[SubSección]))),ROW(BG16))),"")</f>
        <v/>
      </c>
      <c r="BI17" s="51" t="str">
        <f t="array" aca="1" ref="BI17" ca="1">IFERROR(INDEX(Leccion[selectorLeccion],SMALL(IF(BI$1=Leccion[SubSección],MATCH(ROW(Leccion[SubSección]),ROW(Leccion[SubSección]))),ROW(BH16))),"")</f>
        <v/>
      </c>
      <c r="BJ17" s="51" t="str">
        <f t="array" aca="1" ref="BJ17" ca="1">IFERROR(INDEX(Leccion[selectorLeccion],SMALL(IF(BJ$1=Leccion[SubSección],MATCH(ROW(Leccion[SubSección]),ROW(Leccion[SubSección]))),ROW(BI16))),"")</f>
        <v/>
      </c>
      <c r="BK17" s="51" t="str">
        <f t="array" aca="1" ref="BK17" ca="1">IFERROR(INDEX(Leccion[selectorLeccion],SMALL(IF(BK$1=Leccion[SubSección],MATCH(ROW(Leccion[SubSección]),ROW(Leccion[SubSección]))),ROW(BJ16))),"")</f>
        <v/>
      </c>
      <c r="BL17" s="51" t="str">
        <f t="array" aca="1" ref="BL17" ca="1">IFERROR(INDEX(Leccion[selectorLeccion],SMALL(IF(BL$1=Leccion[SubSección],MATCH(ROW(Leccion[SubSección]),ROW(Leccion[SubSección]))),ROW(BK16))),"")</f>
        <v/>
      </c>
      <c r="BM17" s="51" t="str">
        <f t="array" aca="1" ref="BM17" ca="1">IFERROR(INDEX(Leccion[selectorLeccion],SMALL(IF(BM$1=Leccion[SubSección],MATCH(ROW(Leccion[SubSección]),ROW(Leccion[SubSección]))),ROW(BL16))),"")</f>
        <v/>
      </c>
      <c r="BN17" s="51" t="str">
        <f t="array" aca="1" ref="BN17" ca="1">IFERROR(INDEX(Leccion[selectorLeccion],SMALL(IF(BN$1=Leccion[SubSección],MATCH(ROW(Leccion[SubSección]),ROW(Leccion[SubSección]))),ROW(BM16))),"")</f>
        <v/>
      </c>
      <c r="BO17" s="51" t="str">
        <f t="array" aca="1" ref="BO17" ca="1">IFERROR(INDEX(Leccion[selectorLeccion],SMALL(IF(BO$1=Leccion[SubSección],MATCH(ROW(Leccion[SubSección]),ROW(Leccion[SubSección]))),ROW(BN16))),"")</f>
        <v/>
      </c>
      <c r="BP17" s="51" t="str">
        <f t="array" aca="1" ref="BP17" ca="1">IFERROR(INDEX(Leccion[selectorLeccion],SMALL(IF(BP$1=Leccion[SubSección],MATCH(ROW(Leccion[SubSección]),ROW(Leccion[SubSección]))),ROW(BO16))),"")</f>
        <v/>
      </c>
      <c r="BQ17" s="51" t="str">
        <f t="array" aca="1" ref="BQ17" ca="1">IFERROR(INDEX(Leccion[selectorLeccion],SMALL(IF(BQ$1=Leccion[SubSección],MATCH(ROW(Leccion[SubSección]),ROW(Leccion[SubSección]))),ROW(BP16))),"")</f>
        <v/>
      </c>
      <c r="BR17" s="51" t="str">
        <f t="array" aca="1" ref="BR17" ca="1">IFERROR(INDEX(Leccion[selectorLeccion],SMALL(IF(BR$1=Leccion[SubSección],MATCH(ROW(Leccion[SubSección]),ROW(Leccion[SubSección]))),ROW(BQ16))),"")</f>
        <v/>
      </c>
      <c r="BS17" s="51" t="str">
        <f t="array" aca="1" ref="BS17" ca="1">IFERROR(INDEX(Leccion[selectorLeccion],SMALL(IF(BS$1=Leccion[SubSección],MATCH(ROW(Leccion[SubSección]),ROW(Leccion[SubSección]))),ROW(BR16))),"")</f>
        <v/>
      </c>
      <c r="BT17" s="51" t="str">
        <f t="array" aca="1" ref="BT17" ca="1">IFERROR(INDEX(Leccion[selectorLeccion],SMALL(IF(BT$1=Leccion[SubSección],MATCH(ROW(Leccion[SubSección]),ROW(Leccion[SubSección]))),ROW(BS16))),"")</f>
        <v/>
      </c>
      <c r="BU17" s="51" t="str">
        <f t="array" aca="1" ref="BU17" ca="1">IFERROR(INDEX(Leccion[selectorLeccion],SMALL(IF(BU$1=Leccion[SubSección],MATCH(ROW(Leccion[SubSección]),ROW(Leccion[SubSección]))),ROW(BT16))),"")</f>
        <v/>
      </c>
      <c r="BV17" s="51" t="str">
        <f t="array" aca="1" ref="BV17" ca="1">IFERROR(INDEX(Leccion[selectorLeccion],SMALL(IF(BV$1=Leccion[SubSección],MATCH(ROW(Leccion[SubSección]),ROW(Leccion[SubSección]))),ROW(BU16))),"")</f>
        <v/>
      </c>
      <c r="BW17" s="51" t="str">
        <f t="array" aca="1" ref="BW17" ca="1">IFERROR(INDEX(Leccion[selectorLeccion],SMALL(IF(BW$1=Leccion[SubSección],MATCH(ROW(Leccion[SubSección]),ROW(Leccion[SubSección]))),ROW(BV16))),"")</f>
        <v/>
      </c>
      <c r="BX17" s="51" t="str">
        <f t="array" aca="1" ref="BX17" ca="1">IFERROR(INDEX(Leccion[selectorLeccion],SMALL(IF(BX$1=Leccion[SubSección],MATCH(ROW(Leccion[SubSección]),ROW(Leccion[SubSección]))),ROW(BW16))),"")</f>
        <v/>
      </c>
      <c r="BY17" s="51" t="str">
        <f t="array" aca="1" ref="BY17" ca="1">IFERROR(INDEX(Leccion[selectorLeccion],SMALL(IF(BY$1=Leccion[SubSección],MATCH(ROW(Leccion[SubSección]),ROW(Leccion[SubSección]))),ROW(BX16))),"")</f>
        <v/>
      </c>
      <c r="BZ17" s="51" t="str">
        <f t="array" aca="1" ref="BZ17" ca="1">IFERROR(INDEX(Leccion[selectorLeccion],SMALL(IF(BZ$1=Leccion[SubSección],MATCH(ROW(Leccion[SubSección]),ROW(Leccion[SubSección]))),ROW(BY16))),"")</f>
        <v/>
      </c>
      <c r="CA17" s="51" t="str">
        <f t="array" aca="1" ref="CA17" ca="1">IFERROR(INDEX(Leccion[selectorLeccion],SMALL(IF(CA$1=Leccion[SubSección],MATCH(ROW(Leccion[SubSección]),ROW(Leccion[SubSección]))),ROW(BZ16))),"")</f>
        <v/>
      </c>
      <c r="CB17" s="51" t="str">
        <f t="array" aca="1" ref="CB17" ca="1">IFERROR(INDEX(Leccion[selectorLeccion],SMALL(IF(CB$1=Leccion[SubSección],MATCH(ROW(Leccion[SubSección]),ROW(Leccion[SubSección]))),ROW(CA16))),"")</f>
        <v/>
      </c>
      <c r="CC17" s="51" t="str">
        <f t="array" aca="1" ref="CC17" ca="1">IFERROR(INDEX(Leccion[selectorLeccion],SMALL(IF(CC$1=Leccion[SubSección],MATCH(ROW(Leccion[SubSección]),ROW(Leccion[SubSección]))),ROW(CB16))),"")</f>
        <v/>
      </c>
      <c r="CD17" s="51" t="str">
        <f t="array" aca="1" ref="CD17" ca="1">IFERROR(INDEX(Leccion[selectorLeccion],SMALL(IF(CD$1=Leccion[SubSección],MATCH(ROW(Leccion[SubSección]),ROW(Leccion[SubSección]))),ROW(CC16))),"")</f>
        <v/>
      </c>
      <c r="CE17" s="51" t="str">
        <f t="array" aca="1" ref="CE17" ca="1">IFERROR(INDEX(Leccion[selectorLeccion],SMALL(IF(CE$1=Leccion[SubSección],MATCH(ROW(Leccion[SubSección]),ROW(Leccion[SubSección]))),ROW(CD16))),"")</f>
        <v/>
      </c>
      <c r="CF17" s="51" t="str">
        <f t="array" aca="1" ref="CF17" ca="1">IFERROR(INDEX(Leccion[selectorLeccion],SMALL(IF(CF$1=Leccion[SubSección],MATCH(ROW(Leccion[SubSección]),ROW(Leccion[SubSección]))),ROW(CE16))),"")</f>
        <v/>
      </c>
      <c r="CG17" s="51" t="str">
        <f t="array" aca="1" ref="CG17" ca="1">IFERROR(INDEX(Leccion[selectorLeccion],SMALL(IF(CG$1=Leccion[SubSección],MATCH(ROW(Leccion[SubSección]),ROW(Leccion[SubSección]))),ROW(CF16))),"")</f>
        <v/>
      </c>
      <c r="CH17" s="51" t="str">
        <f t="array" aca="1" ref="CH17" ca="1">IFERROR(INDEX(Leccion[selectorLeccion],SMALL(IF(CH$1=Leccion[SubSección],MATCH(ROW(Leccion[SubSección]),ROW(Leccion[SubSección]))),ROW(CG16))),"")</f>
        <v/>
      </c>
      <c r="CI17" s="51" t="str">
        <f t="array" aca="1" ref="CI17" ca="1">IFERROR(INDEX(Leccion[selectorLeccion],SMALL(IF(CI$1=Leccion[SubSección],MATCH(ROW(Leccion[SubSección]),ROW(Leccion[SubSección]))),ROW(CH16))),"")</f>
        <v/>
      </c>
      <c r="CJ17" s="51" t="str">
        <f t="array" aca="1" ref="CJ17" ca="1">IFERROR(INDEX(Leccion[selectorLeccion],SMALL(IF(CJ$1=Leccion[SubSección],MATCH(ROW(Leccion[SubSección]),ROW(Leccion[SubSección]))),ROW(CI16))),"")</f>
        <v/>
      </c>
      <c r="CK17" s="51" t="str">
        <f t="array" aca="1" ref="CK17" ca="1">IFERROR(INDEX(Leccion[selectorLeccion],SMALL(IF(CK$1=Leccion[SubSección],MATCH(ROW(Leccion[SubSección]),ROW(Leccion[SubSección]))),ROW(CJ16))),"")</f>
        <v/>
      </c>
      <c r="CL17" s="51" t="str">
        <f t="array" aca="1" ref="CL17" ca="1">IFERROR(INDEX(Leccion[selectorLeccion],SMALL(IF(CL$1=Leccion[SubSección],MATCH(ROW(Leccion[SubSección]),ROW(Leccion[SubSección]))),ROW(CK16))),"")</f>
        <v/>
      </c>
      <c r="CM17" s="51" t="str">
        <f t="array" aca="1" ref="CM17" ca="1">IFERROR(INDEX(Leccion[selectorLeccion],SMALL(IF(CM$1=Leccion[SubSección],MATCH(ROW(Leccion[SubSección]),ROW(Leccion[SubSección]))),ROW(CL16))),"")</f>
        <v/>
      </c>
      <c r="CN17" s="51" t="str">
        <f t="array" aca="1" ref="CN17" ca="1">IFERROR(INDEX(Leccion[selectorLeccion],SMALL(IF(CN$1=Leccion[SubSección],MATCH(ROW(Leccion[SubSección]),ROW(Leccion[SubSección]))),ROW(CM16))),"")</f>
        <v/>
      </c>
      <c r="CO17" s="51" t="str">
        <f t="array" aca="1" ref="CO17" ca="1">IFERROR(INDEX(Leccion[selectorLeccion],SMALL(IF(CO$1=Leccion[SubSección],MATCH(ROW(Leccion[SubSección]),ROW(Leccion[SubSección]))),ROW(CN16))),"")</f>
        <v/>
      </c>
      <c r="CP17" s="51" t="str">
        <f t="array" aca="1" ref="CP17" ca="1">IFERROR(INDEX(Leccion[selectorLeccion],SMALL(IF(CP$1=Leccion[SubSección],MATCH(ROW(Leccion[SubSección]),ROW(Leccion[SubSección]))),ROW(CO16))),"")</f>
        <v/>
      </c>
      <c r="CQ17" s="51" t="str">
        <f t="array" aca="1" ref="CQ17" ca="1">IFERROR(INDEX(Leccion[selectorLeccion],SMALL(IF(CQ$1=Leccion[SubSección],MATCH(ROW(Leccion[SubSección]),ROW(Leccion[SubSección]))),ROW(CP16))),"")</f>
        <v/>
      </c>
      <c r="CR17" s="51" t="str">
        <f t="array" aca="1" ref="CR17" ca="1">IFERROR(INDEX(Leccion[selectorLeccion],SMALL(IF(CR$1=Leccion[SubSección],MATCH(ROW(Leccion[SubSección]),ROW(Leccion[SubSección]))),ROW(CQ16))),"")</f>
        <v/>
      </c>
      <c r="CS17" s="51" t="str">
        <f t="array" aca="1" ref="CS17" ca="1">IFERROR(INDEX(Leccion[selectorLeccion],SMALL(IF(CS$1=Leccion[SubSección],MATCH(ROW(Leccion[SubSección]),ROW(Leccion[SubSección]))),ROW(CR16))),"")</f>
        <v/>
      </c>
      <c r="CT17" s="51" t="str">
        <f t="array" aca="1" ref="CT17" ca="1">IFERROR(INDEX(Leccion[selectorLeccion],SMALL(IF(CT$1=Leccion[SubSección],MATCH(ROW(Leccion[SubSección]),ROW(Leccion[SubSección]))),ROW(CS16))),"")</f>
        <v/>
      </c>
      <c r="CU17" s="51" t="str">
        <f t="array" aca="1" ref="CU17" ca="1">IFERROR(INDEX(Leccion[selectorLeccion],SMALL(IF(CU$1=Leccion[SubSección],MATCH(ROW(Leccion[SubSección]),ROW(Leccion[SubSección]))),ROW(CT16))),"")</f>
        <v/>
      </c>
      <c r="CV17" s="51" t="str">
        <f t="array" aca="1" ref="CV17" ca="1">IFERROR(INDEX(Leccion[selectorLeccion],SMALL(IF(CV$1=Leccion[SubSección],MATCH(ROW(Leccion[SubSección]),ROW(Leccion[SubSección]))),ROW(CU16))),"")</f>
        <v/>
      </c>
      <c r="CW17" s="51" t="str">
        <f t="array" aca="1" ref="CW17" ca="1">IFERROR(INDEX(Leccion[selectorLeccion],SMALL(IF(CW$1=Leccion[SubSección],MATCH(ROW(Leccion[SubSección]),ROW(Leccion[SubSección]))),ROW(CV16))),"")</f>
        <v/>
      </c>
      <c r="CX17" s="51" t="str">
        <f t="array" aca="1" ref="CX17" ca="1">IFERROR(INDEX(Leccion[selectorLeccion],SMALL(IF(CX$1=Leccion[SubSección],MATCH(ROW(Leccion[SubSección]),ROW(Leccion[SubSección]))),ROW(CW16))),"")</f>
        <v/>
      </c>
      <c r="CY17" s="51" t="str">
        <f t="array" aca="1" ref="CY17" ca="1">IFERROR(INDEX(Leccion[selectorLeccion],SMALL(IF(CY$1=Leccion[SubSección],MATCH(ROW(Leccion[SubSección]),ROW(Leccion[SubSección]))),ROW(CX16))),"")</f>
        <v/>
      </c>
      <c r="CZ17" s="51" t="str">
        <f t="array" aca="1" ref="CZ17" ca="1">IFERROR(INDEX(Leccion[selectorLeccion],SMALL(IF(CZ$1=Leccion[SubSección],MATCH(ROW(Leccion[SubSección]),ROW(Leccion[SubSección]))),ROW(CY16))),"")</f>
        <v/>
      </c>
      <c r="DA17" s="51" t="str">
        <f t="array" aca="1" ref="DA17" ca="1">IFERROR(INDEX(Leccion[selectorLeccion],SMALL(IF(DA$1=Leccion[SubSección],MATCH(ROW(Leccion[SubSección]),ROW(Leccion[SubSección]))),ROW(CZ16))),"")</f>
        <v/>
      </c>
      <c r="DB17" s="51" t="str">
        <f t="array" aca="1" ref="DB17" ca="1">IFERROR(INDEX(Leccion[selectorLeccion],SMALL(IF(DB$1=Leccion[SubSección],MATCH(ROW(Leccion[SubSección]),ROW(Leccion[SubSección]))),ROW(DA16))),"")</f>
        <v/>
      </c>
      <c r="DC17" s="51" t="str">
        <f t="array" aca="1" ref="DC17" ca="1">IFERROR(INDEX(Leccion[selectorLeccion],SMALL(IF(DC$1=Leccion[SubSección],MATCH(ROW(Leccion[SubSección]),ROW(Leccion[SubSección]))),ROW(DB16))),"")</f>
        <v/>
      </c>
      <c r="DD17" s="51" t="str">
        <f t="array" aca="1" ref="DD17" ca="1">IFERROR(INDEX(Leccion[selectorLeccion],SMALL(IF(DD$1=Leccion[SubSección],MATCH(ROW(Leccion[SubSección]),ROW(Leccion[SubSección]))),ROW(DC16))),"")</f>
        <v/>
      </c>
      <c r="DE17" s="51" t="str">
        <f t="array" aca="1" ref="DE17" ca="1">IFERROR(INDEX(Leccion[selectorLeccion],SMALL(IF(DE$1=Leccion[SubSección],MATCH(ROW(Leccion[SubSección]),ROW(Leccion[SubSección]))),ROW(DD16))),"")</f>
        <v/>
      </c>
      <c r="DF17" s="51" t="str">
        <f t="array" aca="1" ref="DF17" ca="1">IFERROR(INDEX(Leccion[selectorLeccion],SMALL(IF(DF$1=Leccion[SubSección],MATCH(ROW(Leccion[SubSección]),ROW(Leccion[SubSección]))),ROW(DE16))),"")</f>
        <v/>
      </c>
      <c r="DG17" s="51" t="str">
        <f t="array" aca="1" ref="DG17" ca="1">IFERROR(INDEX(Leccion[selectorLeccion],SMALL(IF(DG$1=Leccion[SubSección],MATCH(ROW(Leccion[SubSección]),ROW(Leccion[SubSección]))),ROW(DF16))),"")</f>
        <v/>
      </c>
      <c r="DH17" s="51" t="str">
        <f t="array" aca="1" ref="DH17" ca="1">IFERROR(INDEX(Leccion[selectorLeccion],SMALL(IF(DH$1=Leccion[SubSección],MATCH(ROW(Leccion[SubSección]),ROW(Leccion[SubSección]))),ROW(DG16))),"")</f>
        <v/>
      </c>
      <c r="DI17" s="51" t="str">
        <f t="array" aca="1" ref="DI17" ca="1">IFERROR(INDEX(Leccion[selectorLeccion],SMALL(IF(DI$1=Leccion[SubSección],MATCH(ROW(Leccion[SubSección]),ROW(Leccion[SubSección]))),ROW(DH16))),"")</f>
        <v/>
      </c>
      <c r="DJ17" s="51" t="str">
        <f t="array" aca="1" ref="DJ17" ca="1">IFERROR(INDEX(Leccion[selectorLeccion],SMALL(IF(DJ$1=Leccion[SubSección],MATCH(ROW(Leccion[SubSección]),ROW(Leccion[SubSección]))),ROW(DI16))),"")</f>
        <v/>
      </c>
      <c r="DK17" s="51" t="str">
        <f t="array" aca="1" ref="DK17" ca="1">IFERROR(INDEX(Leccion[selectorLeccion],SMALL(IF(DK$1=Leccion[SubSección],MATCH(ROW(Leccion[SubSección]),ROW(Leccion[SubSección]))),ROW(DJ16))),"")</f>
        <v/>
      </c>
      <c r="DL17" s="51" t="str">
        <f t="array" aca="1" ref="DL17" ca="1">IFERROR(INDEX(Leccion[selectorLeccion],SMALL(IF(DL$1=Leccion[SubSección],MATCH(ROW(Leccion[SubSección]),ROW(Leccion[SubSección]))),ROW(DK16))),"")</f>
        <v/>
      </c>
      <c r="DM17" s="51" t="str">
        <f t="array" aca="1" ref="DM17" ca="1">IFERROR(INDEX(Leccion[selectorLeccion],SMALL(IF(DM$1=Leccion[SubSección],MATCH(ROW(Leccion[SubSección]),ROW(Leccion[SubSección]))),ROW(DL16))),"")</f>
        <v/>
      </c>
      <c r="DN17" s="51" t="str">
        <f t="array" aca="1" ref="DN17" ca="1">IFERROR(INDEX(Leccion[selectorLeccion],SMALL(IF(DN$1=Leccion[SubSección],MATCH(ROW(Leccion[SubSección]),ROW(Leccion[SubSección]))),ROW(DM16))),"")</f>
        <v/>
      </c>
      <c r="DO17" s="51" t="str">
        <f t="array" aca="1" ref="DO17" ca="1">IFERROR(INDEX(Leccion[selectorLeccion],SMALL(IF(DO$1=Leccion[SubSección],MATCH(ROW(Leccion[SubSección]),ROW(Leccion[SubSección]))),ROW(DN16))),"")</f>
        <v/>
      </c>
      <c r="DP17" s="51" t="str">
        <f t="array" aca="1" ref="DP17" ca="1">IFERROR(INDEX(Leccion[selectorLeccion],SMALL(IF(DP$1=Leccion[SubSección],MATCH(ROW(Leccion[SubSección]),ROW(Leccion[SubSección]))),ROW(DO16))),"")</f>
        <v/>
      </c>
      <c r="DQ17" s="51" t="str">
        <f t="array" aca="1" ref="DQ17" ca="1">IFERROR(INDEX(Leccion[selectorLeccion],SMALL(IF(DQ$1=Leccion[SubSección],MATCH(ROW(Leccion[SubSección]),ROW(Leccion[SubSección]))),ROW(DP16))),"")</f>
        <v/>
      </c>
      <c r="DR17" s="51" t="str">
        <f t="array" aca="1" ref="DR17" ca="1">IFERROR(INDEX(Leccion[selectorLeccion],SMALL(IF(DR$1=Leccion[SubSección],MATCH(ROW(Leccion[SubSección]),ROW(Leccion[SubSección]))),ROW(DQ16))),"")</f>
        <v/>
      </c>
      <c r="DS17" s="51" t="str">
        <f t="array" aca="1" ref="DS17" ca="1">IFERROR(INDEX(Leccion[selectorLeccion],SMALL(IF(DS$1=Leccion[SubSección],MATCH(ROW(Leccion[SubSección]),ROW(Leccion[SubSección]))),ROW(DR16))),"")</f>
        <v/>
      </c>
      <c r="DT17" s="51" t="str">
        <f t="array" aca="1" ref="DT17" ca="1">IFERROR(INDEX(Leccion[selectorLeccion],SMALL(IF(DT$1=Leccion[SubSección],MATCH(ROW(Leccion[SubSección]),ROW(Leccion[SubSección]))),ROW(DS16))),"")</f>
        <v/>
      </c>
      <c r="DU17" s="51" t="str">
        <f t="array" aca="1" ref="DU17" ca="1">IFERROR(INDEX(Leccion[selectorLeccion],SMALL(IF(DU$1=Leccion[SubSección],MATCH(ROW(Leccion[SubSección]),ROW(Leccion[SubSección]))),ROW(DT16))),"")</f>
        <v/>
      </c>
      <c r="DV17" s="51" t="str">
        <f t="array" aca="1" ref="DV17" ca="1">IFERROR(INDEX(Leccion[selectorLeccion],SMALL(IF(DV$1=Leccion[SubSección],MATCH(ROW(Leccion[SubSección]),ROW(Leccion[SubSección]))),ROW(DU16))),"")</f>
        <v/>
      </c>
      <c r="DW17" s="51" t="str">
        <f t="array" aca="1" ref="DW17" ca="1">IFERROR(INDEX(Leccion[selectorLeccion],SMALL(IF(DW$1=Leccion[SubSección],MATCH(ROW(Leccion[SubSección]),ROW(Leccion[SubSección]))),ROW(DV16))),"")</f>
        <v/>
      </c>
      <c r="DX17" s="51" t="str">
        <f t="array" aca="1" ref="DX17" ca="1">IFERROR(INDEX(Leccion[selectorLeccion],SMALL(IF(DX$1=Leccion[SubSección],MATCH(ROW(Leccion[SubSección]),ROW(Leccion[SubSección]))),ROW(DW16))),"")</f>
        <v/>
      </c>
      <c r="DY17" s="51" t="str">
        <f t="array" aca="1" ref="DY17" ca="1">IFERROR(INDEX(Leccion[selectorLeccion],SMALL(IF(DY$1=Leccion[SubSección],MATCH(ROW(Leccion[SubSección]),ROW(Leccion[SubSección]))),ROW(DX16))),"")</f>
        <v/>
      </c>
      <c r="DZ17" s="51" t="str">
        <f t="array" aca="1" ref="DZ17" ca="1">IFERROR(INDEX(Leccion[selectorLeccion],SMALL(IF(DZ$1=Leccion[SubSección],MATCH(ROW(Leccion[SubSección]),ROW(Leccion[SubSección]))),ROW(DY16))),"")</f>
        <v/>
      </c>
      <c r="EA17" s="51" t="str">
        <f t="array" aca="1" ref="EA17" ca="1">IFERROR(INDEX(Leccion[selectorLeccion],SMALL(IF(EA$1=Leccion[SubSección],MATCH(ROW(Leccion[SubSección]),ROW(Leccion[SubSección]))),ROW(DZ16))),"")</f>
        <v/>
      </c>
      <c r="EB17" s="51" t="str">
        <f t="array" aca="1" ref="EB17" ca="1">IFERROR(INDEX(Leccion[selectorLeccion],SMALL(IF(EB$1=Leccion[SubSección],MATCH(ROW(Leccion[SubSección]),ROW(Leccion[SubSección]))),ROW(EA16))),"")</f>
        <v/>
      </c>
      <c r="EC17" s="51" t="str">
        <f t="array" aca="1" ref="EC17" ca="1">IFERROR(INDEX(Leccion[selectorLeccion],SMALL(IF(EC$1=Leccion[SubSección],MATCH(ROW(Leccion[SubSección]),ROW(Leccion[SubSección]))),ROW(EB16))),"")</f>
        <v/>
      </c>
      <c r="ED17" s="51" t="str">
        <f t="array" aca="1" ref="ED17" ca="1">IFERROR(INDEX(Leccion[selectorLeccion],SMALL(IF(ED$1=Leccion[SubSección],MATCH(ROW(Leccion[SubSección]),ROW(Leccion[SubSección]))),ROW(EC16))),"")</f>
        <v/>
      </c>
      <c r="EE17" s="51" t="str">
        <f t="array" aca="1" ref="EE17" ca="1">IFERROR(INDEX(Leccion[selectorLeccion],SMALL(IF(EE$1=Leccion[SubSección],MATCH(ROW(Leccion[SubSección]),ROW(Leccion[SubSección]))),ROW(ED16))),"")</f>
        <v/>
      </c>
      <c r="EF17" s="51" t="str">
        <f t="array" aca="1" ref="EF17" ca="1">IFERROR(INDEX(Leccion[selectorLeccion],SMALL(IF(EF$1=Leccion[SubSección],MATCH(ROW(Leccion[SubSección]),ROW(Leccion[SubSección]))),ROW(EE16))),"")</f>
        <v/>
      </c>
      <c r="EG17" s="51" t="str">
        <f t="array" aca="1" ref="EG17" ca="1">IFERROR(INDEX(Leccion[selectorLeccion],SMALL(IF(EG$1=Leccion[SubSección],MATCH(ROW(Leccion[SubSección]),ROW(Leccion[SubSección]))),ROW(EF16))),"")</f>
        <v/>
      </c>
      <c r="EH17" s="51" t="str">
        <f t="array" aca="1" ref="EH17" ca="1">IFERROR(INDEX(Leccion[selectorLeccion],SMALL(IF(EH$1=Leccion[SubSección],MATCH(ROW(Leccion[SubSección]),ROW(Leccion[SubSección]))),ROW(EG16))),"")</f>
        <v/>
      </c>
      <c r="EI17" s="51" t="str">
        <f t="array" aca="1" ref="EI17" ca="1">IFERROR(INDEX(Leccion[selectorLeccion],SMALL(IF(EI$1=Leccion[SubSección],MATCH(ROW(Leccion[SubSección]),ROW(Leccion[SubSección]))),ROW(EH16))),"")</f>
        <v/>
      </c>
      <c r="EJ17" s="51" t="str">
        <f t="array" aca="1" ref="EJ17" ca="1">IFERROR(INDEX(Leccion[selectorLeccion],SMALL(IF(EJ$1=Leccion[SubSección],MATCH(ROW(Leccion[SubSección]),ROW(Leccion[SubSección]))),ROW(EI16))),"")</f>
        <v/>
      </c>
      <c r="EK17" s="51" t="str">
        <f t="array" aca="1" ref="EK17" ca="1">IFERROR(INDEX(Leccion[selectorLeccion],SMALL(IF(EK$1=Leccion[SubSección],MATCH(ROW(Leccion[SubSección]),ROW(Leccion[SubSección]))),ROW(EJ16))),"")</f>
        <v/>
      </c>
      <c r="EL17" s="51" t="str">
        <f t="array" aca="1" ref="EL17" ca="1">IFERROR(INDEX(Leccion[selectorLeccion],SMALL(IF(EL$1=Leccion[SubSección],MATCH(ROW(Leccion[SubSección]),ROW(Leccion[SubSección]))),ROW(EK16))),"")</f>
        <v/>
      </c>
      <c r="EM17" s="51" t="str">
        <f t="array" aca="1" ref="EM17" ca="1">IFERROR(INDEX(Leccion[selectorLeccion],SMALL(IF(EM$1=Leccion[SubSección],MATCH(ROW(Leccion[SubSección]),ROW(Leccion[SubSección]))),ROW(EL16))),"")</f>
        <v/>
      </c>
      <c r="EN17" s="51" t="str">
        <f t="array" aca="1" ref="EN17" ca="1">IFERROR(INDEX(Leccion[selectorLeccion],SMALL(IF(EN$1=Leccion[SubSección],MATCH(ROW(Leccion[SubSección]),ROW(Leccion[SubSección]))),ROW(EM16))),"")</f>
        <v/>
      </c>
      <c r="EO17" s="51" t="str">
        <f t="array" aca="1" ref="EO17" ca="1">IFERROR(INDEX(Leccion[selectorLeccion],SMALL(IF(EO$1=Leccion[SubSección],MATCH(ROW(Leccion[SubSección]),ROW(Leccion[SubSección]))),ROW(EN16))),"")</f>
        <v/>
      </c>
      <c r="EP17" s="51" t="str">
        <f t="array" aca="1" ref="EP17" ca="1">IFERROR(INDEX(Leccion[selectorLeccion],SMALL(IF(EP$1=Leccion[SubSección],MATCH(ROW(Leccion[SubSección]),ROW(Leccion[SubSección]))),ROW(EO16))),"")</f>
        <v/>
      </c>
      <c r="EQ17" s="51" t="str">
        <f t="array" aca="1" ref="EQ17" ca="1">IFERROR(INDEX(Leccion[selectorLeccion],SMALL(IF(EQ$1=Leccion[SubSección],MATCH(ROW(Leccion[SubSección]),ROW(Leccion[SubSección]))),ROW(EP16))),"")</f>
        <v/>
      </c>
      <c r="ER17" s="51" t="str">
        <f t="array" aca="1" ref="ER17" ca="1">IFERROR(INDEX(Leccion[selectorLeccion],SMALL(IF(ER$1=Leccion[SubSección],MATCH(ROW(Leccion[SubSección]),ROW(Leccion[SubSección]))),ROW(EQ16))),"")</f>
        <v/>
      </c>
      <c r="ES17" s="51" t="str">
        <f t="array" aca="1" ref="ES17" ca="1">IFERROR(INDEX(Leccion[selectorLeccion],SMALL(IF(ES$1=Leccion[SubSección],MATCH(ROW(Leccion[SubSección]),ROW(Leccion[SubSección]))),ROW(ER16))),"")</f>
        <v/>
      </c>
      <c r="ET17" s="51" t="str">
        <f t="array" aca="1" ref="ET17" ca="1">IFERROR(INDEX(Leccion[selectorLeccion],SMALL(IF(ET$1=Leccion[SubSección],MATCH(ROW(Leccion[SubSección]),ROW(Leccion[SubSección]))),ROW(ES16))),"")</f>
        <v/>
      </c>
      <c r="EU17" s="51" t="str">
        <f t="array" aca="1" ref="EU17" ca="1">IFERROR(INDEX(Leccion[selectorLeccion],SMALL(IF(EU$1=Leccion[SubSección],MATCH(ROW(Leccion[SubSección]),ROW(Leccion[SubSección]))),ROW(ET16))),"")</f>
        <v/>
      </c>
      <c r="EV17" s="51" t="str">
        <f t="array" aca="1" ref="EV17" ca="1">IFERROR(INDEX(Leccion[selectorLeccion],SMALL(IF(EV$1=Leccion[SubSección],MATCH(ROW(Leccion[SubSección]),ROW(Leccion[SubSección]))),ROW(EU16))),"")</f>
        <v/>
      </c>
      <c r="EW17" s="51" t="str">
        <f t="array" aca="1" ref="EW17" ca="1">IFERROR(INDEX(Leccion[selectorLeccion],SMALL(IF(EW$1=Leccion[SubSección],MATCH(ROW(Leccion[SubSección]),ROW(Leccion[SubSección]))),ROW(EV16))),"")</f>
        <v/>
      </c>
      <c r="EX17" s="51" t="str">
        <f t="array" aca="1" ref="EX17" ca="1">IFERROR(INDEX(Leccion[selectorLeccion],SMALL(IF(EX$1=Leccion[SubSección],MATCH(ROW(Leccion[SubSección]),ROW(Leccion[SubSección]))),ROW(EW16))),"")</f>
        <v/>
      </c>
      <c r="EY17" s="51" t="str">
        <f t="array" aca="1" ref="EY17" ca="1">IFERROR(INDEX(Leccion[selectorLeccion],SMALL(IF(EY$1=Leccion[SubSección],MATCH(ROW(Leccion[SubSección]),ROW(Leccion[SubSección]))),ROW(EX16))),"")</f>
        <v/>
      </c>
      <c r="EZ17" s="51" t="str">
        <f t="array" aca="1" ref="EZ17" ca="1">IFERROR(INDEX(Leccion[selectorLeccion],SMALL(IF(EZ$1=Leccion[SubSección],MATCH(ROW(Leccion[SubSección]),ROW(Leccion[SubSección]))),ROW(EY16))),"")</f>
        <v/>
      </c>
    </row>
    <row r="18" spans="2:156" x14ac:dyDescent="0.3">
      <c r="B18" s="51" t="str">
        <f t="array" aca="1" ref="B18" ca="1">IFERROR(INDEX(Leccion[selectorLeccion],SMALL(IF(B$1=Leccion[SubSección],MATCH(ROW(Leccion[SubSección]),ROW(Leccion[SubSección]))),ROW(A17))),"")</f>
        <v/>
      </c>
      <c r="C18" s="51" t="str">
        <f t="array" aca="1" ref="C18" ca="1">IFERROR(INDEX(Leccion[selectorLeccion],SMALL(IF(C$1=Leccion[SubSección],MATCH(ROW(Leccion[SubSección]),ROW(Leccion[SubSección]))),ROW(B17))),"")</f>
        <v/>
      </c>
      <c r="D18" s="51" t="str">
        <f t="array" aca="1" ref="D18" ca="1">IFERROR(INDEX(Leccion[selectorLeccion],SMALL(IF(D$1=Leccion[SubSección],MATCH(ROW(Leccion[SubSección]),ROW(Leccion[SubSección]))),ROW(C17))),"")</f>
        <v/>
      </c>
      <c r="E18" s="51" t="str">
        <f t="array" aca="1" ref="E18" ca="1">IFERROR(INDEX(Leccion[selectorLeccion],SMALL(IF(E$1=Leccion[SubSección],MATCH(ROW(Leccion[SubSección]),ROW(Leccion[SubSección]))),ROW(D17))),"")</f>
        <v/>
      </c>
      <c r="F18" s="51" t="str">
        <f t="array" aca="1" ref="F18" ca="1">IFERROR(INDEX(Leccion[selectorLeccion],SMALL(IF(F$1=Leccion[SubSección],MATCH(ROW(Leccion[SubSección]),ROW(Leccion[SubSección]))),ROW(E17))),"")</f>
        <v/>
      </c>
      <c r="G18" s="51" t="str">
        <f t="array" aca="1" ref="G18" ca="1">IFERROR(INDEX(Leccion[selectorLeccion],SMALL(IF(G$1=Leccion[SubSección],MATCH(ROW(Leccion[SubSección]),ROW(Leccion[SubSección]))),ROW(F17))),"")</f>
        <v/>
      </c>
      <c r="H18" s="51" t="str">
        <f t="array" aca="1" ref="H18" ca="1">IFERROR(INDEX(Leccion[selectorLeccion],SMALL(IF(H$1=Leccion[SubSección],MATCH(ROW(Leccion[SubSección]),ROW(Leccion[SubSección]))),ROW(G17))),"")</f>
        <v/>
      </c>
      <c r="I18" s="51" t="str">
        <f t="array" aca="1" ref="I18" ca="1">IFERROR(INDEX(Leccion[selectorLeccion],SMALL(IF(I$1=Leccion[SubSección],MATCH(ROW(Leccion[SubSección]),ROW(Leccion[SubSección]))),ROW(H17))),"")</f>
        <v/>
      </c>
      <c r="J18" s="51" t="str">
        <f t="array" aca="1" ref="J18" ca="1">IFERROR(INDEX(Leccion[selectorLeccion],SMALL(IF(J$1=Leccion[SubSección],MATCH(ROW(Leccion[SubSección]),ROW(Leccion[SubSección]))),ROW(I17))),"")</f>
        <v/>
      </c>
      <c r="K18" s="51" t="str">
        <f t="array" aca="1" ref="K18" ca="1">IFERROR(INDEX(Leccion[selectorLeccion],SMALL(IF(K$1=Leccion[SubSección],MATCH(ROW(Leccion[SubSección]),ROW(Leccion[SubSección]))),ROW(J17))),"")</f>
        <v/>
      </c>
      <c r="L18" s="51" t="str">
        <f t="array" aca="1" ref="L18" ca="1">IFERROR(INDEX(Leccion[selectorLeccion],SMALL(IF(L$1=Leccion[SubSección],MATCH(ROW(Leccion[SubSección]),ROW(Leccion[SubSección]))),ROW(K17))),"")</f>
        <v/>
      </c>
      <c r="M18" s="51" t="str">
        <f t="array" aca="1" ref="M18" ca="1">IFERROR(INDEX(Leccion[selectorLeccion],SMALL(IF(M$1=Leccion[SubSección],MATCH(ROW(Leccion[SubSección]),ROW(Leccion[SubSección]))),ROW(L17))),"")</f>
        <v/>
      </c>
      <c r="N18" s="51" t="str">
        <f t="array" aca="1" ref="N18" ca="1">IFERROR(INDEX(Leccion[selectorLeccion],SMALL(IF(N$1=Leccion[SubSección],MATCH(ROW(Leccion[SubSección]),ROW(Leccion[SubSección]))),ROW(M17))),"")</f>
        <v/>
      </c>
      <c r="O18" s="51" t="str">
        <f t="array" aca="1" ref="O18" ca="1">IFERROR(INDEX(Leccion[selectorLeccion],SMALL(IF(O$1=Leccion[SubSección],MATCH(ROW(Leccion[SubSección]),ROW(Leccion[SubSección]))),ROW(N17))),"")</f>
        <v/>
      </c>
      <c r="P18" s="51" t="str">
        <f t="array" aca="1" ref="P18" ca="1">IFERROR(INDEX(Leccion[selectorLeccion],SMALL(IF(P$1=Leccion[SubSección],MATCH(ROW(Leccion[SubSección]),ROW(Leccion[SubSección]))),ROW(O17))),"")</f>
        <v/>
      </c>
      <c r="Q18" s="51" t="str">
        <f t="array" aca="1" ref="Q18" ca="1">IFERROR(INDEX(Leccion[selectorLeccion],SMALL(IF(Q$1=Leccion[SubSección],MATCH(ROW(Leccion[SubSección]),ROW(Leccion[SubSección]))),ROW(P17))),"")</f>
        <v/>
      </c>
      <c r="R18" s="51" t="str">
        <f t="array" aca="1" ref="R18" ca="1">IFERROR(INDEX(Leccion[selectorLeccion],SMALL(IF(R$1=Leccion[SubSección],MATCH(ROW(Leccion[SubSección]),ROW(Leccion[SubSección]))),ROW(Q17))),"")</f>
        <v/>
      </c>
      <c r="S18" s="51" t="str">
        <f t="array" aca="1" ref="S18" ca="1">IFERROR(INDEX(Leccion[selectorLeccion],SMALL(IF(S$1=Leccion[SubSección],MATCH(ROW(Leccion[SubSección]),ROW(Leccion[SubSección]))),ROW(R17))),"")</f>
        <v/>
      </c>
      <c r="T18" s="51" t="str">
        <f t="array" aca="1" ref="T18" ca="1">IFERROR(INDEX(Leccion[selectorLeccion],SMALL(IF(T$1=Leccion[SubSección],MATCH(ROW(Leccion[SubSección]),ROW(Leccion[SubSección]))),ROW(S17))),"")</f>
        <v/>
      </c>
      <c r="U18" s="51" t="str">
        <f t="array" aca="1" ref="U18" ca="1">IFERROR(INDEX(Leccion[selectorLeccion],SMALL(IF(U$1=Leccion[SubSección],MATCH(ROW(Leccion[SubSección]),ROW(Leccion[SubSección]))),ROW(T17))),"")</f>
        <v/>
      </c>
      <c r="V18" s="51" t="str">
        <f t="array" aca="1" ref="V18" ca="1">IFERROR(INDEX(Leccion[selectorLeccion],SMALL(IF(V$1=Leccion[SubSección],MATCH(ROW(Leccion[SubSección]),ROW(Leccion[SubSección]))),ROW(U17))),"")</f>
        <v/>
      </c>
      <c r="W18" s="51" t="str">
        <f t="array" aca="1" ref="W18" ca="1">IFERROR(INDEX(Leccion[selectorLeccion],SMALL(IF(W$1=Leccion[SubSección],MATCH(ROW(Leccion[SubSección]),ROW(Leccion[SubSección]))),ROW(V17))),"")</f>
        <v/>
      </c>
      <c r="X18" s="51" t="str">
        <f t="array" aca="1" ref="X18" ca="1">IFERROR(INDEX(Leccion[selectorLeccion],SMALL(IF(X$1=Leccion[SubSección],MATCH(ROW(Leccion[SubSección]),ROW(Leccion[SubSección]))),ROW(W17))),"")</f>
        <v/>
      </c>
      <c r="Y18" s="51" t="str">
        <f t="array" aca="1" ref="Y18" ca="1">IFERROR(INDEX(Leccion[selectorLeccion],SMALL(IF(Y$1=Leccion[SubSección],MATCH(ROW(Leccion[SubSección]),ROW(Leccion[SubSección]))),ROW(X17))),"")</f>
        <v/>
      </c>
      <c r="Z18" s="51" t="str">
        <f t="array" aca="1" ref="Z18" ca="1">IFERROR(INDEX(Leccion[selectorLeccion],SMALL(IF(Z$1=Leccion[SubSección],MATCH(ROW(Leccion[SubSección]),ROW(Leccion[SubSección]))),ROW(Y17))),"")</f>
        <v/>
      </c>
      <c r="AA18" s="51" t="str">
        <f t="array" aca="1" ref="AA18" ca="1">IFERROR(INDEX(Leccion[selectorLeccion],SMALL(IF(AA$1=Leccion[SubSección],MATCH(ROW(Leccion[SubSección]),ROW(Leccion[SubSección]))),ROW(Z17))),"")</f>
        <v/>
      </c>
      <c r="AB18" s="51" t="str">
        <f t="array" aca="1" ref="AB18" ca="1">IFERROR(INDEX(Leccion[selectorLeccion],SMALL(IF(AB$1=Leccion[SubSección],MATCH(ROW(Leccion[SubSección]),ROW(Leccion[SubSección]))),ROW(AA17))),"")</f>
        <v/>
      </c>
      <c r="AC18" s="51" t="str">
        <f t="array" aca="1" ref="AC18" ca="1">IFERROR(INDEX(Leccion[selectorLeccion],SMALL(IF(AC$1=Leccion[SubSección],MATCH(ROW(Leccion[SubSección]),ROW(Leccion[SubSección]))),ROW(AB17))),"")</f>
        <v/>
      </c>
      <c r="AD18" s="51" t="str">
        <f t="array" aca="1" ref="AD18" ca="1">IFERROR(INDEX(Leccion[selectorLeccion],SMALL(IF(AD$1=Leccion[SubSección],MATCH(ROW(Leccion[SubSección]),ROW(Leccion[SubSección]))),ROW(AC17))),"")</f>
        <v/>
      </c>
      <c r="AE18" s="51" t="str">
        <f t="array" aca="1" ref="AE18" ca="1">IFERROR(INDEX(Leccion[selectorLeccion],SMALL(IF(AE$1=Leccion[SubSección],MATCH(ROW(Leccion[SubSección]),ROW(Leccion[SubSección]))),ROW(AD17))),"")</f>
        <v/>
      </c>
      <c r="AF18" s="51" t="str">
        <f t="array" aca="1" ref="AF18" ca="1">IFERROR(INDEX(Leccion[selectorLeccion],SMALL(IF(AF$1=Leccion[SubSección],MATCH(ROW(Leccion[SubSección]),ROW(Leccion[SubSección]))),ROW(AE17))),"")</f>
        <v/>
      </c>
      <c r="AG18" s="51" t="str">
        <f t="array" aca="1" ref="AG18" ca="1">IFERROR(INDEX(Leccion[selectorLeccion],SMALL(IF(AG$1=Leccion[SubSección],MATCH(ROW(Leccion[SubSección]),ROW(Leccion[SubSección]))),ROW(AF17))),"")</f>
        <v/>
      </c>
      <c r="AH18" s="51" t="str">
        <f t="array" aca="1" ref="AH18" ca="1">IFERROR(INDEX(Leccion[selectorLeccion],SMALL(IF(AH$1=Leccion[SubSección],MATCH(ROW(Leccion[SubSección]),ROW(Leccion[SubSección]))),ROW(AG17))),"")</f>
        <v/>
      </c>
      <c r="AI18" s="51" t="str">
        <f t="array" aca="1" ref="AI18" ca="1">IFERROR(INDEX(Leccion[selectorLeccion],SMALL(IF(AI$1=Leccion[SubSección],MATCH(ROW(Leccion[SubSección]),ROW(Leccion[SubSección]))),ROW(AH17))),"")</f>
        <v/>
      </c>
      <c r="AJ18" s="51" t="str">
        <f t="array" aca="1" ref="AJ18" ca="1">IFERROR(INDEX(Leccion[selectorLeccion],SMALL(IF(AJ$1=Leccion[SubSección],MATCH(ROW(Leccion[SubSección]),ROW(Leccion[SubSección]))),ROW(AI17))),"")</f>
        <v/>
      </c>
      <c r="AK18" s="51" t="str">
        <f t="array" aca="1" ref="AK18" ca="1">IFERROR(INDEX(Leccion[selectorLeccion],SMALL(IF(AK$1=Leccion[SubSección],MATCH(ROW(Leccion[SubSección]),ROW(Leccion[SubSección]))),ROW(AJ17))),"")</f>
        <v/>
      </c>
      <c r="AL18" s="51" t="str">
        <f t="array" aca="1" ref="AL18" ca="1">IFERROR(INDEX(Leccion[selectorLeccion],SMALL(IF(AL$1=Leccion[SubSección],MATCH(ROW(Leccion[SubSección]),ROW(Leccion[SubSección]))),ROW(AK17))),"")</f>
        <v/>
      </c>
      <c r="AM18" s="51" t="str">
        <f t="array" aca="1" ref="AM18" ca="1">IFERROR(INDEX(Leccion[selectorLeccion],SMALL(IF(AM$1=Leccion[SubSección],MATCH(ROW(Leccion[SubSección]),ROW(Leccion[SubSección]))),ROW(AL17))),"")</f>
        <v/>
      </c>
      <c r="AN18" s="51" t="str">
        <f t="array" aca="1" ref="AN18" ca="1">IFERROR(INDEX(Leccion[selectorLeccion],SMALL(IF(AN$1=Leccion[SubSección],MATCH(ROW(Leccion[SubSección]),ROW(Leccion[SubSección]))),ROW(AM17))),"")</f>
        <v/>
      </c>
      <c r="AO18" s="51" t="str">
        <f t="array" aca="1" ref="AO18" ca="1">IFERROR(INDEX(Leccion[selectorLeccion],SMALL(IF(AO$1=Leccion[SubSección],MATCH(ROW(Leccion[SubSección]),ROW(Leccion[SubSección]))),ROW(AN17))),"")</f>
        <v/>
      </c>
      <c r="AP18" s="51" t="str">
        <f t="array" aca="1" ref="AP18" ca="1">IFERROR(INDEX(Leccion[selectorLeccion],SMALL(IF(AP$1=Leccion[SubSección],MATCH(ROW(Leccion[SubSección]),ROW(Leccion[SubSección]))),ROW(AO17))),"")</f>
        <v/>
      </c>
      <c r="AQ18" s="51" t="str">
        <f t="array" aca="1" ref="AQ18" ca="1">IFERROR(INDEX(Leccion[selectorLeccion],SMALL(IF(AQ$1=Leccion[SubSección],MATCH(ROW(Leccion[SubSección]),ROW(Leccion[SubSección]))),ROW(AP17))),"")</f>
        <v/>
      </c>
      <c r="AR18" s="51" t="str">
        <f t="array" aca="1" ref="AR18" ca="1">IFERROR(INDEX(Leccion[selectorLeccion],SMALL(IF(AR$1=Leccion[SubSección],MATCH(ROW(Leccion[SubSección]),ROW(Leccion[SubSección]))),ROW(AQ17))),"")</f>
        <v/>
      </c>
      <c r="AS18" s="51" t="str">
        <f t="array" aca="1" ref="AS18" ca="1">IFERROR(INDEX(Leccion[selectorLeccion],SMALL(IF(AS$1=Leccion[SubSección],MATCH(ROW(Leccion[SubSección]),ROW(Leccion[SubSección]))),ROW(AR17))),"")</f>
        <v/>
      </c>
      <c r="AT18" s="51" t="str">
        <f t="array" aca="1" ref="AT18" ca="1">IFERROR(INDEX(Leccion[selectorLeccion],SMALL(IF(AT$1=Leccion[SubSección],MATCH(ROW(Leccion[SubSección]),ROW(Leccion[SubSección]))),ROW(AS17))),"")</f>
        <v/>
      </c>
      <c r="AU18" s="51" t="str">
        <f t="array" aca="1" ref="AU18" ca="1">IFERROR(INDEX(Leccion[selectorLeccion],SMALL(IF(AU$1=Leccion[SubSección],MATCH(ROW(Leccion[SubSección]),ROW(Leccion[SubSección]))),ROW(AT17))),"")</f>
        <v/>
      </c>
      <c r="AV18" s="51" t="str">
        <f t="array" aca="1" ref="AV18" ca="1">IFERROR(INDEX(Leccion[selectorLeccion],SMALL(IF(AV$1=Leccion[SubSección],MATCH(ROW(Leccion[SubSección]),ROW(Leccion[SubSección]))),ROW(AU17))),"")</f>
        <v/>
      </c>
      <c r="AW18" s="51" t="str">
        <f t="array" aca="1" ref="AW18" ca="1">IFERROR(INDEX(Leccion[selectorLeccion],SMALL(IF(AW$1=Leccion[SubSección],MATCH(ROW(Leccion[SubSección]),ROW(Leccion[SubSección]))),ROW(AV17))),"")</f>
        <v/>
      </c>
      <c r="AX18" s="51" t="str">
        <f t="array" aca="1" ref="AX18" ca="1">IFERROR(INDEX(Leccion[selectorLeccion],SMALL(IF(AX$1=Leccion[SubSección],MATCH(ROW(Leccion[SubSección]),ROW(Leccion[SubSección]))),ROW(AW17))),"")</f>
        <v/>
      </c>
      <c r="AY18" s="51" t="str">
        <f t="array" aca="1" ref="AY18" ca="1">IFERROR(INDEX(Leccion[selectorLeccion],SMALL(IF(AY$1=Leccion[SubSección],MATCH(ROW(Leccion[SubSección]),ROW(Leccion[SubSección]))),ROW(AX17))),"")</f>
        <v/>
      </c>
      <c r="AZ18" s="51" t="str">
        <f t="array" aca="1" ref="AZ18" ca="1">IFERROR(INDEX(Leccion[selectorLeccion],SMALL(IF(AZ$1=Leccion[SubSección],MATCH(ROW(Leccion[SubSección]),ROW(Leccion[SubSección]))),ROW(AY17))),"")</f>
        <v/>
      </c>
      <c r="BA18" s="51" t="str">
        <f t="array" aca="1" ref="BA18" ca="1">IFERROR(INDEX(Leccion[selectorLeccion],SMALL(IF(BA$1=Leccion[SubSección],MATCH(ROW(Leccion[SubSección]),ROW(Leccion[SubSección]))),ROW(AZ17))),"")</f>
        <v/>
      </c>
      <c r="BB18" s="51" t="str">
        <f t="array" aca="1" ref="BB18" ca="1">IFERROR(INDEX(Leccion[selectorLeccion],SMALL(IF(BB$1=Leccion[SubSección],MATCH(ROW(Leccion[SubSección]),ROW(Leccion[SubSección]))),ROW(BA17))),"")</f>
        <v/>
      </c>
      <c r="BC18" s="51" t="str">
        <f t="array" aca="1" ref="BC18" ca="1">IFERROR(INDEX(Leccion[selectorLeccion],SMALL(IF(BC$1=Leccion[SubSección],MATCH(ROW(Leccion[SubSección]),ROW(Leccion[SubSección]))),ROW(BB17))),"")</f>
        <v/>
      </c>
      <c r="BD18" s="51" t="str">
        <f t="array" aca="1" ref="BD18" ca="1">IFERROR(INDEX(Leccion[selectorLeccion],SMALL(IF(BD$1=Leccion[SubSección],MATCH(ROW(Leccion[SubSección]),ROW(Leccion[SubSección]))),ROW(BC17))),"")</f>
        <v/>
      </c>
      <c r="BE18" s="51" t="str">
        <f t="array" aca="1" ref="BE18" ca="1">IFERROR(INDEX(Leccion[selectorLeccion],SMALL(IF(BE$1=Leccion[SubSección],MATCH(ROW(Leccion[SubSección]),ROW(Leccion[SubSección]))),ROW(BD17))),"")</f>
        <v/>
      </c>
      <c r="BF18" s="51" t="str">
        <f t="array" aca="1" ref="BF18" ca="1">IFERROR(INDEX(Leccion[selectorLeccion],SMALL(IF(BF$1=Leccion[SubSección],MATCH(ROW(Leccion[SubSección]),ROW(Leccion[SubSección]))),ROW(BE17))),"")</f>
        <v/>
      </c>
      <c r="BG18" s="51" t="str">
        <f t="array" aca="1" ref="BG18" ca="1">IFERROR(INDEX(Leccion[selectorLeccion],SMALL(IF(BG$1=Leccion[SubSección],MATCH(ROW(Leccion[SubSección]),ROW(Leccion[SubSección]))),ROW(BF17))),"")</f>
        <v/>
      </c>
      <c r="BH18" s="51" t="str">
        <f t="array" aca="1" ref="BH18" ca="1">IFERROR(INDEX(Leccion[selectorLeccion],SMALL(IF(BH$1=Leccion[SubSección],MATCH(ROW(Leccion[SubSección]),ROW(Leccion[SubSección]))),ROW(BG17))),"")</f>
        <v/>
      </c>
      <c r="BI18" s="51" t="str">
        <f t="array" aca="1" ref="BI18" ca="1">IFERROR(INDEX(Leccion[selectorLeccion],SMALL(IF(BI$1=Leccion[SubSección],MATCH(ROW(Leccion[SubSección]),ROW(Leccion[SubSección]))),ROW(BH17))),"")</f>
        <v/>
      </c>
      <c r="BJ18" s="51" t="str">
        <f t="array" aca="1" ref="BJ18" ca="1">IFERROR(INDEX(Leccion[selectorLeccion],SMALL(IF(BJ$1=Leccion[SubSección],MATCH(ROW(Leccion[SubSección]),ROW(Leccion[SubSección]))),ROW(BI17))),"")</f>
        <v/>
      </c>
      <c r="BK18" s="51" t="str">
        <f t="array" aca="1" ref="BK18" ca="1">IFERROR(INDEX(Leccion[selectorLeccion],SMALL(IF(BK$1=Leccion[SubSección],MATCH(ROW(Leccion[SubSección]),ROW(Leccion[SubSección]))),ROW(BJ17))),"")</f>
        <v/>
      </c>
      <c r="BL18" s="51" t="str">
        <f t="array" aca="1" ref="BL18" ca="1">IFERROR(INDEX(Leccion[selectorLeccion],SMALL(IF(BL$1=Leccion[SubSección],MATCH(ROW(Leccion[SubSección]),ROW(Leccion[SubSección]))),ROW(BK17))),"")</f>
        <v/>
      </c>
      <c r="BM18" s="51" t="str">
        <f t="array" aca="1" ref="BM18" ca="1">IFERROR(INDEX(Leccion[selectorLeccion],SMALL(IF(BM$1=Leccion[SubSección],MATCH(ROW(Leccion[SubSección]),ROW(Leccion[SubSección]))),ROW(BL17))),"")</f>
        <v/>
      </c>
      <c r="BN18" s="51" t="str">
        <f t="array" aca="1" ref="BN18" ca="1">IFERROR(INDEX(Leccion[selectorLeccion],SMALL(IF(BN$1=Leccion[SubSección],MATCH(ROW(Leccion[SubSección]),ROW(Leccion[SubSección]))),ROW(BM17))),"")</f>
        <v/>
      </c>
      <c r="BO18" s="51" t="str">
        <f t="array" aca="1" ref="BO18" ca="1">IFERROR(INDEX(Leccion[selectorLeccion],SMALL(IF(BO$1=Leccion[SubSección],MATCH(ROW(Leccion[SubSección]),ROW(Leccion[SubSección]))),ROW(BN17))),"")</f>
        <v/>
      </c>
      <c r="BP18" s="51" t="str">
        <f t="array" aca="1" ref="BP18" ca="1">IFERROR(INDEX(Leccion[selectorLeccion],SMALL(IF(BP$1=Leccion[SubSección],MATCH(ROW(Leccion[SubSección]),ROW(Leccion[SubSección]))),ROW(BO17))),"")</f>
        <v/>
      </c>
      <c r="BQ18" s="51" t="str">
        <f t="array" aca="1" ref="BQ18" ca="1">IFERROR(INDEX(Leccion[selectorLeccion],SMALL(IF(BQ$1=Leccion[SubSección],MATCH(ROW(Leccion[SubSección]),ROW(Leccion[SubSección]))),ROW(BP17))),"")</f>
        <v/>
      </c>
      <c r="BR18" s="51" t="str">
        <f t="array" aca="1" ref="BR18" ca="1">IFERROR(INDEX(Leccion[selectorLeccion],SMALL(IF(BR$1=Leccion[SubSección],MATCH(ROW(Leccion[SubSección]),ROW(Leccion[SubSección]))),ROW(BQ17))),"")</f>
        <v/>
      </c>
      <c r="BS18" s="51" t="str">
        <f t="array" aca="1" ref="BS18" ca="1">IFERROR(INDEX(Leccion[selectorLeccion],SMALL(IF(BS$1=Leccion[SubSección],MATCH(ROW(Leccion[SubSección]),ROW(Leccion[SubSección]))),ROW(BR17))),"")</f>
        <v/>
      </c>
      <c r="BT18" s="51" t="str">
        <f t="array" aca="1" ref="BT18" ca="1">IFERROR(INDEX(Leccion[selectorLeccion],SMALL(IF(BT$1=Leccion[SubSección],MATCH(ROW(Leccion[SubSección]),ROW(Leccion[SubSección]))),ROW(BS17))),"")</f>
        <v/>
      </c>
      <c r="BU18" s="51" t="str">
        <f t="array" aca="1" ref="BU18" ca="1">IFERROR(INDEX(Leccion[selectorLeccion],SMALL(IF(BU$1=Leccion[SubSección],MATCH(ROW(Leccion[SubSección]),ROW(Leccion[SubSección]))),ROW(BT17))),"")</f>
        <v/>
      </c>
      <c r="BV18" s="51" t="str">
        <f t="array" aca="1" ref="BV18" ca="1">IFERROR(INDEX(Leccion[selectorLeccion],SMALL(IF(BV$1=Leccion[SubSección],MATCH(ROW(Leccion[SubSección]),ROW(Leccion[SubSección]))),ROW(BU17))),"")</f>
        <v/>
      </c>
      <c r="BW18" s="51" t="str">
        <f t="array" aca="1" ref="BW18" ca="1">IFERROR(INDEX(Leccion[selectorLeccion],SMALL(IF(BW$1=Leccion[SubSección],MATCH(ROW(Leccion[SubSección]),ROW(Leccion[SubSección]))),ROW(BV17))),"")</f>
        <v/>
      </c>
      <c r="BX18" s="51" t="str">
        <f t="array" aca="1" ref="BX18" ca="1">IFERROR(INDEX(Leccion[selectorLeccion],SMALL(IF(BX$1=Leccion[SubSección],MATCH(ROW(Leccion[SubSección]),ROW(Leccion[SubSección]))),ROW(BW17))),"")</f>
        <v/>
      </c>
      <c r="BY18" s="51" t="str">
        <f t="array" aca="1" ref="BY18" ca="1">IFERROR(INDEX(Leccion[selectorLeccion],SMALL(IF(BY$1=Leccion[SubSección],MATCH(ROW(Leccion[SubSección]),ROW(Leccion[SubSección]))),ROW(BX17))),"")</f>
        <v/>
      </c>
      <c r="BZ18" s="51" t="str">
        <f t="array" aca="1" ref="BZ18" ca="1">IFERROR(INDEX(Leccion[selectorLeccion],SMALL(IF(BZ$1=Leccion[SubSección],MATCH(ROW(Leccion[SubSección]),ROW(Leccion[SubSección]))),ROW(BY17))),"")</f>
        <v/>
      </c>
      <c r="CA18" s="51" t="str">
        <f t="array" aca="1" ref="CA18" ca="1">IFERROR(INDEX(Leccion[selectorLeccion],SMALL(IF(CA$1=Leccion[SubSección],MATCH(ROW(Leccion[SubSección]),ROW(Leccion[SubSección]))),ROW(BZ17))),"")</f>
        <v/>
      </c>
      <c r="CB18" s="51" t="str">
        <f t="array" aca="1" ref="CB18" ca="1">IFERROR(INDEX(Leccion[selectorLeccion],SMALL(IF(CB$1=Leccion[SubSección],MATCH(ROW(Leccion[SubSección]),ROW(Leccion[SubSección]))),ROW(CA17))),"")</f>
        <v/>
      </c>
      <c r="CC18" s="51" t="str">
        <f t="array" aca="1" ref="CC18" ca="1">IFERROR(INDEX(Leccion[selectorLeccion],SMALL(IF(CC$1=Leccion[SubSección],MATCH(ROW(Leccion[SubSección]),ROW(Leccion[SubSección]))),ROW(CB17))),"")</f>
        <v/>
      </c>
      <c r="CD18" s="51" t="str">
        <f t="array" aca="1" ref="CD18" ca="1">IFERROR(INDEX(Leccion[selectorLeccion],SMALL(IF(CD$1=Leccion[SubSección],MATCH(ROW(Leccion[SubSección]),ROW(Leccion[SubSección]))),ROW(CC17))),"")</f>
        <v/>
      </c>
      <c r="CE18" s="51" t="str">
        <f t="array" aca="1" ref="CE18" ca="1">IFERROR(INDEX(Leccion[selectorLeccion],SMALL(IF(CE$1=Leccion[SubSección],MATCH(ROW(Leccion[SubSección]),ROW(Leccion[SubSección]))),ROW(CD17))),"")</f>
        <v/>
      </c>
      <c r="CF18" s="51" t="str">
        <f t="array" aca="1" ref="CF18" ca="1">IFERROR(INDEX(Leccion[selectorLeccion],SMALL(IF(CF$1=Leccion[SubSección],MATCH(ROW(Leccion[SubSección]),ROW(Leccion[SubSección]))),ROW(CE17))),"")</f>
        <v/>
      </c>
      <c r="CG18" s="51" t="str">
        <f t="array" aca="1" ref="CG18" ca="1">IFERROR(INDEX(Leccion[selectorLeccion],SMALL(IF(CG$1=Leccion[SubSección],MATCH(ROW(Leccion[SubSección]),ROW(Leccion[SubSección]))),ROW(CF17))),"")</f>
        <v/>
      </c>
      <c r="CH18" s="51" t="str">
        <f t="array" aca="1" ref="CH18" ca="1">IFERROR(INDEX(Leccion[selectorLeccion],SMALL(IF(CH$1=Leccion[SubSección],MATCH(ROW(Leccion[SubSección]),ROW(Leccion[SubSección]))),ROW(CG17))),"")</f>
        <v/>
      </c>
      <c r="CI18" s="51" t="str">
        <f t="array" aca="1" ref="CI18" ca="1">IFERROR(INDEX(Leccion[selectorLeccion],SMALL(IF(CI$1=Leccion[SubSección],MATCH(ROW(Leccion[SubSección]),ROW(Leccion[SubSección]))),ROW(CH17))),"")</f>
        <v/>
      </c>
      <c r="CJ18" s="51" t="str">
        <f t="array" aca="1" ref="CJ18" ca="1">IFERROR(INDEX(Leccion[selectorLeccion],SMALL(IF(CJ$1=Leccion[SubSección],MATCH(ROW(Leccion[SubSección]),ROW(Leccion[SubSección]))),ROW(CI17))),"")</f>
        <v/>
      </c>
      <c r="CK18" s="51" t="str">
        <f t="array" aca="1" ref="CK18" ca="1">IFERROR(INDEX(Leccion[selectorLeccion],SMALL(IF(CK$1=Leccion[SubSección],MATCH(ROW(Leccion[SubSección]),ROW(Leccion[SubSección]))),ROW(CJ17))),"")</f>
        <v/>
      </c>
      <c r="CL18" s="51" t="str">
        <f t="array" aca="1" ref="CL18" ca="1">IFERROR(INDEX(Leccion[selectorLeccion],SMALL(IF(CL$1=Leccion[SubSección],MATCH(ROW(Leccion[SubSección]),ROW(Leccion[SubSección]))),ROW(CK17))),"")</f>
        <v/>
      </c>
      <c r="CM18" s="51" t="str">
        <f t="array" aca="1" ref="CM18" ca="1">IFERROR(INDEX(Leccion[selectorLeccion],SMALL(IF(CM$1=Leccion[SubSección],MATCH(ROW(Leccion[SubSección]),ROW(Leccion[SubSección]))),ROW(CL17))),"")</f>
        <v/>
      </c>
      <c r="CN18" s="51" t="str">
        <f t="array" aca="1" ref="CN18" ca="1">IFERROR(INDEX(Leccion[selectorLeccion],SMALL(IF(CN$1=Leccion[SubSección],MATCH(ROW(Leccion[SubSección]),ROW(Leccion[SubSección]))),ROW(CM17))),"")</f>
        <v/>
      </c>
      <c r="CO18" s="51" t="str">
        <f t="array" aca="1" ref="CO18" ca="1">IFERROR(INDEX(Leccion[selectorLeccion],SMALL(IF(CO$1=Leccion[SubSección],MATCH(ROW(Leccion[SubSección]),ROW(Leccion[SubSección]))),ROW(CN17))),"")</f>
        <v/>
      </c>
      <c r="CP18" s="51" t="str">
        <f t="array" aca="1" ref="CP18" ca="1">IFERROR(INDEX(Leccion[selectorLeccion],SMALL(IF(CP$1=Leccion[SubSección],MATCH(ROW(Leccion[SubSección]),ROW(Leccion[SubSección]))),ROW(CO17))),"")</f>
        <v/>
      </c>
      <c r="CQ18" s="51" t="str">
        <f t="array" aca="1" ref="CQ18" ca="1">IFERROR(INDEX(Leccion[selectorLeccion],SMALL(IF(CQ$1=Leccion[SubSección],MATCH(ROW(Leccion[SubSección]),ROW(Leccion[SubSección]))),ROW(CP17))),"")</f>
        <v/>
      </c>
      <c r="CR18" s="51" t="str">
        <f t="array" aca="1" ref="CR18" ca="1">IFERROR(INDEX(Leccion[selectorLeccion],SMALL(IF(CR$1=Leccion[SubSección],MATCH(ROW(Leccion[SubSección]),ROW(Leccion[SubSección]))),ROW(CQ17))),"")</f>
        <v/>
      </c>
      <c r="CS18" s="51" t="str">
        <f t="array" aca="1" ref="CS18" ca="1">IFERROR(INDEX(Leccion[selectorLeccion],SMALL(IF(CS$1=Leccion[SubSección],MATCH(ROW(Leccion[SubSección]),ROW(Leccion[SubSección]))),ROW(CR17))),"")</f>
        <v/>
      </c>
      <c r="CT18" s="51" t="str">
        <f t="array" aca="1" ref="CT18" ca="1">IFERROR(INDEX(Leccion[selectorLeccion],SMALL(IF(CT$1=Leccion[SubSección],MATCH(ROW(Leccion[SubSección]),ROW(Leccion[SubSección]))),ROW(CS17))),"")</f>
        <v/>
      </c>
      <c r="CU18" s="51" t="str">
        <f t="array" aca="1" ref="CU18" ca="1">IFERROR(INDEX(Leccion[selectorLeccion],SMALL(IF(CU$1=Leccion[SubSección],MATCH(ROW(Leccion[SubSección]),ROW(Leccion[SubSección]))),ROW(CT17))),"")</f>
        <v/>
      </c>
      <c r="CV18" s="51" t="str">
        <f t="array" aca="1" ref="CV18" ca="1">IFERROR(INDEX(Leccion[selectorLeccion],SMALL(IF(CV$1=Leccion[SubSección],MATCH(ROW(Leccion[SubSección]),ROW(Leccion[SubSección]))),ROW(CU17))),"")</f>
        <v/>
      </c>
      <c r="CW18" s="51" t="str">
        <f t="array" aca="1" ref="CW18" ca="1">IFERROR(INDEX(Leccion[selectorLeccion],SMALL(IF(CW$1=Leccion[SubSección],MATCH(ROW(Leccion[SubSección]),ROW(Leccion[SubSección]))),ROW(CV17))),"")</f>
        <v/>
      </c>
      <c r="CX18" s="51" t="str">
        <f t="array" aca="1" ref="CX18" ca="1">IFERROR(INDEX(Leccion[selectorLeccion],SMALL(IF(CX$1=Leccion[SubSección],MATCH(ROW(Leccion[SubSección]),ROW(Leccion[SubSección]))),ROW(CW17))),"")</f>
        <v/>
      </c>
      <c r="CY18" s="51" t="str">
        <f t="array" aca="1" ref="CY18" ca="1">IFERROR(INDEX(Leccion[selectorLeccion],SMALL(IF(CY$1=Leccion[SubSección],MATCH(ROW(Leccion[SubSección]),ROW(Leccion[SubSección]))),ROW(CX17))),"")</f>
        <v/>
      </c>
      <c r="CZ18" s="51" t="str">
        <f t="array" aca="1" ref="CZ18" ca="1">IFERROR(INDEX(Leccion[selectorLeccion],SMALL(IF(CZ$1=Leccion[SubSección],MATCH(ROW(Leccion[SubSección]),ROW(Leccion[SubSección]))),ROW(CY17))),"")</f>
        <v/>
      </c>
      <c r="DA18" s="51" t="str">
        <f t="array" aca="1" ref="DA18" ca="1">IFERROR(INDEX(Leccion[selectorLeccion],SMALL(IF(DA$1=Leccion[SubSección],MATCH(ROW(Leccion[SubSección]),ROW(Leccion[SubSección]))),ROW(CZ17))),"")</f>
        <v/>
      </c>
      <c r="DB18" s="51" t="str">
        <f t="array" aca="1" ref="DB18" ca="1">IFERROR(INDEX(Leccion[selectorLeccion],SMALL(IF(DB$1=Leccion[SubSección],MATCH(ROW(Leccion[SubSección]),ROW(Leccion[SubSección]))),ROW(DA17))),"")</f>
        <v/>
      </c>
      <c r="DC18" s="51" t="str">
        <f t="array" aca="1" ref="DC18" ca="1">IFERROR(INDEX(Leccion[selectorLeccion],SMALL(IF(DC$1=Leccion[SubSección],MATCH(ROW(Leccion[SubSección]),ROW(Leccion[SubSección]))),ROW(DB17))),"")</f>
        <v/>
      </c>
      <c r="DD18" s="51" t="str">
        <f t="array" aca="1" ref="DD18" ca="1">IFERROR(INDEX(Leccion[selectorLeccion],SMALL(IF(DD$1=Leccion[SubSección],MATCH(ROW(Leccion[SubSección]),ROW(Leccion[SubSección]))),ROW(DC17))),"")</f>
        <v/>
      </c>
      <c r="DE18" s="51" t="str">
        <f t="array" aca="1" ref="DE18" ca="1">IFERROR(INDEX(Leccion[selectorLeccion],SMALL(IF(DE$1=Leccion[SubSección],MATCH(ROW(Leccion[SubSección]),ROW(Leccion[SubSección]))),ROW(DD17))),"")</f>
        <v/>
      </c>
      <c r="DF18" s="51" t="str">
        <f t="array" aca="1" ref="DF18" ca="1">IFERROR(INDEX(Leccion[selectorLeccion],SMALL(IF(DF$1=Leccion[SubSección],MATCH(ROW(Leccion[SubSección]),ROW(Leccion[SubSección]))),ROW(DE17))),"")</f>
        <v/>
      </c>
      <c r="DG18" s="51" t="str">
        <f t="array" aca="1" ref="DG18" ca="1">IFERROR(INDEX(Leccion[selectorLeccion],SMALL(IF(DG$1=Leccion[SubSección],MATCH(ROW(Leccion[SubSección]),ROW(Leccion[SubSección]))),ROW(DF17))),"")</f>
        <v/>
      </c>
      <c r="DH18" s="51" t="str">
        <f t="array" aca="1" ref="DH18" ca="1">IFERROR(INDEX(Leccion[selectorLeccion],SMALL(IF(DH$1=Leccion[SubSección],MATCH(ROW(Leccion[SubSección]),ROW(Leccion[SubSección]))),ROW(DG17))),"")</f>
        <v/>
      </c>
      <c r="DI18" s="51" t="str">
        <f t="array" aca="1" ref="DI18" ca="1">IFERROR(INDEX(Leccion[selectorLeccion],SMALL(IF(DI$1=Leccion[SubSección],MATCH(ROW(Leccion[SubSección]),ROW(Leccion[SubSección]))),ROW(DH17))),"")</f>
        <v/>
      </c>
      <c r="DJ18" s="51" t="str">
        <f t="array" aca="1" ref="DJ18" ca="1">IFERROR(INDEX(Leccion[selectorLeccion],SMALL(IF(DJ$1=Leccion[SubSección],MATCH(ROW(Leccion[SubSección]),ROW(Leccion[SubSección]))),ROW(DI17))),"")</f>
        <v/>
      </c>
      <c r="DK18" s="51" t="str">
        <f t="array" aca="1" ref="DK18" ca="1">IFERROR(INDEX(Leccion[selectorLeccion],SMALL(IF(DK$1=Leccion[SubSección],MATCH(ROW(Leccion[SubSección]),ROW(Leccion[SubSección]))),ROW(DJ17))),"")</f>
        <v/>
      </c>
      <c r="DL18" s="51" t="str">
        <f t="array" aca="1" ref="DL18" ca="1">IFERROR(INDEX(Leccion[selectorLeccion],SMALL(IF(DL$1=Leccion[SubSección],MATCH(ROW(Leccion[SubSección]),ROW(Leccion[SubSección]))),ROW(DK17))),"")</f>
        <v/>
      </c>
      <c r="DM18" s="51" t="str">
        <f t="array" aca="1" ref="DM18" ca="1">IFERROR(INDEX(Leccion[selectorLeccion],SMALL(IF(DM$1=Leccion[SubSección],MATCH(ROW(Leccion[SubSección]),ROW(Leccion[SubSección]))),ROW(DL17))),"")</f>
        <v/>
      </c>
      <c r="DN18" s="51" t="str">
        <f t="array" aca="1" ref="DN18" ca="1">IFERROR(INDEX(Leccion[selectorLeccion],SMALL(IF(DN$1=Leccion[SubSección],MATCH(ROW(Leccion[SubSección]),ROW(Leccion[SubSección]))),ROW(DM17))),"")</f>
        <v/>
      </c>
      <c r="DO18" s="51" t="str">
        <f t="array" aca="1" ref="DO18" ca="1">IFERROR(INDEX(Leccion[selectorLeccion],SMALL(IF(DO$1=Leccion[SubSección],MATCH(ROW(Leccion[SubSección]),ROW(Leccion[SubSección]))),ROW(DN17))),"")</f>
        <v/>
      </c>
      <c r="DP18" s="51" t="str">
        <f t="array" aca="1" ref="DP18" ca="1">IFERROR(INDEX(Leccion[selectorLeccion],SMALL(IF(DP$1=Leccion[SubSección],MATCH(ROW(Leccion[SubSección]),ROW(Leccion[SubSección]))),ROW(DO17))),"")</f>
        <v/>
      </c>
      <c r="DQ18" s="51" t="str">
        <f t="array" aca="1" ref="DQ18" ca="1">IFERROR(INDEX(Leccion[selectorLeccion],SMALL(IF(DQ$1=Leccion[SubSección],MATCH(ROW(Leccion[SubSección]),ROW(Leccion[SubSección]))),ROW(DP17))),"")</f>
        <v/>
      </c>
      <c r="DR18" s="51" t="str">
        <f t="array" aca="1" ref="DR18" ca="1">IFERROR(INDEX(Leccion[selectorLeccion],SMALL(IF(DR$1=Leccion[SubSección],MATCH(ROW(Leccion[SubSección]),ROW(Leccion[SubSección]))),ROW(DQ17))),"")</f>
        <v/>
      </c>
      <c r="DS18" s="51" t="str">
        <f t="array" aca="1" ref="DS18" ca="1">IFERROR(INDEX(Leccion[selectorLeccion],SMALL(IF(DS$1=Leccion[SubSección],MATCH(ROW(Leccion[SubSección]),ROW(Leccion[SubSección]))),ROW(DR17))),"")</f>
        <v/>
      </c>
      <c r="DT18" s="51" t="str">
        <f t="array" aca="1" ref="DT18" ca="1">IFERROR(INDEX(Leccion[selectorLeccion],SMALL(IF(DT$1=Leccion[SubSección],MATCH(ROW(Leccion[SubSección]),ROW(Leccion[SubSección]))),ROW(DS17))),"")</f>
        <v/>
      </c>
      <c r="DU18" s="51" t="str">
        <f t="array" aca="1" ref="DU18" ca="1">IFERROR(INDEX(Leccion[selectorLeccion],SMALL(IF(DU$1=Leccion[SubSección],MATCH(ROW(Leccion[SubSección]),ROW(Leccion[SubSección]))),ROW(DT17))),"")</f>
        <v/>
      </c>
      <c r="DV18" s="51" t="str">
        <f t="array" aca="1" ref="DV18" ca="1">IFERROR(INDEX(Leccion[selectorLeccion],SMALL(IF(DV$1=Leccion[SubSección],MATCH(ROW(Leccion[SubSección]),ROW(Leccion[SubSección]))),ROW(DU17))),"")</f>
        <v/>
      </c>
      <c r="DW18" s="51" t="str">
        <f t="array" aca="1" ref="DW18" ca="1">IFERROR(INDEX(Leccion[selectorLeccion],SMALL(IF(DW$1=Leccion[SubSección],MATCH(ROW(Leccion[SubSección]),ROW(Leccion[SubSección]))),ROW(DV17))),"")</f>
        <v/>
      </c>
      <c r="DX18" s="51" t="str">
        <f t="array" aca="1" ref="DX18" ca="1">IFERROR(INDEX(Leccion[selectorLeccion],SMALL(IF(DX$1=Leccion[SubSección],MATCH(ROW(Leccion[SubSección]),ROW(Leccion[SubSección]))),ROW(DW17))),"")</f>
        <v/>
      </c>
      <c r="DY18" s="51" t="str">
        <f t="array" aca="1" ref="DY18" ca="1">IFERROR(INDEX(Leccion[selectorLeccion],SMALL(IF(DY$1=Leccion[SubSección],MATCH(ROW(Leccion[SubSección]),ROW(Leccion[SubSección]))),ROW(DX17))),"")</f>
        <v/>
      </c>
      <c r="DZ18" s="51" t="str">
        <f t="array" aca="1" ref="DZ18" ca="1">IFERROR(INDEX(Leccion[selectorLeccion],SMALL(IF(DZ$1=Leccion[SubSección],MATCH(ROW(Leccion[SubSección]),ROW(Leccion[SubSección]))),ROW(DY17))),"")</f>
        <v/>
      </c>
      <c r="EA18" s="51" t="str">
        <f t="array" aca="1" ref="EA18" ca="1">IFERROR(INDEX(Leccion[selectorLeccion],SMALL(IF(EA$1=Leccion[SubSección],MATCH(ROW(Leccion[SubSección]),ROW(Leccion[SubSección]))),ROW(DZ17))),"")</f>
        <v/>
      </c>
      <c r="EB18" s="51" t="str">
        <f t="array" aca="1" ref="EB18" ca="1">IFERROR(INDEX(Leccion[selectorLeccion],SMALL(IF(EB$1=Leccion[SubSección],MATCH(ROW(Leccion[SubSección]),ROW(Leccion[SubSección]))),ROW(EA17))),"")</f>
        <v/>
      </c>
      <c r="EC18" s="51" t="str">
        <f t="array" aca="1" ref="EC18" ca="1">IFERROR(INDEX(Leccion[selectorLeccion],SMALL(IF(EC$1=Leccion[SubSección],MATCH(ROW(Leccion[SubSección]),ROW(Leccion[SubSección]))),ROW(EB17))),"")</f>
        <v/>
      </c>
      <c r="ED18" s="51" t="str">
        <f t="array" aca="1" ref="ED18" ca="1">IFERROR(INDEX(Leccion[selectorLeccion],SMALL(IF(ED$1=Leccion[SubSección],MATCH(ROW(Leccion[SubSección]),ROW(Leccion[SubSección]))),ROW(EC17))),"")</f>
        <v/>
      </c>
      <c r="EE18" s="51" t="str">
        <f t="array" aca="1" ref="EE18" ca="1">IFERROR(INDEX(Leccion[selectorLeccion],SMALL(IF(EE$1=Leccion[SubSección],MATCH(ROW(Leccion[SubSección]),ROW(Leccion[SubSección]))),ROW(ED17))),"")</f>
        <v/>
      </c>
      <c r="EF18" s="51" t="str">
        <f t="array" aca="1" ref="EF18" ca="1">IFERROR(INDEX(Leccion[selectorLeccion],SMALL(IF(EF$1=Leccion[SubSección],MATCH(ROW(Leccion[SubSección]),ROW(Leccion[SubSección]))),ROW(EE17))),"")</f>
        <v/>
      </c>
      <c r="EG18" s="51" t="str">
        <f t="array" aca="1" ref="EG18" ca="1">IFERROR(INDEX(Leccion[selectorLeccion],SMALL(IF(EG$1=Leccion[SubSección],MATCH(ROW(Leccion[SubSección]),ROW(Leccion[SubSección]))),ROW(EF17))),"")</f>
        <v/>
      </c>
      <c r="EH18" s="51" t="str">
        <f t="array" aca="1" ref="EH18" ca="1">IFERROR(INDEX(Leccion[selectorLeccion],SMALL(IF(EH$1=Leccion[SubSección],MATCH(ROW(Leccion[SubSección]),ROW(Leccion[SubSección]))),ROW(EG17))),"")</f>
        <v/>
      </c>
      <c r="EI18" s="51" t="str">
        <f t="array" aca="1" ref="EI18" ca="1">IFERROR(INDEX(Leccion[selectorLeccion],SMALL(IF(EI$1=Leccion[SubSección],MATCH(ROW(Leccion[SubSección]),ROW(Leccion[SubSección]))),ROW(EH17))),"")</f>
        <v/>
      </c>
      <c r="EJ18" s="51" t="str">
        <f t="array" aca="1" ref="EJ18" ca="1">IFERROR(INDEX(Leccion[selectorLeccion],SMALL(IF(EJ$1=Leccion[SubSección],MATCH(ROW(Leccion[SubSección]),ROW(Leccion[SubSección]))),ROW(EI17))),"")</f>
        <v/>
      </c>
      <c r="EK18" s="51" t="str">
        <f t="array" aca="1" ref="EK18" ca="1">IFERROR(INDEX(Leccion[selectorLeccion],SMALL(IF(EK$1=Leccion[SubSección],MATCH(ROW(Leccion[SubSección]),ROW(Leccion[SubSección]))),ROW(EJ17))),"")</f>
        <v/>
      </c>
      <c r="EL18" s="51" t="str">
        <f t="array" aca="1" ref="EL18" ca="1">IFERROR(INDEX(Leccion[selectorLeccion],SMALL(IF(EL$1=Leccion[SubSección],MATCH(ROW(Leccion[SubSección]),ROW(Leccion[SubSección]))),ROW(EK17))),"")</f>
        <v/>
      </c>
      <c r="EM18" s="51" t="str">
        <f t="array" aca="1" ref="EM18" ca="1">IFERROR(INDEX(Leccion[selectorLeccion],SMALL(IF(EM$1=Leccion[SubSección],MATCH(ROW(Leccion[SubSección]),ROW(Leccion[SubSección]))),ROW(EL17))),"")</f>
        <v/>
      </c>
      <c r="EN18" s="51" t="str">
        <f t="array" aca="1" ref="EN18" ca="1">IFERROR(INDEX(Leccion[selectorLeccion],SMALL(IF(EN$1=Leccion[SubSección],MATCH(ROW(Leccion[SubSección]),ROW(Leccion[SubSección]))),ROW(EM17))),"")</f>
        <v/>
      </c>
      <c r="EO18" s="51" t="str">
        <f t="array" aca="1" ref="EO18" ca="1">IFERROR(INDEX(Leccion[selectorLeccion],SMALL(IF(EO$1=Leccion[SubSección],MATCH(ROW(Leccion[SubSección]),ROW(Leccion[SubSección]))),ROW(EN17))),"")</f>
        <v/>
      </c>
      <c r="EP18" s="51" t="str">
        <f t="array" aca="1" ref="EP18" ca="1">IFERROR(INDEX(Leccion[selectorLeccion],SMALL(IF(EP$1=Leccion[SubSección],MATCH(ROW(Leccion[SubSección]),ROW(Leccion[SubSección]))),ROW(EO17))),"")</f>
        <v/>
      </c>
      <c r="EQ18" s="51" t="str">
        <f t="array" aca="1" ref="EQ18" ca="1">IFERROR(INDEX(Leccion[selectorLeccion],SMALL(IF(EQ$1=Leccion[SubSección],MATCH(ROW(Leccion[SubSección]),ROW(Leccion[SubSección]))),ROW(EP17))),"")</f>
        <v/>
      </c>
      <c r="ER18" s="51" t="str">
        <f t="array" aca="1" ref="ER18" ca="1">IFERROR(INDEX(Leccion[selectorLeccion],SMALL(IF(ER$1=Leccion[SubSección],MATCH(ROW(Leccion[SubSección]),ROW(Leccion[SubSección]))),ROW(EQ17))),"")</f>
        <v/>
      </c>
      <c r="ES18" s="51" t="str">
        <f t="array" aca="1" ref="ES18" ca="1">IFERROR(INDEX(Leccion[selectorLeccion],SMALL(IF(ES$1=Leccion[SubSección],MATCH(ROW(Leccion[SubSección]),ROW(Leccion[SubSección]))),ROW(ER17))),"")</f>
        <v/>
      </c>
      <c r="ET18" s="51" t="str">
        <f t="array" aca="1" ref="ET18" ca="1">IFERROR(INDEX(Leccion[selectorLeccion],SMALL(IF(ET$1=Leccion[SubSección],MATCH(ROW(Leccion[SubSección]),ROW(Leccion[SubSección]))),ROW(ES17))),"")</f>
        <v/>
      </c>
      <c r="EU18" s="51" t="str">
        <f t="array" aca="1" ref="EU18" ca="1">IFERROR(INDEX(Leccion[selectorLeccion],SMALL(IF(EU$1=Leccion[SubSección],MATCH(ROW(Leccion[SubSección]),ROW(Leccion[SubSección]))),ROW(ET17))),"")</f>
        <v/>
      </c>
      <c r="EV18" s="51" t="str">
        <f t="array" aca="1" ref="EV18" ca="1">IFERROR(INDEX(Leccion[selectorLeccion],SMALL(IF(EV$1=Leccion[SubSección],MATCH(ROW(Leccion[SubSección]),ROW(Leccion[SubSección]))),ROW(EU17))),"")</f>
        <v/>
      </c>
      <c r="EW18" s="51" t="str">
        <f t="array" aca="1" ref="EW18" ca="1">IFERROR(INDEX(Leccion[selectorLeccion],SMALL(IF(EW$1=Leccion[SubSección],MATCH(ROW(Leccion[SubSección]),ROW(Leccion[SubSección]))),ROW(EV17))),"")</f>
        <v/>
      </c>
      <c r="EX18" s="51" t="str">
        <f t="array" aca="1" ref="EX18" ca="1">IFERROR(INDEX(Leccion[selectorLeccion],SMALL(IF(EX$1=Leccion[SubSección],MATCH(ROW(Leccion[SubSección]),ROW(Leccion[SubSección]))),ROW(EW17))),"")</f>
        <v/>
      </c>
      <c r="EY18" s="51" t="str">
        <f t="array" aca="1" ref="EY18" ca="1">IFERROR(INDEX(Leccion[selectorLeccion],SMALL(IF(EY$1=Leccion[SubSección],MATCH(ROW(Leccion[SubSección]),ROW(Leccion[SubSección]))),ROW(EX17))),"")</f>
        <v/>
      </c>
      <c r="EZ18" s="51" t="str">
        <f t="array" aca="1" ref="EZ18" ca="1">IFERROR(INDEX(Leccion[selectorLeccion],SMALL(IF(EZ$1=Leccion[SubSección],MATCH(ROW(Leccion[SubSección]),ROW(Leccion[SubSección]))),ROW(EY17))),"")</f>
        <v/>
      </c>
    </row>
    <row r="19" spans="2:156" x14ac:dyDescent="0.3">
      <c r="B19" s="51" t="str">
        <f t="array" aca="1" ref="B19" ca="1">IFERROR(INDEX(Leccion[selectorLeccion],SMALL(IF(B$1=Leccion[SubSección],MATCH(ROW(Leccion[SubSección]),ROW(Leccion[SubSección]))),ROW(A18))),"")</f>
        <v/>
      </c>
      <c r="C19" s="51" t="str">
        <f t="array" aca="1" ref="C19" ca="1">IFERROR(INDEX(Leccion[selectorLeccion],SMALL(IF(C$1=Leccion[SubSección],MATCH(ROW(Leccion[SubSección]),ROW(Leccion[SubSección]))),ROW(B18))),"")</f>
        <v/>
      </c>
      <c r="D19" s="51" t="str">
        <f t="array" aca="1" ref="D19" ca="1">IFERROR(INDEX(Leccion[selectorLeccion],SMALL(IF(D$1=Leccion[SubSección],MATCH(ROW(Leccion[SubSección]),ROW(Leccion[SubSección]))),ROW(C18))),"")</f>
        <v/>
      </c>
      <c r="E19" s="51" t="str">
        <f t="array" aca="1" ref="E19" ca="1">IFERROR(INDEX(Leccion[selectorLeccion],SMALL(IF(E$1=Leccion[SubSección],MATCH(ROW(Leccion[SubSección]),ROW(Leccion[SubSección]))),ROW(D18))),"")</f>
        <v/>
      </c>
      <c r="F19" s="51" t="str">
        <f t="array" aca="1" ref="F19" ca="1">IFERROR(INDEX(Leccion[selectorLeccion],SMALL(IF(F$1=Leccion[SubSección],MATCH(ROW(Leccion[SubSección]),ROW(Leccion[SubSección]))),ROW(E18))),"")</f>
        <v/>
      </c>
      <c r="G19" s="51" t="str">
        <f t="array" aca="1" ref="G19" ca="1">IFERROR(INDEX(Leccion[selectorLeccion],SMALL(IF(G$1=Leccion[SubSección],MATCH(ROW(Leccion[SubSección]),ROW(Leccion[SubSección]))),ROW(F18))),"")</f>
        <v/>
      </c>
      <c r="H19" s="51" t="str">
        <f t="array" aca="1" ref="H19" ca="1">IFERROR(INDEX(Leccion[selectorLeccion],SMALL(IF(H$1=Leccion[SubSección],MATCH(ROW(Leccion[SubSección]),ROW(Leccion[SubSección]))),ROW(G18))),"")</f>
        <v/>
      </c>
      <c r="I19" s="51" t="str">
        <f t="array" aca="1" ref="I19" ca="1">IFERROR(INDEX(Leccion[selectorLeccion],SMALL(IF(I$1=Leccion[SubSección],MATCH(ROW(Leccion[SubSección]),ROW(Leccion[SubSección]))),ROW(H18))),"")</f>
        <v/>
      </c>
      <c r="J19" s="51" t="str">
        <f t="array" aca="1" ref="J19" ca="1">IFERROR(INDEX(Leccion[selectorLeccion],SMALL(IF(J$1=Leccion[SubSección],MATCH(ROW(Leccion[SubSección]),ROW(Leccion[SubSección]))),ROW(I18))),"")</f>
        <v/>
      </c>
      <c r="K19" s="51" t="str">
        <f t="array" aca="1" ref="K19" ca="1">IFERROR(INDEX(Leccion[selectorLeccion],SMALL(IF(K$1=Leccion[SubSección],MATCH(ROW(Leccion[SubSección]),ROW(Leccion[SubSección]))),ROW(J18))),"")</f>
        <v/>
      </c>
      <c r="L19" s="51" t="str">
        <f t="array" aca="1" ref="L19" ca="1">IFERROR(INDEX(Leccion[selectorLeccion],SMALL(IF(L$1=Leccion[SubSección],MATCH(ROW(Leccion[SubSección]),ROW(Leccion[SubSección]))),ROW(K18))),"")</f>
        <v/>
      </c>
      <c r="M19" s="51" t="str">
        <f t="array" aca="1" ref="M19" ca="1">IFERROR(INDEX(Leccion[selectorLeccion],SMALL(IF(M$1=Leccion[SubSección],MATCH(ROW(Leccion[SubSección]),ROW(Leccion[SubSección]))),ROW(L18))),"")</f>
        <v/>
      </c>
      <c r="N19" s="51" t="str">
        <f t="array" aca="1" ref="N19" ca="1">IFERROR(INDEX(Leccion[selectorLeccion],SMALL(IF(N$1=Leccion[SubSección],MATCH(ROW(Leccion[SubSección]),ROW(Leccion[SubSección]))),ROW(M18))),"")</f>
        <v/>
      </c>
      <c r="O19" s="51" t="str">
        <f t="array" aca="1" ref="O19" ca="1">IFERROR(INDEX(Leccion[selectorLeccion],SMALL(IF(O$1=Leccion[SubSección],MATCH(ROW(Leccion[SubSección]),ROW(Leccion[SubSección]))),ROW(N18))),"")</f>
        <v/>
      </c>
      <c r="P19" s="51" t="str">
        <f t="array" aca="1" ref="P19" ca="1">IFERROR(INDEX(Leccion[selectorLeccion],SMALL(IF(P$1=Leccion[SubSección],MATCH(ROW(Leccion[SubSección]),ROW(Leccion[SubSección]))),ROW(O18))),"")</f>
        <v/>
      </c>
      <c r="Q19" s="51" t="str">
        <f t="array" aca="1" ref="Q19" ca="1">IFERROR(INDEX(Leccion[selectorLeccion],SMALL(IF(Q$1=Leccion[SubSección],MATCH(ROW(Leccion[SubSección]),ROW(Leccion[SubSección]))),ROW(P18))),"")</f>
        <v/>
      </c>
      <c r="R19" s="51" t="str">
        <f t="array" aca="1" ref="R19" ca="1">IFERROR(INDEX(Leccion[selectorLeccion],SMALL(IF(R$1=Leccion[SubSección],MATCH(ROW(Leccion[SubSección]),ROW(Leccion[SubSección]))),ROW(Q18))),"")</f>
        <v/>
      </c>
      <c r="S19" s="51" t="str">
        <f t="array" aca="1" ref="S19" ca="1">IFERROR(INDEX(Leccion[selectorLeccion],SMALL(IF(S$1=Leccion[SubSección],MATCH(ROW(Leccion[SubSección]),ROW(Leccion[SubSección]))),ROW(R18))),"")</f>
        <v/>
      </c>
      <c r="T19" s="51" t="str">
        <f t="array" aca="1" ref="T19" ca="1">IFERROR(INDEX(Leccion[selectorLeccion],SMALL(IF(T$1=Leccion[SubSección],MATCH(ROW(Leccion[SubSección]),ROW(Leccion[SubSección]))),ROW(S18))),"")</f>
        <v/>
      </c>
      <c r="U19" s="51" t="str">
        <f t="array" aca="1" ref="U19" ca="1">IFERROR(INDEX(Leccion[selectorLeccion],SMALL(IF(U$1=Leccion[SubSección],MATCH(ROW(Leccion[SubSección]),ROW(Leccion[SubSección]))),ROW(T18))),"")</f>
        <v/>
      </c>
      <c r="V19" s="51" t="str">
        <f t="array" aca="1" ref="V19" ca="1">IFERROR(INDEX(Leccion[selectorLeccion],SMALL(IF(V$1=Leccion[SubSección],MATCH(ROW(Leccion[SubSección]),ROW(Leccion[SubSección]))),ROW(U18))),"")</f>
        <v/>
      </c>
      <c r="W19" s="51" t="str">
        <f t="array" aca="1" ref="W19" ca="1">IFERROR(INDEX(Leccion[selectorLeccion],SMALL(IF(W$1=Leccion[SubSección],MATCH(ROW(Leccion[SubSección]),ROW(Leccion[SubSección]))),ROW(V18))),"")</f>
        <v/>
      </c>
      <c r="X19" s="51" t="str">
        <f t="array" aca="1" ref="X19" ca="1">IFERROR(INDEX(Leccion[selectorLeccion],SMALL(IF(X$1=Leccion[SubSección],MATCH(ROW(Leccion[SubSección]),ROW(Leccion[SubSección]))),ROW(W18))),"")</f>
        <v/>
      </c>
      <c r="Y19" s="51" t="str">
        <f t="array" aca="1" ref="Y19" ca="1">IFERROR(INDEX(Leccion[selectorLeccion],SMALL(IF(Y$1=Leccion[SubSección],MATCH(ROW(Leccion[SubSección]),ROW(Leccion[SubSección]))),ROW(X18))),"")</f>
        <v/>
      </c>
      <c r="Z19" s="51" t="str">
        <f t="array" aca="1" ref="Z19" ca="1">IFERROR(INDEX(Leccion[selectorLeccion],SMALL(IF(Z$1=Leccion[SubSección],MATCH(ROW(Leccion[SubSección]),ROW(Leccion[SubSección]))),ROW(Y18))),"")</f>
        <v/>
      </c>
      <c r="AA19" s="51" t="str">
        <f t="array" aca="1" ref="AA19" ca="1">IFERROR(INDEX(Leccion[selectorLeccion],SMALL(IF(AA$1=Leccion[SubSección],MATCH(ROW(Leccion[SubSección]),ROW(Leccion[SubSección]))),ROW(Z18))),"")</f>
        <v/>
      </c>
      <c r="AB19" s="51" t="str">
        <f t="array" aca="1" ref="AB19" ca="1">IFERROR(INDEX(Leccion[selectorLeccion],SMALL(IF(AB$1=Leccion[SubSección],MATCH(ROW(Leccion[SubSección]),ROW(Leccion[SubSección]))),ROW(AA18))),"")</f>
        <v/>
      </c>
      <c r="AC19" s="51" t="str">
        <f t="array" aca="1" ref="AC19" ca="1">IFERROR(INDEX(Leccion[selectorLeccion],SMALL(IF(AC$1=Leccion[SubSección],MATCH(ROW(Leccion[SubSección]),ROW(Leccion[SubSección]))),ROW(AB18))),"")</f>
        <v/>
      </c>
      <c r="AD19" s="51" t="str">
        <f t="array" aca="1" ref="AD19" ca="1">IFERROR(INDEX(Leccion[selectorLeccion],SMALL(IF(AD$1=Leccion[SubSección],MATCH(ROW(Leccion[SubSección]),ROW(Leccion[SubSección]))),ROW(AC18))),"")</f>
        <v/>
      </c>
      <c r="AE19" s="51" t="str">
        <f t="array" aca="1" ref="AE19" ca="1">IFERROR(INDEX(Leccion[selectorLeccion],SMALL(IF(AE$1=Leccion[SubSección],MATCH(ROW(Leccion[SubSección]),ROW(Leccion[SubSección]))),ROW(AD18))),"")</f>
        <v/>
      </c>
      <c r="AF19" s="51" t="str">
        <f t="array" aca="1" ref="AF19" ca="1">IFERROR(INDEX(Leccion[selectorLeccion],SMALL(IF(AF$1=Leccion[SubSección],MATCH(ROW(Leccion[SubSección]),ROW(Leccion[SubSección]))),ROW(AE18))),"")</f>
        <v/>
      </c>
      <c r="AG19" s="51" t="str">
        <f t="array" aca="1" ref="AG19" ca="1">IFERROR(INDEX(Leccion[selectorLeccion],SMALL(IF(AG$1=Leccion[SubSección],MATCH(ROW(Leccion[SubSección]),ROW(Leccion[SubSección]))),ROW(AF18))),"")</f>
        <v/>
      </c>
      <c r="AH19" s="51" t="str">
        <f t="array" aca="1" ref="AH19" ca="1">IFERROR(INDEX(Leccion[selectorLeccion],SMALL(IF(AH$1=Leccion[SubSección],MATCH(ROW(Leccion[SubSección]),ROW(Leccion[SubSección]))),ROW(AG18))),"")</f>
        <v/>
      </c>
      <c r="AI19" s="51" t="str">
        <f t="array" aca="1" ref="AI19" ca="1">IFERROR(INDEX(Leccion[selectorLeccion],SMALL(IF(AI$1=Leccion[SubSección],MATCH(ROW(Leccion[SubSección]),ROW(Leccion[SubSección]))),ROW(AH18))),"")</f>
        <v/>
      </c>
      <c r="AJ19" s="51" t="str">
        <f t="array" aca="1" ref="AJ19" ca="1">IFERROR(INDEX(Leccion[selectorLeccion],SMALL(IF(AJ$1=Leccion[SubSección],MATCH(ROW(Leccion[SubSección]),ROW(Leccion[SubSección]))),ROW(AI18))),"")</f>
        <v/>
      </c>
      <c r="AK19" s="51" t="str">
        <f t="array" aca="1" ref="AK19" ca="1">IFERROR(INDEX(Leccion[selectorLeccion],SMALL(IF(AK$1=Leccion[SubSección],MATCH(ROW(Leccion[SubSección]),ROW(Leccion[SubSección]))),ROW(AJ18))),"")</f>
        <v/>
      </c>
      <c r="AL19" s="51" t="str">
        <f t="array" aca="1" ref="AL19" ca="1">IFERROR(INDEX(Leccion[selectorLeccion],SMALL(IF(AL$1=Leccion[SubSección],MATCH(ROW(Leccion[SubSección]),ROW(Leccion[SubSección]))),ROW(AK18))),"")</f>
        <v/>
      </c>
      <c r="AM19" s="51" t="str">
        <f t="array" aca="1" ref="AM19" ca="1">IFERROR(INDEX(Leccion[selectorLeccion],SMALL(IF(AM$1=Leccion[SubSección],MATCH(ROW(Leccion[SubSección]),ROW(Leccion[SubSección]))),ROW(AL18))),"")</f>
        <v/>
      </c>
      <c r="AN19" s="51" t="str">
        <f t="array" aca="1" ref="AN19" ca="1">IFERROR(INDEX(Leccion[selectorLeccion],SMALL(IF(AN$1=Leccion[SubSección],MATCH(ROW(Leccion[SubSección]),ROW(Leccion[SubSección]))),ROW(AM18))),"")</f>
        <v/>
      </c>
      <c r="AO19" s="51" t="str">
        <f t="array" aca="1" ref="AO19" ca="1">IFERROR(INDEX(Leccion[selectorLeccion],SMALL(IF(AO$1=Leccion[SubSección],MATCH(ROW(Leccion[SubSección]),ROW(Leccion[SubSección]))),ROW(AN18))),"")</f>
        <v/>
      </c>
      <c r="AP19" s="51" t="str">
        <f t="array" aca="1" ref="AP19" ca="1">IFERROR(INDEX(Leccion[selectorLeccion],SMALL(IF(AP$1=Leccion[SubSección],MATCH(ROW(Leccion[SubSección]),ROW(Leccion[SubSección]))),ROW(AO18))),"")</f>
        <v/>
      </c>
      <c r="AQ19" s="51" t="str">
        <f t="array" aca="1" ref="AQ19" ca="1">IFERROR(INDEX(Leccion[selectorLeccion],SMALL(IF(AQ$1=Leccion[SubSección],MATCH(ROW(Leccion[SubSección]),ROW(Leccion[SubSección]))),ROW(AP18))),"")</f>
        <v/>
      </c>
      <c r="AR19" s="51" t="str">
        <f t="array" aca="1" ref="AR19" ca="1">IFERROR(INDEX(Leccion[selectorLeccion],SMALL(IF(AR$1=Leccion[SubSección],MATCH(ROW(Leccion[SubSección]),ROW(Leccion[SubSección]))),ROW(AQ18))),"")</f>
        <v/>
      </c>
      <c r="AS19" s="51" t="str">
        <f t="array" aca="1" ref="AS19" ca="1">IFERROR(INDEX(Leccion[selectorLeccion],SMALL(IF(AS$1=Leccion[SubSección],MATCH(ROW(Leccion[SubSección]),ROW(Leccion[SubSección]))),ROW(AR18))),"")</f>
        <v/>
      </c>
      <c r="AT19" s="51" t="str">
        <f t="array" aca="1" ref="AT19" ca="1">IFERROR(INDEX(Leccion[selectorLeccion],SMALL(IF(AT$1=Leccion[SubSección],MATCH(ROW(Leccion[SubSección]),ROW(Leccion[SubSección]))),ROW(AS18))),"")</f>
        <v/>
      </c>
      <c r="AU19" s="51" t="str">
        <f t="array" aca="1" ref="AU19" ca="1">IFERROR(INDEX(Leccion[selectorLeccion],SMALL(IF(AU$1=Leccion[SubSección],MATCH(ROW(Leccion[SubSección]),ROW(Leccion[SubSección]))),ROW(AT18))),"")</f>
        <v/>
      </c>
      <c r="AV19" s="51" t="str">
        <f t="array" aca="1" ref="AV19" ca="1">IFERROR(INDEX(Leccion[selectorLeccion],SMALL(IF(AV$1=Leccion[SubSección],MATCH(ROW(Leccion[SubSección]),ROW(Leccion[SubSección]))),ROW(AU18))),"")</f>
        <v/>
      </c>
      <c r="AW19" s="51" t="str">
        <f t="array" aca="1" ref="AW19" ca="1">IFERROR(INDEX(Leccion[selectorLeccion],SMALL(IF(AW$1=Leccion[SubSección],MATCH(ROW(Leccion[SubSección]),ROW(Leccion[SubSección]))),ROW(AV18))),"")</f>
        <v/>
      </c>
      <c r="AX19" s="51" t="str">
        <f t="array" aca="1" ref="AX19" ca="1">IFERROR(INDEX(Leccion[selectorLeccion],SMALL(IF(AX$1=Leccion[SubSección],MATCH(ROW(Leccion[SubSección]),ROW(Leccion[SubSección]))),ROW(AW18))),"")</f>
        <v/>
      </c>
      <c r="AY19" s="51" t="str">
        <f t="array" aca="1" ref="AY19" ca="1">IFERROR(INDEX(Leccion[selectorLeccion],SMALL(IF(AY$1=Leccion[SubSección],MATCH(ROW(Leccion[SubSección]),ROW(Leccion[SubSección]))),ROW(AX18))),"")</f>
        <v/>
      </c>
      <c r="AZ19" s="51" t="str">
        <f t="array" aca="1" ref="AZ19" ca="1">IFERROR(INDEX(Leccion[selectorLeccion],SMALL(IF(AZ$1=Leccion[SubSección],MATCH(ROW(Leccion[SubSección]),ROW(Leccion[SubSección]))),ROW(AY18))),"")</f>
        <v/>
      </c>
      <c r="BA19" s="51" t="str">
        <f t="array" aca="1" ref="BA19" ca="1">IFERROR(INDEX(Leccion[selectorLeccion],SMALL(IF(BA$1=Leccion[SubSección],MATCH(ROW(Leccion[SubSección]),ROW(Leccion[SubSección]))),ROW(AZ18))),"")</f>
        <v/>
      </c>
      <c r="BB19" s="51" t="str">
        <f t="array" aca="1" ref="BB19" ca="1">IFERROR(INDEX(Leccion[selectorLeccion],SMALL(IF(BB$1=Leccion[SubSección],MATCH(ROW(Leccion[SubSección]),ROW(Leccion[SubSección]))),ROW(BA18))),"")</f>
        <v/>
      </c>
      <c r="BC19" s="51" t="str">
        <f t="array" aca="1" ref="BC19" ca="1">IFERROR(INDEX(Leccion[selectorLeccion],SMALL(IF(BC$1=Leccion[SubSección],MATCH(ROW(Leccion[SubSección]),ROW(Leccion[SubSección]))),ROW(BB18))),"")</f>
        <v/>
      </c>
      <c r="BD19" s="51" t="str">
        <f t="array" aca="1" ref="BD19" ca="1">IFERROR(INDEX(Leccion[selectorLeccion],SMALL(IF(BD$1=Leccion[SubSección],MATCH(ROW(Leccion[SubSección]),ROW(Leccion[SubSección]))),ROW(BC18))),"")</f>
        <v/>
      </c>
      <c r="BE19" s="51" t="str">
        <f t="array" aca="1" ref="BE19" ca="1">IFERROR(INDEX(Leccion[selectorLeccion],SMALL(IF(BE$1=Leccion[SubSección],MATCH(ROW(Leccion[SubSección]),ROW(Leccion[SubSección]))),ROW(BD18))),"")</f>
        <v/>
      </c>
      <c r="BF19" s="51" t="str">
        <f t="array" aca="1" ref="BF19" ca="1">IFERROR(INDEX(Leccion[selectorLeccion],SMALL(IF(BF$1=Leccion[SubSección],MATCH(ROW(Leccion[SubSección]),ROW(Leccion[SubSección]))),ROW(BE18))),"")</f>
        <v/>
      </c>
      <c r="BG19" s="51" t="str">
        <f t="array" aca="1" ref="BG19" ca="1">IFERROR(INDEX(Leccion[selectorLeccion],SMALL(IF(BG$1=Leccion[SubSección],MATCH(ROW(Leccion[SubSección]),ROW(Leccion[SubSección]))),ROW(BF18))),"")</f>
        <v/>
      </c>
      <c r="BH19" s="51" t="str">
        <f t="array" aca="1" ref="BH19" ca="1">IFERROR(INDEX(Leccion[selectorLeccion],SMALL(IF(BH$1=Leccion[SubSección],MATCH(ROW(Leccion[SubSección]),ROW(Leccion[SubSección]))),ROW(BG18))),"")</f>
        <v/>
      </c>
      <c r="BI19" s="51" t="str">
        <f t="array" aca="1" ref="BI19" ca="1">IFERROR(INDEX(Leccion[selectorLeccion],SMALL(IF(BI$1=Leccion[SubSección],MATCH(ROW(Leccion[SubSección]),ROW(Leccion[SubSección]))),ROW(BH18))),"")</f>
        <v/>
      </c>
      <c r="BJ19" s="51" t="str">
        <f t="array" aca="1" ref="BJ19" ca="1">IFERROR(INDEX(Leccion[selectorLeccion],SMALL(IF(BJ$1=Leccion[SubSección],MATCH(ROW(Leccion[SubSección]),ROW(Leccion[SubSección]))),ROW(BI18))),"")</f>
        <v/>
      </c>
      <c r="BK19" s="51" t="str">
        <f t="array" aca="1" ref="BK19" ca="1">IFERROR(INDEX(Leccion[selectorLeccion],SMALL(IF(BK$1=Leccion[SubSección],MATCH(ROW(Leccion[SubSección]),ROW(Leccion[SubSección]))),ROW(BJ18))),"")</f>
        <v/>
      </c>
      <c r="BL19" s="51" t="str">
        <f t="array" aca="1" ref="BL19" ca="1">IFERROR(INDEX(Leccion[selectorLeccion],SMALL(IF(BL$1=Leccion[SubSección],MATCH(ROW(Leccion[SubSección]),ROW(Leccion[SubSección]))),ROW(BK18))),"")</f>
        <v/>
      </c>
      <c r="BM19" s="51" t="str">
        <f t="array" aca="1" ref="BM19" ca="1">IFERROR(INDEX(Leccion[selectorLeccion],SMALL(IF(BM$1=Leccion[SubSección],MATCH(ROW(Leccion[SubSección]),ROW(Leccion[SubSección]))),ROW(BL18))),"")</f>
        <v/>
      </c>
      <c r="BN19" s="51" t="str">
        <f t="array" aca="1" ref="BN19" ca="1">IFERROR(INDEX(Leccion[selectorLeccion],SMALL(IF(BN$1=Leccion[SubSección],MATCH(ROW(Leccion[SubSección]),ROW(Leccion[SubSección]))),ROW(BM18))),"")</f>
        <v/>
      </c>
      <c r="BO19" s="51" t="str">
        <f t="array" aca="1" ref="BO19" ca="1">IFERROR(INDEX(Leccion[selectorLeccion],SMALL(IF(BO$1=Leccion[SubSección],MATCH(ROW(Leccion[SubSección]),ROW(Leccion[SubSección]))),ROW(BN18))),"")</f>
        <v/>
      </c>
      <c r="BP19" s="51" t="str">
        <f t="array" aca="1" ref="BP19" ca="1">IFERROR(INDEX(Leccion[selectorLeccion],SMALL(IF(BP$1=Leccion[SubSección],MATCH(ROW(Leccion[SubSección]),ROW(Leccion[SubSección]))),ROW(BO18))),"")</f>
        <v/>
      </c>
      <c r="BQ19" s="51" t="str">
        <f t="array" aca="1" ref="BQ19" ca="1">IFERROR(INDEX(Leccion[selectorLeccion],SMALL(IF(BQ$1=Leccion[SubSección],MATCH(ROW(Leccion[SubSección]),ROW(Leccion[SubSección]))),ROW(BP18))),"")</f>
        <v/>
      </c>
      <c r="BR19" s="51" t="str">
        <f t="array" aca="1" ref="BR19" ca="1">IFERROR(INDEX(Leccion[selectorLeccion],SMALL(IF(BR$1=Leccion[SubSección],MATCH(ROW(Leccion[SubSección]),ROW(Leccion[SubSección]))),ROW(BQ18))),"")</f>
        <v/>
      </c>
      <c r="BS19" s="51" t="str">
        <f t="array" aca="1" ref="BS19" ca="1">IFERROR(INDEX(Leccion[selectorLeccion],SMALL(IF(BS$1=Leccion[SubSección],MATCH(ROW(Leccion[SubSección]),ROW(Leccion[SubSección]))),ROW(BR18))),"")</f>
        <v/>
      </c>
      <c r="BT19" s="51" t="str">
        <f t="array" aca="1" ref="BT19" ca="1">IFERROR(INDEX(Leccion[selectorLeccion],SMALL(IF(BT$1=Leccion[SubSección],MATCH(ROW(Leccion[SubSección]),ROW(Leccion[SubSección]))),ROW(BS18))),"")</f>
        <v/>
      </c>
      <c r="BU19" s="51" t="str">
        <f t="array" aca="1" ref="BU19" ca="1">IFERROR(INDEX(Leccion[selectorLeccion],SMALL(IF(BU$1=Leccion[SubSección],MATCH(ROW(Leccion[SubSección]),ROW(Leccion[SubSección]))),ROW(BT18))),"")</f>
        <v/>
      </c>
      <c r="BV19" s="51" t="str">
        <f t="array" aca="1" ref="BV19" ca="1">IFERROR(INDEX(Leccion[selectorLeccion],SMALL(IF(BV$1=Leccion[SubSección],MATCH(ROW(Leccion[SubSección]),ROW(Leccion[SubSección]))),ROW(BU18))),"")</f>
        <v/>
      </c>
      <c r="BW19" s="51" t="str">
        <f t="array" aca="1" ref="BW19" ca="1">IFERROR(INDEX(Leccion[selectorLeccion],SMALL(IF(BW$1=Leccion[SubSección],MATCH(ROW(Leccion[SubSección]),ROW(Leccion[SubSección]))),ROW(BV18))),"")</f>
        <v/>
      </c>
      <c r="BX19" s="51" t="str">
        <f t="array" aca="1" ref="BX19" ca="1">IFERROR(INDEX(Leccion[selectorLeccion],SMALL(IF(BX$1=Leccion[SubSección],MATCH(ROW(Leccion[SubSección]),ROW(Leccion[SubSección]))),ROW(BW18))),"")</f>
        <v/>
      </c>
      <c r="BY19" s="51" t="str">
        <f t="array" aca="1" ref="BY19" ca="1">IFERROR(INDEX(Leccion[selectorLeccion],SMALL(IF(BY$1=Leccion[SubSección],MATCH(ROW(Leccion[SubSección]),ROW(Leccion[SubSección]))),ROW(BX18))),"")</f>
        <v/>
      </c>
      <c r="BZ19" s="51" t="str">
        <f t="array" aca="1" ref="BZ19" ca="1">IFERROR(INDEX(Leccion[selectorLeccion],SMALL(IF(BZ$1=Leccion[SubSección],MATCH(ROW(Leccion[SubSección]),ROW(Leccion[SubSección]))),ROW(BY18))),"")</f>
        <v/>
      </c>
      <c r="CA19" s="51" t="str">
        <f t="array" aca="1" ref="CA19" ca="1">IFERROR(INDEX(Leccion[selectorLeccion],SMALL(IF(CA$1=Leccion[SubSección],MATCH(ROW(Leccion[SubSección]),ROW(Leccion[SubSección]))),ROW(BZ18))),"")</f>
        <v/>
      </c>
      <c r="CB19" s="51" t="str">
        <f t="array" aca="1" ref="CB19" ca="1">IFERROR(INDEX(Leccion[selectorLeccion],SMALL(IF(CB$1=Leccion[SubSección],MATCH(ROW(Leccion[SubSección]),ROW(Leccion[SubSección]))),ROW(CA18))),"")</f>
        <v/>
      </c>
      <c r="CC19" s="51" t="str">
        <f t="array" aca="1" ref="CC19" ca="1">IFERROR(INDEX(Leccion[selectorLeccion],SMALL(IF(CC$1=Leccion[SubSección],MATCH(ROW(Leccion[SubSección]),ROW(Leccion[SubSección]))),ROW(CB18))),"")</f>
        <v/>
      </c>
      <c r="CD19" s="51" t="str">
        <f t="array" aca="1" ref="CD19" ca="1">IFERROR(INDEX(Leccion[selectorLeccion],SMALL(IF(CD$1=Leccion[SubSección],MATCH(ROW(Leccion[SubSección]),ROW(Leccion[SubSección]))),ROW(CC18))),"")</f>
        <v/>
      </c>
      <c r="CE19" s="51" t="str">
        <f t="array" aca="1" ref="CE19" ca="1">IFERROR(INDEX(Leccion[selectorLeccion],SMALL(IF(CE$1=Leccion[SubSección],MATCH(ROW(Leccion[SubSección]),ROW(Leccion[SubSección]))),ROW(CD18))),"")</f>
        <v/>
      </c>
      <c r="CF19" s="51" t="str">
        <f t="array" aca="1" ref="CF19" ca="1">IFERROR(INDEX(Leccion[selectorLeccion],SMALL(IF(CF$1=Leccion[SubSección],MATCH(ROW(Leccion[SubSección]),ROW(Leccion[SubSección]))),ROW(CE18))),"")</f>
        <v/>
      </c>
      <c r="CG19" s="51" t="str">
        <f t="array" aca="1" ref="CG19" ca="1">IFERROR(INDEX(Leccion[selectorLeccion],SMALL(IF(CG$1=Leccion[SubSección],MATCH(ROW(Leccion[SubSección]),ROW(Leccion[SubSección]))),ROW(CF18))),"")</f>
        <v/>
      </c>
      <c r="CH19" s="51" t="str">
        <f t="array" aca="1" ref="CH19" ca="1">IFERROR(INDEX(Leccion[selectorLeccion],SMALL(IF(CH$1=Leccion[SubSección],MATCH(ROW(Leccion[SubSección]),ROW(Leccion[SubSección]))),ROW(CG18))),"")</f>
        <v/>
      </c>
      <c r="CI19" s="51" t="str">
        <f t="array" aca="1" ref="CI19" ca="1">IFERROR(INDEX(Leccion[selectorLeccion],SMALL(IF(CI$1=Leccion[SubSección],MATCH(ROW(Leccion[SubSección]),ROW(Leccion[SubSección]))),ROW(CH18))),"")</f>
        <v/>
      </c>
      <c r="CJ19" s="51" t="str">
        <f t="array" aca="1" ref="CJ19" ca="1">IFERROR(INDEX(Leccion[selectorLeccion],SMALL(IF(CJ$1=Leccion[SubSección],MATCH(ROW(Leccion[SubSección]),ROW(Leccion[SubSección]))),ROW(CI18))),"")</f>
        <v/>
      </c>
      <c r="CK19" s="51" t="str">
        <f t="array" aca="1" ref="CK19" ca="1">IFERROR(INDEX(Leccion[selectorLeccion],SMALL(IF(CK$1=Leccion[SubSección],MATCH(ROW(Leccion[SubSección]),ROW(Leccion[SubSección]))),ROW(CJ18))),"")</f>
        <v/>
      </c>
      <c r="CL19" s="51" t="str">
        <f t="array" aca="1" ref="CL19" ca="1">IFERROR(INDEX(Leccion[selectorLeccion],SMALL(IF(CL$1=Leccion[SubSección],MATCH(ROW(Leccion[SubSección]),ROW(Leccion[SubSección]))),ROW(CK18))),"")</f>
        <v/>
      </c>
      <c r="CM19" s="51" t="str">
        <f t="array" aca="1" ref="CM19" ca="1">IFERROR(INDEX(Leccion[selectorLeccion],SMALL(IF(CM$1=Leccion[SubSección],MATCH(ROW(Leccion[SubSección]),ROW(Leccion[SubSección]))),ROW(CL18))),"")</f>
        <v/>
      </c>
      <c r="CN19" s="51" t="str">
        <f t="array" aca="1" ref="CN19" ca="1">IFERROR(INDEX(Leccion[selectorLeccion],SMALL(IF(CN$1=Leccion[SubSección],MATCH(ROW(Leccion[SubSección]),ROW(Leccion[SubSección]))),ROW(CM18))),"")</f>
        <v/>
      </c>
      <c r="CO19" s="51" t="str">
        <f t="array" aca="1" ref="CO19" ca="1">IFERROR(INDEX(Leccion[selectorLeccion],SMALL(IF(CO$1=Leccion[SubSección],MATCH(ROW(Leccion[SubSección]),ROW(Leccion[SubSección]))),ROW(CN18))),"")</f>
        <v/>
      </c>
      <c r="CP19" s="51" t="str">
        <f t="array" aca="1" ref="CP19" ca="1">IFERROR(INDEX(Leccion[selectorLeccion],SMALL(IF(CP$1=Leccion[SubSección],MATCH(ROW(Leccion[SubSección]),ROW(Leccion[SubSección]))),ROW(CO18))),"")</f>
        <v/>
      </c>
      <c r="CQ19" s="51" t="str">
        <f t="array" aca="1" ref="CQ19" ca="1">IFERROR(INDEX(Leccion[selectorLeccion],SMALL(IF(CQ$1=Leccion[SubSección],MATCH(ROW(Leccion[SubSección]),ROW(Leccion[SubSección]))),ROW(CP18))),"")</f>
        <v/>
      </c>
      <c r="CR19" s="51" t="str">
        <f t="array" aca="1" ref="CR19" ca="1">IFERROR(INDEX(Leccion[selectorLeccion],SMALL(IF(CR$1=Leccion[SubSección],MATCH(ROW(Leccion[SubSección]),ROW(Leccion[SubSección]))),ROW(CQ18))),"")</f>
        <v/>
      </c>
      <c r="CS19" s="51" t="str">
        <f t="array" aca="1" ref="CS19" ca="1">IFERROR(INDEX(Leccion[selectorLeccion],SMALL(IF(CS$1=Leccion[SubSección],MATCH(ROW(Leccion[SubSección]),ROW(Leccion[SubSección]))),ROW(CR18))),"")</f>
        <v/>
      </c>
      <c r="CT19" s="51" t="str">
        <f t="array" aca="1" ref="CT19" ca="1">IFERROR(INDEX(Leccion[selectorLeccion],SMALL(IF(CT$1=Leccion[SubSección],MATCH(ROW(Leccion[SubSección]),ROW(Leccion[SubSección]))),ROW(CS18))),"")</f>
        <v/>
      </c>
      <c r="CU19" s="51" t="str">
        <f t="array" aca="1" ref="CU19" ca="1">IFERROR(INDEX(Leccion[selectorLeccion],SMALL(IF(CU$1=Leccion[SubSección],MATCH(ROW(Leccion[SubSección]),ROW(Leccion[SubSección]))),ROW(CT18))),"")</f>
        <v/>
      </c>
      <c r="CV19" s="51" t="str">
        <f t="array" aca="1" ref="CV19" ca="1">IFERROR(INDEX(Leccion[selectorLeccion],SMALL(IF(CV$1=Leccion[SubSección],MATCH(ROW(Leccion[SubSección]),ROW(Leccion[SubSección]))),ROW(CU18))),"")</f>
        <v/>
      </c>
      <c r="CW19" s="51" t="str">
        <f t="array" aca="1" ref="CW19" ca="1">IFERROR(INDEX(Leccion[selectorLeccion],SMALL(IF(CW$1=Leccion[SubSección],MATCH(ROW(Leccion[SubSección]),ROW(Leccion[SubSección]))),ROW(CV18))),"")</f>
        <v/>
      </c>
      <c r="CX19" s="51" t="str">
        <f t="array" aca="1" ref="CX19" ca="1">IFERROR(INDEX(Leccion[selectorLeccion],SMALL(IF(CX$1=Leccion[SubSección],MATCH(ROW(Leccion[SubSección]),ROW(Leccion[SubSección]))),ROW(CW18))),"")</f>
        <v/>
      </c>
      <c r="CY19" s="51" t="str">
        <f t="array" aca="1" ref="CY19" ca="1">IFERROR(INDEX(Leccion[selectorLeccion],SMALL(IF(CY$1=Leccion[SubSección],MATCH(ROW(Leccion[SubSección]),ROW(Leccion[SubSección]))),ROW(CX18))),"")</f>
        <v/>
      </c>
      <c r="CZ19" s="51" t="str">
        <f t="array" aca="1" ref="CZ19" ca="1">IFERROR(INDEX(Leccion[selectorLeccion],SMALL(IF(CZ$1=Leccion[SubSección],MATCH(ROW(Leccion[SubSección]),ROW(Leccion[SubSección]))),ROW(CY18))),"")</f>
        <v/>
      </c>
      <c r="DA19" s="51" t="str">
        <f t="array" aca="1" ref="DA19" ca="1">IFERROR(INDEX(Leccion[selectorLeccion],SMALL(IF(DA$1=Leccion[SubSección],MATCH(ROW(Leccion[SubSección]),ROW(Leccion[SubSección]))),ROW(CZ18))),"")</f>
        <v/>
      </c>
      <c r="DB19" s="51" t="str">
        <f t="array" aca="1" ref="DB19" ca="1">IFERROR(INDEX(Leccion[selectorLeccion],SMALL(IF(DB$1=Leccion[SubSección],MATCH(ROW(Leccion[SubSección]),ROW(Leccion[SubSección]))),ROW(DA18))),"")</f>
        <v/>
      </c>
      <c r="DC19" s="51" t="str">
        <f t="array" aca="1" ref="DC19" ca="1">IFERROR(INDEX(Leccion[selectorLeccion],SMALL(IF(DC$1=Leccion[SubSección],MATCH(ROW(Leccion[SubSección]),ROW(Leccion[SubSección]))),ROW(DB18))),"")</f>
        <v/>
      </c>
      <c r="DD19" s="51" t="str">
        <f t="array" aca="1" ref="DD19" ca="1">IFERROR(INDEX(Leccion[selectorLeccion],SMALL(IF(DD$1=Leccion[SubSección],MATCH(ROW(Leccion[SubSección]),ROW(Leccion[SubSección]))),ROW(DC18))),"")</f>
        <v/>
      </c>
      <c r="DE19" s="51" t="str">
        <f t="array" aca="1" ref="DE19" ca="1">IFERROR(INDEX(Leccion[selectorLeccion],SMALL(IF(DE$1=Leccion[SubSección],MATCH(ROW(Leccion[SubSección]),ROW(Leccion[SubSección]))),ROW(DD18))),"")</f>
        <v/>
      </c>
      <c r="DF19" s="51" t="str">
        <f t="array" aca="1" ref="DF19" ca="1">IFERROR(INDEX(Leccion[selectorLeccion],SMALL(IF(DF$1=Leccion[SubSección],MATCH(ROW(Leccion[SubSección]),ROW(Leccion[SubSección]))),ROW(DE18))),"")</f>
        <v/>
      </c>
      <c r="DG19" s="51" t="str">
        <f t="array" aca="1" ref="DG19" ca="1">IFERROR(INDEX(Leccion[selectorLeccion],SMALL(IF(DG$1=Leccion[SubSección],MATCH(ROW(Leccion[SubSección]),ROW(Leccion[SubSección]))),ROW(DF18))),"")</f>
        <v/>
      </c>
      <c r="DH19" s="51" t="str">
        <f t="array" aca="1" ref="DH19" ca="1">IFERROR(INDEX(Leccion[selectorLeccion],SMALL(IF(DH$1=Leccion[SubSección],MATCH(ROW(Leccion[SubSección]),ROW(Leccion[SubSección]))),ROW(DG18))),"")</f>
        <v/>
      </c>
      <c r="DI19" s="51" t="str">
        <f t="array" aca="1" ref="DI19" ca="1">IFERROR(INDEX(Leccion[selectorLeccion],SMALL(IF(DI$1=Leccion[SubSección],MATCH(ROW(Leccion[SubSección]),ROW(Leccion[SubSección]))),ROW(DH18))),"")</f>
        <v/>
      </c>
      <c r="DJ19" s="51" t="str">
        <f t="array" aca="1" ref="DJ19" ca="1">IFERROR(INDEX(Leccion[selectorLeccion],SMALL(IF(DJ$1=Leccion[SubSección],MATCH(ROW(Leccion[SubSección]),ROW(Leccion[SubSección]))),ROW(DI18))),"")</f>
        <v/>
      </c>
      <c r="DK19" s="51" t="str">
        <f t="array" aca="1" ref="DK19" ca="1">IFERROR(INDEX(Leccion[selectorLeccion],SMALL(IF(DK$1=Leccion[SubSección],MATCH(ROW(Leccion[SubSección]),ROW(Leccion[SubSección]))),ROW(DJ18))),"")</f>
        <v/>
      </c>
      <c r="DL19" s="51" t="str">
        <f t="array" aca="1" ref="DL19" ca="1">IFERROR(INDEX(Leccion[selectorLeccion],SMALL(IF(DL$1=Leccion[SubSección],MATCH(ROW(Leccion[SubSección]),ROW(Leccion[SubSección]))),ROW(DK18))),"")</f>
        <v/>
      </c>
      <c r="DM19" s="51" t="str">
        <f t="array" aca="1" ref="DM19" ca="1">IFERROR(INDEX(Leccion[selectorLeccion],SMALL(IF(DM$1=Leccion[SubSección],MATCH(ROW(Leccion[SubSección]),ROW(Leccion[SubSección]))),ROW(DL18))),"")</f>
        <v/>
      </c>
      <c r="DN19" s="51" t="str">
        <f t="array" aca="1" ref="DN19" ca="1">IFERROR(INDEX(Leccion[selectorLeccion],SMALL(IF(DN$1=Leccion[SubSección],MATCH(ROW(Leccion[SubSección]),ROW(Leccion[SubSección]))),ROW(DM18))),"")</f>
        <v/>
      </c>
      <c r="DO19" s="51" t="str">
        <f t="array" aca="1" ref="DO19" ca="1">IFERROR(INDEX(Leccion[selectorLeccion],SMALL(IF(DO$1=Leccion[SubSección],MATCH(ROW(Leccion[SubSección]),ROW(Leccion[SubSección]))),ROW(DN18))),"")</f>
        <v/>
      </c>
      <c r="DP19" s="51" t="str">
        <f t="array" aca="1" ref="DP19" ca="1">IFERROR(INDEX(Leccion[selectorLeccion],SMALL(IF(DP$1=Leccion[SubSección],MATCH(ROW(Leccion[SubSección]),ROW(Leccion[SubSección]))),ROW(DO18))),"")</f>
        <v/>
      </c>
      <c r="DQ19" s="51" t="str">
        <f t="array" aca="1" ref="DQ19" ca="1">IFERROR(INDEX(Leccion[selectorLeccion],SMALL(IF(DQ$1=Leccion[SubSección],MATCH(ROW(Leccion[SubSección]),ROW(Leccion[SubSección]))),ROW(DP18))),"")</f>
        <v/>
      </c>
      <c r="DR19" s="51" t="str">
        <f t="array" aca="1" ref="DR19" ca="1">IFERROR(INDEX(Leccion[selectorLeccion],SMALL(IF(DR$1=Leccion[SubSección],MATCH(ROW(Leccion[SubSección]),ROW(Leccion[SubSección]))),ROW(DQ18))),"")</f>
        <v/>
      </c>
      <c r="DS19" s="51" t="str">
        <f t="array" aca="1" ref="DS19" ca="1">IFERROR(INDEX(Leccion[selectorLeccion],SMALL(IF(DS$1=Leccion[SubSección],MATCH(ROW(Leccion[SubSección]),ROW(Leccion[SubSección]))),ROW(DR18))),"")</f>
        <v/>
      </c>
      <c r="DT19" s="51" t="str">
        <f t="array" aca="1" ref="DT19" ca="1">IFERROR(INDEX(Leccion[selectorLeccion],SMALL(IF(DT$1=Leccion[SubSección],MATCH(ROW(Leccion[SubSección]),ROW(Leccion[SubSección]))),ROW(DS18))),"")</f>
        <v/>
      </c>
      <c r="DU19" s="51" t="str">
        <f t="array" aca="1" ref="DU19" ca="1">IFERROR(INDEX(Leccion[selectorLeccion],SMALL(IF(DU$1=Leccion[SubSección],MATCH(ROW(Leccion[SubSección]),ROW(Leccion[SubSección]))),ROW(DT18))),"")</f>
        <v/>
      </c>
      <c r="DV19" s="51" t="str">
        <f t="array" aca="1" ref="DV19" ca="1">IFERROR(INDEX(Leccion[selectorLeccion],SMALL(IF(DV$1=Leccion[SubSección],MATCH(ROW(Leccion[SubSección]),ROW(Leccion[SubSección]))),ROW(DU18))),"")</f>
        <v/>
      </c>
      <c r="DW19" s="51" t="str">
        <f t="array" aca="1" ref="DW19" ca="1">IFERROR(INDEX(Leccion[selectorLeccion],SMALL(IF(DW$1=Leccion[SubSección],MATCH(ROW(Leccion[SubSección]),ROW(Leccion[SubSección]))),ROW(DV18))),"")</f>
        <v/>
      </c>
      <c r="DX19" s="51" t="str">
        <f t="array" aca="1" ref="DX19" ca="1">IFERROR(INDEX(Leccion[selectorLeccion],SMALL(IF(DX$1=Leccion[SubSección],MATCH(ROW(Leccion[SubSección]),ROW(Leccion[SubSección]))),ROW(DW18))),"")</f>
        <v/>
      </c>
      <c r="DY19" s="51" t="str">
        <f t="array" aca="1" ref="DY19" ca="1">IFERROR(INDEX(Leccion[selectorLeccion],SMALL(IF(DY$1=Leccion[SubSección],MATCH(ROW(Leccion[SubSección]),ROW(Leccion[SubSección]))),ROW(DX18))),"")</f>
        <v/>
      </c>
      <c r="DZ19" s="51" t="str">
        <f t="array" aca="1" ref="DZ19" ca="1">IFERROR(INDEX(Leccion[selectorLeccion],SMALL(IF(DZ$1=Leccion[SubSección],MATCH(ROW(Leccion[SubSección]),ROW(Leccion[SubSección]))),ROW(DY18))),"")</f>
        <v/>
      </c>
      <c r="EA19" s="51" t="str">
        <f t="array" aca="1" ref="EA19" ca="1">IFERROR(INDEX(Leccion[selectorLeccion],SMALL(IF(EA$1=Leccion[SubSección],MATCH(ROW(Leccion[SubSección]),ROW(Leccion[SubSección]))),ROW(DZ18))),"")</f>
        <v/>
      </c>
      <c r="EB19" s="51" t="str">
        <f t="array" aca="1" ref="EB19" ca="1">IFERROR(INDEX(Leccion[selectorLeccion],SMALL(IF(EB$1=Leccion[SubSección],MATCH(ROW(Leccion[SubSección]),ROW(Leccion[SubSección]))),ROW(EA18))),"")</f>
        <v/>
      </c>
      <c r="EC19" s="51" t="str">
        <f t="array" aca="1" ref="EC19" ca="1">IFERROR(INDEX(Leccion[selectorLeccion],SMALL(IF(EC$1=Leccion[SubSección],MATCH(ROW(Leccion[SubSección]),ROW(Leccion[SubSección]))),ROW(EB18))),"")</f>
        <v/>
      </c>
      <c r="ED19" s="51" t="str">
        <f t="array" aca="1" ref="ED19" ca="1">IFERROR(INDEX(Leccion[selectorLeccion],SMALL(IF(ED$1=Leccion[SubSección],MATCH(ROW(Leccion[SubSección]),ROW(Leccion[SubSección]))),ROW(EC18))),"")</f>
        <v/>
      </c>
      <c r="EE19" s="51" t="str">
        <f t="array" aca="1" ref="EE19" ca="1">IFERROR(INDEX(Leccion[selectorLeccion],SMALL(IF(EE$1=Leccion[SubSección],MATCH(ROW(Leccion[SubSección]),ROW(Leccion[SubSección]))),ROW(ED18))),"")</f>
        <v/>
      </c>
      <c r="EF19" s="51" t="str">
        <f t="array" aca="1" ref="EF19" ca="1">IFERROR(INDEX(Leccion[selectorLeccion],SMALL(IF(EF$1=Leccion[SubSección],MATCH(ROW(Leccion[SubSección]),ROW(Leccion[SubSección]))),ROW(EE18))),"")</f>
        <v/>
      </c>
      <c r="EG19" s="51" t="str">
        <f t="array" aca="1" ref="EG19" ca="1">IFERROR(INDEX(Leccion[selectorLeccion],SMALL(IF(EG$1=Leccion[SubSección],MATCH(ROW(Leccion[SubSección]),ROW(Leccion[SubSección]))),ROW(EF18))),"")</f>
        <v/>
      </c>
      <c r="EH19" s="51" t="str">
        <f t="array" aca="1" ref="EH19" ca="1">IFERROR(INDEX(Leccion[selectorLeccion],SMALL(IF(EH$1=Leccion[SubSección],MATCH(ROW(Leccion[SubSección]),ROW(Leccion[SubSección]))),ROW(EG18))),"")</f>
        <v/>
      </c>
      <c r="EI19" s="51" t="str">
        <f t="array" aca="1" ref="EI19" ca="1">IFERROR(INDEX(Leccion[selectorLeccion],SMALL(IF(EI$1=Leccion[SubSección],MATCH(ROW(Leccion[SubSección]),ROW(Leccion[SubSección]))),ROW(EH18))),"")</f>
        <v/>
      </c>
      <c r="EJ19" s="51" t="str">
        <f t="array" aca="1" ref="EJ19" ca="1">IFERROR(INDEX(Leccion[selectorLeccion],SMALL(IF(EJ$1=Leccion[SubSección],MATCH(ROW(Leccion[SubSección]),ROW(Leccion[SubSección]))),ROW(EI18))),"")</f>
        <v/>
      </c>
      <c r="EK19" s="51" t="str">
        <f t="array" aca="1" ref="EK19" ca="1">IFERROR(INDEX(Leccion[selectorLeccion],SMALL(IF(EK$1=Leccion[SubSección],MATCH(ROW(Leccion[SubSección]),ROW(Leccion[SubSección]))),ROW(EJ18))),"")</f>
        <v/>
      </c>
      <c r="EL19" s="51" t="str">
        <f t="array" aca="1" ref="EL19" ca="1">IFERROR(INDEX(Leccion[selectorLeccion],SMALL(IF(EL$1=Leccion[SubSección],MATCH(ROW(Leccion[SubSección]),ROW(Leccion[SubSección]))),ROW(EK18))),"")</f>
        <v/>
      </c>
      <c r="EM19" s="51" t="str">
        <f t="array" aca="1" ref="EM19" ca="1">IFERROR(INDEX(Leccion[selectorLeccion],SMALL(IF(EM$1=Leccion[SubSección],MATCH(ROW(Leccion[SubSección]),ROW(Leccion[SubSección]))),ROW(EL18))),"")</f>
        <v/>
      </c>
      <c r="EN19" s="51" t="str">
        <f t="array" aca="1" ref="EN19" ca="1">IFERROR(INDEX(Leccion[selectorLeccion],SMALL(IF(EN$1=Leccion[SubSección],MATCH(ROW(Leccion[SubSección]),ROW(Leccion[SubSección]))),ROW(EM18))),"")</f>
        <v/>
      </c>
      <c r="EO19" s="51" t="str">
        <f t="array" aca="1" ref="EO19" ca="1">IFERROR(INDEX(Leccion[selectorLeccion],SMALL(IF(EO$1=Leccion[SubSección],MATCH(ROW(Leccion[SubSección]),ROW(Leccion[SubSección]))),ROW(EN18))),"")</f>
        <v/>
      </c>
      <c r="EP19" s="51" t="str">
        <f t="array" aca="1" ref="EP19" ca="1">IFERROR(INDEX(Leccion[selectorLeccion],SMALL(IF(EP$1=Leccion[SubSección],MATCH(ROW(Leccion[SubSección]),ROW(Leccion[SubSección]))),ROW(EO18))),"")</f>
        <v/>
      </c>
      <c r="EQ19" s="51" t="str">
        <f t="array" aca="1" ref="EQ19" ca="1">IFERROR(INDEX(Leccion[selectorLeccion],SMALL(IF(EQ$1=Leccion[SubSección],MATCH(ROW(Leccion[SubSección]),ROW(Leccion[SubSección]))),ROW(EP18))),"")</f>
        <v/>
      </c>
      <c r="ER19" s="51" t="str">
        <f t="array" aca="1" ref="ER19" ca="1">IFERROR(INDEX(Leccion[selectorLeccion],SMALL(IF(ER$1=Leccion[SubSección],MATCH(ROW(Leccion[SubSección]),ROW(Leccion[SubSección]))),ROW(EQ18))),"")</f>
        <v/>
      </c>
      <c r="ES19" s="51" t="str">
        <f t="array" aca="1" ref="ES19" ca="1">IFERROR(INDEX(Leccion[selectorLeccion],SMALL(IF(ES$1=Leccion[SubSección],MATCH(ROW(Leccion[SubSección]),ROW(Leccion[SubSección]))),ROW(ER18))),"")</f>
        <v/>
      </c>
      <c r="ET19" s="51" t="str">
        <f t="array" aca="1" ref="ET19" ca="1">IFERROR(INDEX(Leccion[selectorLeccion],SMALL(IF(ET$1=Leccion[SubSección],MATCH(ROW(Leccion[SubSección]),ROW(Leccion[SubSección]))),ROW(ES18))),"")</f>
        <v/>
      </c>
      <c r="EU19" s="51" t="str">
        <f t="array" aca="1" ref="EU19" ca="1">IFERROR(INDEX(Leccion[selectorLeccion],SMALL(IF(EU$1=Leccion[SubSección],MATCH(ROW(Leccion[SubSección]),ROW(Leccion[SubSección]))),ROW(ET18))),"")</f>
        <v/>
      </c>
      <c r="EV19" s="51" t="str">
        <f t="array" aca="1" ref="EV19" ca="1">IFERROR(INDEX(Leccion[selectorLeccion],SMALL(IF(EV$1=Leccion[SubSección],MATCH(ROW(Leccion[SubSección]),ROW(Leccion[SubSección]))),ROW(EU18))),"")</f>
        <v/>
      </c>
      <c r="EW19" s="51" t="str">
        <f t="array" aca="1" ref="EW19" ca="1">IFERROR(INDEX(Leccion[selectorLeccion],SMALL(IF(EW$1=Leccion[SubSección],MATCH(ROW(Leccion[SubSección]),ROW(Leccion[SubSección]))),ROW(EV18))),"")</f>
        <v/>
      </c>
      <c r="EX19" s="51" t="str">
        <f t="array" aca="1" ref="EX19" ca="1">IFERROR(INDEX(Leccion[selectorLeccion],SMALL(IF(EX$1=Leccion[SubSección],MATCH(ROW(Leccion[SubSección]),ROW(Leccion[SubSección]))),ROW(EW18))),"")</f>
        <v/>
      </c>
      <c r="EY19" s="51" t="str">
        <f t="array" aca="1" ref="EY19" ca="1">IFERROR(INDEX(Leccion[selectorLeccion],SMALL(IF(EY$1=Leccion[SubSección],MATCH(ROW(Leccion[SubSección]),ROW(Leccion[SubSección]))),ROW(EX18))),"")</f>
        <v/>
      </c>
      <c r="EZ19" s="51" t="str">
        <f t="array" aca="1" ref="EZ19" ca="1">IFERROR(INDEX(Leccion[selectorLeccion],SMALL(IF(EZ$1=Leccion[SubSección],MATCH(ROW(Leccion[SubSección]),ROW(Leccion[SubSección]))),ROW(EY18))),"")</f>
        <v/>
      </c>
    </row>
    <row r="20" spans="2:156" x14ac:dyDescent="0.3">
      <c r="B20" s="51" t="str">
        <f t="array" aca="1" ref="B20" ca="1">IFERROR(INDEX(Leccion[selectorLeccion],SMALL(IF(B$1=Leccion[SubSección],MATCH(ROW(Leccion[SubSección]),ROW(Leccion[SubSección]))),ROW(A19))),"")</f>
        <v/>
      </c>
      <c r="C20" s="51" t="str">
        <f t="array" aca="1" ref="C20" ca="1">IFERROR(INDEX(Leccion[selectorLeccion],SMALL(IF(C$1=Leccion[SubSección],MATCH(ROW(Leccion[SubSección]),ROW(Leccion[SubSección]))),ROW(B19))),"")</f>
        <v/>
      </c>
      <c r="D20" s="51" t="str">
        <f t="array" aca="1" ref="D20" ca="1">IFERROR(INDEX(Leccion[selectorLeccion],SMALL(IF(D$1=Leccion[SubSección],MATCH(ROW(Leccion[SubSección]),ROW(Leccion[SubSección]))),ROW(C19))),"")</f>
        <v/>
      </c>
      <c r="E20" s="51" t="str">
        <f t="array" aca="1" ref="E20" ca="1">IFERROR(INDEX(Leccion[selectorLeccion],SMALL(IF(E$1=Leccion[SubSección],MATCH(ROW(Leccion[SubSección]),ROW(Leccion[SubSección]))),ROW(D19))),"")</f>
        <v/>
      </c>
      <c r="F20" s="51" t="str">
        <f t="array" aca="1" ref="F20" ca="1">IFERROR(INDEX(Leccion[selectorLeccion],SMALL(IF(F$1=Leccion[SubSección],MATCH(ROW(Leccion[SubSección]),ROW(Leccion[SubSección]))),ROW(E19))),"")</f>
        <v/>
      </c>
      <c r="G20" s="51" t="str">
        <f t="array" aca="1" ref="G20" ca="1">IFERROR(INDEX(Leccion[selectorLeccion],SMALL(IF(G$1=Leccion[SubSección],MATCH(ROW(Leccion[SubSección]),ROW(Leccion[SubSección]))),ROW(F19))),"")</f>
        <v/>
      </c>
      <c r="H20" s="51" t="str">
        <f t="array" aca="1" ref="H20" ca="1">IFERROR(INDEX(Leccion[selectorLeccion],SMALL(IF(H$1=Leccion[SubSección],MATCH(ROW(Leccion[SubSección]),ROW(Leccion[SubSección]))),ROW(G19))),"")</f>
        <v/>
      </c>
      <c r="I20" s="51" t="str">
        <f t="array" aca="1" ref="I20" ca="1">IFERROR(INDEX(Leccion[selectorLeccion],SMALL(IF(I$1=Leccion[SubSección],MATCH(ROW(Leccion[SubSección]),ROW(Leccion[SubSección]))),ROW(H19))),"")</f>
        <v/>
      </c>
      <c r="J20" s="51" t="str">
        <f t="array" aca="1" ref="J20" ca="1">IFERROR(INDEX(Leccion[selectorLeccion],SMALL(IF(J$1=Leccion[SubSección],MATCH(ROW(Leccion[SubSección]),ROW(Leccion[SubSección]))),ROW(I19))),"")</f>
        <v/>
      </c>
      <c r="K20" s="51" t="str">
        <f t="array" aca="1" ref="K20" ca="1">IFERROR(INDEX(Leccion[selectorLeccion],SMALL(IF(K$1=Leccion[SubSección],MATCH(ROW(Leccion[SubSección]),ROW(Leccion[SubSección]))),ROW(J19))),"")</f>
        <v/>
      </c>
      <c r="L20" s="51" t="str">
        <f t="array" aca="1" ref="L20" ca="1">IFERROR(INDEX(Leccion[selectorLeccion],SMALL(IF(L$1=Leccion[SubSección],MATCH(ROW(Leccion[SubSección]),ROW(Leccion[SubSección]))),ROW(K19))),"")</f>
        <v/>
      </c>
      <c r="M20" s="51" t="str">
        <f t="array" aca="1" ref="M20" ca="1">IFERROR(INDEX(Leccion[selectorLeccion],SMALL(IF(M$1=Leccion[SubSección],MATCH(ROW(Leccion[SubSección]),ROW(Leccion[SubSección]))),ROW(L19))),"")</f>
        <v/>
      </c>
      <c r="N20" s="51" t="str">
        <f t="array" aca="1" ref="N20" ca="1">IFERROR(INDEX(Leccion[selectorLeccion],SMALL(IF(N$1=Leccion[SubSección],MATCH(ROW(Leccion[SubSección]),ROW(Leccion[SubSección]))),ROW(M19))),"")</f>
        <v/>
      </c>
      <c r="O20" s="51" t="str">
        <f t="array" aca="1" ref="O20" ca="1">IFERROR(INDEX(Leccion[selectorLeccion],SMALL(IF(O$1=Leccion[SubSección],MATCH(ROW(Leccion[SubSección]),ROW(Leccion[SubSección]))),ROW(N19))),"")</f>
        <v/>
      </c>
      <c r="P20" s="51" t="str">
        <f t="array" aca="1" ref="P20" ca="1">IFERROR(INDEX(Leccion[selectorLeccion],SMALL(IF(P$1=Leccion[SubSección],MATCH(ROW(Leccion[SubSección]),ROW(Leccion[SubSección]))),ROW(O19))),"")</f>
        <v/>
      </c>
      <c r="Q20" s="51" t="str">
        <f t="array" aca="1" ref="Q20" ca="1">IFERROR(INDEX(Leccion[selectorLeccion],SMALL(IF(Q$1=Leccion[SubSección],MATCH(ROW(Leccion[SubSección]),ROW(Leccion[SubSección]))),ROW(P19))),"")</f>
        <v/>
      </c>
      <c r="R20" s="51" t="str">
        <f t="array" aca="1" ref="R20" ca="1">IFERROR(INDEX(Leccion[selectorLeccion],SMALL(IF(R$1=Leccion[SubSección],MATCH(ROW(Leccion[SubSección]),ROW(Leccion[SubSección]))),ROW(Q19))),"")</f>
        <v/>
      </c>
      <c r="S20" s="51" t="str">
        <f t="array" aca="1" ref="S20" ca="1">IFERROR(INDEX(Leccion[selectorLeccion],SMALL(IF(S$1=Leccion[SubSección],MATCH(ROW(Leccion[SubSección]),ROW(Leccion[SubSección]))),ROW(R19))),"")</f>
        <v/>
      </c>
      <c r="T20" s="51" t="str">
        <f t="array" aca="1" ref="T20" ca="1">IFERROR(INDEX(Leccion[selectorLeccion],SMALL(IF(T$1=Leccion[SubSección],MATCH(ROW(Leccion[SubSección]),ROW(Leccion[SubSección]))),ROW(S19))),"")</f>
        <v/>
      </c>
      <c r="U20" s="51" t="str">
        <f t="array" aca="1" ref="U20" ca="1">IFERROR(INDEX(Leccion[selectorLeccion],SMALL(IF(U$1=Leccion[SubSección],MATCH(ROW(Leccion[SubSección]),ROW(Leccion[SubSección]))),ROW(T19))),"")</f>
        <v/>
      </c>
      <c r="V20" s="51" t="str">
        <f t="array" aca="1" ref="V20" ca="1">IFERROR(INDEX(Leccion[selectorLeccion],SMALL(IF(V$1=Leccion[SubSección],MATCH(ROW(Leccion[SubSección]),ROW(Leccion[SubSección]))),ROW(U19))),"")</f>
        <v/>
      </c>
      <c r="W20" s="51" t="str">
        <f t="array" aca="1" ref="W20" ca="1">IFERROR(INDEX(Leccion[selectorLeccion],SMALL(IF(W$1=Leccion[SubSección],MATCH(ROW(Leccion[SubSección]),ROW(Leccion[SubSección]))),ROW(V19))),"")</f>
        <v/>
      </c>
      <c r="X20" s="51" t="str">
        <f t="array" aca="1" ref="X20" ca="1">IFERROR(INDEX(Leccion[selectorLeccion],SMALL(IF(X$1=Leccion[SubSección],MATCH(ROW(Leccion[SubSección]),ROW(Leccion[SubSección]))),ROW(W19))),"")</f>
        <v/>
      </c>
      <c r="Y20" s="51" t="str">
        <f t="array" aca="1" ref="Y20" ca="1">IFERROR(INDEX(Leccion[selectorLeccion],SMALL(IF(Y$1=Leccion[SubSección],MATCH(ROW(Leccion[SubSección]),ROW(Leccion[SubSección]))),ROW(X19))),"")</f>
        <v/>
      </c>
      <c r="Z20" s="51" t="str">
        <f t="array" aca="1" ref="Z20" ca="1">IFERROR(INDEX(Leccion[selectorLeccion],SMALL(IF(Z$1=Leccion[SubSección],MATCH(ROW(Leccion[SubSección]),ROW(Leccion[SubSección]))),ROW(Y19))),"")</f>
        <v/>
      </c>
      <c r="AA20" s="51" t="str">
        <f t="array" aca="1" ref="AA20" ca="1">IFERROR(INDEX(Leccion[selectorLeccion],SMALL(IF(AA$1=Leccion[SubSección],MATCH(ROW(Leccion[SubSección]),ROW(Leccion[SubSección]))),ROW(Z19))),"")</f>
        <v/>
      </c>
      <c r="AB20" s="51" t="str">
        <f t="array" aca="1" ref="AB20" ca="1">IFERROR(INDEX(Leccion[selectorLeccion],SMALL(IF(AB$1=Leccion[SubSección],MATCH(ROW(Leccion[SubSección]),ROW(Leccion[SubSección]))),ROW(AA19))),"")</f>
        <v/>
      </c>
      <c r="AC20" s="51" t="str">
        <f t="array" aca="1" ref="AC20" ca="1">IFERROR(INDEX(Leccion[selectorLeccion],SMALL(IF(AC$1=Leccion[SubSección],MATCH(ROW(Leccion[SubSección]),ROW(Leccion[SubSección]))),ROW(AB19))),"")</f>
        <v/>
      </c>
      <c r="AD20" s="51" t="str">
        <f t="array" aca="1" ref="AD20" ca="1">IFERROR(INDEX(Leccion[selectorLeccion],SMALL(IF(AD$1=Leccion[SubSección],MATCH(ROW(Leccion[SubSección]),ROW(Leccion[SubSección]))),ROW(AC19))),"")</f>
        <v/>
      </c>
      <c r="AE20" s="51" t="str">
        <f t="array" aca="1" ref="AE20" ca="1">IFERROR(INDEX(Leccion[selectorLeccion],SMALL(IF(AE$1=Leccion[SubSección],MATCH(ROW(Leccion[SubSección]),ROW(Leccion[SubSección]))),ROW(AD19))),"")</f>
        <v/>
      </c>
      <c r="AF20" s="51" t="str">
        <f t="array" aca="1" ref="AF20" ca="1">IFERROR(INDEX(Leccion[selectorLeccion],SMALL(IF(AF$1=Leccion[SubSección],MATCH(ROW(Leccion[SubSección]),ROW(Leccion[SubSección]))),ROW(AE19))),"")</f>
        <v/>
      </c>
      <c r="AG20" s="51" t="str">
        <f t="array" aca="1" ref="AG20" ca="1">IFERROR(INDEX(Leccion[selectorLeccion],SMALL(IF(AG$1=Leccion[SubSección],MATCH(ROW(Leccion[SubSección]),ROW(Leccion[SubSección]))),ROW(AF19))),"")</f>
        <v/>
      </c>
      <c r="AH20" s="51" t="str">
        <f t="array" aca="1" ref="AH20" ca="1">IFERROR(INDEX(Leccion[selectorLeccion],SMALL(IF(AH$1=Leccion[SubSección],MATCH(ROW(Leccion[SubSección]),ROW(Leccion[SubSección]))),ROW(AG19))),"")</f>
        <v/>
      </c>
      <c r="AI20" s="51" t="str">
        <f t="array" aca="1" ref="AI20" ca="1">IFERROR(INDEX(Leccion[selectorLeccion],SMALL(IF(AI$1=Leccion[SubSección],MATCH(ROW(Leccion[SubSección]),ROW(Leccion[SubSección]))),ROW(AH19))),"")</f>
        <v/>
      </c>
      <c r="AJ20" s="51" t="str">
        <f t="array" aca="1" ref="AJ20" ca="1">IFERROR(INDEX(Leccion[selectorLeccion],SMALL(IF(AJ$1=Leccion[SubSección],MATCH(ROW(Leccion[SubSección]),ROW(Leccion[SubSección]))),ROW(AI19))),"")</f>
        <v/>
      </c>
      <c r="AK20" s="51" t="str">
        <f t="array" aca="1" ref="AK20" ca="1">IFERROR(INDEX(Leccion[selectorLeccion],SMALL(IF(AK$1=Leccion[SubSección],MATCH(ROW(Leccion[SubSección]),ROW(Leccion[SubSección]))),ROW(AJ19))),"")</f>
        <v/>
      </c>
      <c r="AL20" s="51" t="str">
        <f t="array" aca="1" ref="AL20" ca="1">IFERROR(INDEX(Leccion[selectorLeccion],SMALL(IF(AL$1=Leccion[SubSección],MATCH(ROW(Leccion[SubSección]),ROW(Leccion[SubSección]))),ROW(AK19))),"")</f>
        <v/>
      </c>
      <c r="AM20" s="51" t="str">
        <f t="array" aca="1" ref="AM20" ca="1">IFERROR(INDEX(Leccion[selectorLeccion],SMALL(IF(AM$1=Leccion[SubSección],MATCH(ROW(Leccion[SubSección]),ROW(Leccion[SubSección]))),ROW(AL19))),"")</f>
        <v/>
      </c>
      <c r="AN20" s="51" t="str">
        <f t="array" aca="1" ref="AN20" ca="1">IFERROR(INDEX(Leccion[selectorLeccion],SMALL(IF(AN$1=Leccion[SubSección],MATCH(ROW(Leccion[SubSección]),ROW(Leccion[SubSección]))),ROW(AM19))),"")</f>
        <v/>
      </c>
      <c r="AO20" s="51" t="str">
        <f t="array" aca="1" ref="AO20" ca="1">IFERROR(INDEX(Leccion[selectorLeccion],SMALL(IF(AO$1=Leccion[SubSección],MATCH(ROW(Leccion[SubSección]),ROW(Leccion[SubSección]))),ROW(AN19))),"")</f>
        <v/>
      </c>
      <c r="AP20" s="51" t="str">
        <f t="array" aca="1" ref="AP20" ca="1">IFERROR(INDEX(Leccion[selectorLeccion],SMALL(IF(AP$1=Leccion[SubSección],MATCH(ROW(Leccion[SubSección]),ROW(Leccion[SubSección]))),ROW(AO19))),"")</f>
        <v/>
      </c>
      <c r="AQ20" s="51" t="str">
        <f t="array" aca="1" ref="AQ20" ca="1">IFERROR(INDEX(Leccion[selectorLeccion],SMALL(IF(AQ$1=Leccion[SubSección],MATCH(ROW(Leccion[SubSección]),ROW(Leccion[SubSección]))),ROW(AP19))),"")</f>
        <v/>
      </c>
      <c r="AR20" s="51" t="str">
        <f t="array" aca="1" ref="AR20" ca="1">IFERROR(INDEX(Leccion[selectorLeccion],SMALL(IF(AR$1=Leccion[SubSección],MATCH(ROW(Leccion[SubSección]),ROW(Leccion[SubSección]))),ROW(AQ19))),"")</f>
        <v/>
      </c>
      <c r="AS20" s="51" t="str">
        <f t="array" aca="1" ref="AS20" ca="1">IFERROR(INDEX(Leccion[selectorLeccion],SMALL(IF(AS$1=Leccion[SubSección],MATCH(ROW(Leccion[SubSección]),ROW(Leccion[SubSección]))),ROW(AR19))),"")</f>
        <v/>
      </c>
      <c r="AT20" s="51" t="str">
        <f t="array" aca="1" ref="AT20" ca="1">IFERROR(INDEX(Leccion[selectorLeccion],SMALL(IF(AT$1=Leccion[SubSección],MATCH(ROW(Leccion[SubSección]),ROW(Leccion[SubSección]))),ROW(AS19))),"")</f>
        <v/>
      </c>
      <c r="AU20" s="51" t="str">
        <f t="array" aca="1" ref="AU20" ca="1">IFERROR(INDEX(Leccion[selectorLeccion],SMALL(IF(AU$1=Leccion[SubSección],MATCH(ROW(Leccion[SubSección]),ROW(Leccion[SubSección]))),ROW(AT19))),"")</f>
        <v/>
      </c>
      <c r="AV20" s="51" t="str">
        <f t="array" aca="1" ref="AV20" ca="1">IFERROR(INDEX(Leccion[selectorLeccion],SMALL(IF(AV$1=Leccion[SubSección],MATCH(ROW(Leccion[SubSección]),ROW(Leccion[SubSección]))),ROW(AU19))),"")</f>
        <v/>
      </c>
      <c r="AW20" s="51" t="str">
        <f t="array" aca="1" ref="AW20" ca="1">IFERROR(INDEX(Leccion[selectorLeccion],SMALL(IF(AW$1=Leccion[SubSección],MATCH(ROW(Leccion[SubSección]),ROW(Leccion[SubSección]))),ROW(AV19))),"")</f>
        <v/>
      </c>
      <c r="AX20" s="51" t="str">
        <f t="array" aca="1" ref="AX20" ca="1">IFERROR(INDEX(Leccion[selectorLeccion],SMALL(IF(AX$1=Leccion[SubSección],MATCH(ROW(Leccion[SubSección]),ROW(Leccion[SubSección]))),ROW(AW19))),"")</f>
        <v/>
      </c>
      <c r="AY20" s="51" t="str">
        <f t="array" aca="1" ref="AY20" ca="1">IFERROR(INDEX(Leccion[selectorLeccion],SMALL(IF(AY$1=Leccion[SubSección],MATCH(ROW(Leccion[SubSección]),ROW(Leccion[SubSección]))),ROW(AX19))),"")</f>
        <v/>
      </c>
      <c r="AZ20" s="51" t="str">
        <f t="array" aca="1" ref="AZ20" ca="1">IFERROR(INDEX(Leccion[selectorLeccion],SMALL(IF(AZ$1=Leccion[SubSección],MATCH(ROW(Leccion[SubSección]),ROW(Leccion[SubSección]))),ROW(AY19))),"")</f>
        <v/>
      </c>
      <c r="BA20" s="51" t="str">
        <f t="array" aca="1" ref="BA20" ca="1">IFERROR(INDEX(Leccion[selectorLeccion],SMALL(IF(BA$1=Leccion[SubSección],MATCH(ROW(Leccion[SubSección]),ROW(Leccion[SubSección]))),ROW(AZ19))),"")</f>
        <v/>
      </c>
      <c r="BB20" s="51" t="str">
        <f t="array" aca="1" ref="BB20" ca="1">IFERROR(INDEX(Leccion[selectorLeccion],SMALL(IF(BB$1=Leccion[SubSección],MATCH(ROW(Leccion[SubSección]),ROW(Leccion[SubSección]))),ROW(BA19))),"")</f>
        <v/>
      </c>
      <c r="BC20" s="51" t="str">
        <f t="array" aca="1" ref="BC20" ca="1">IFERROR(INDEX(Leccion[selectorLeccion],SMALL(IF(BC$1=Leccion[SubSección],MATCH(ROW(Leccion[SubSección]),ROW(Leccion[SubSección]))),ROW(BB19))),"")</f>
        <v/>
      </c>
      <c r="BD20" s="51" t="str">
        <f t="array" aca="1" ref="BD20" ca="1">IFERROR(INDEX(Leccion[selectorLeccion],SMALL(IF(BD$1=Leccion[SubSección],MATCH(ROW(Leccion[SubSección]),ROW(Leccion[SubSección]))),ROW(BC19))),"")</f>
        <v/>
      </c>
      <c r="BE20" s="51" t="str">
        <f t="array" aca="1" ref="BE20" ca="1">IFERROR(INDEX(Leccion[selectorLeccion],SMALL(IF(BE$1=Leccion[SubSección],MATCH(ROW(Leccion[SubSección]),ROW(Leccion[SubSección]))),ROW(BD19))),"")</f>
        <v/>
      </c>
      <c r="BF20" s="51" t="str">
        <f t="array" aca="1" ref="BF20" ca="1">IFERROR(INDEX(Leccion[selectorLeccion],SMALL(IF(BF$1=Leccion[SubSección],MATCH(ROW(Leccion[SubSección]),ROW(Leccion[SubSección]))),ROW(BE19))),"")</f>
        <v/>
      </c>
      <c r="BG20" s="51" t="str">
        <f t="array" aca="1" ref="BG20" ca="1">IFERROR(INDEX(Leccion[selectorLeccion],SMALL(IF(BG$1=Leccion[SubSección],MATCH(ROW(Leccion[SubSección]),ROW(Leccion[SubSección]))),ROW(BF19))),"")</f>
        <v/>
      </c>
      <c r="BH20" s="51" t="str">
        <f t="array" aca="1" ref="BH20" ca="1">IFERROR(INDEX(Leccion[selectorLeccion],SMALL(IF(BH$1=Leccion[SubSección],MATCH(ROW(Leccion[SubSección]),ROW(Leccion[SubSección]))),ROW(BG19))),"")</f>
        <v/>
      </c>
      <c r="BI20" s="51" t="str">
        <f t="array" aca="1" ref="BI20" ca="1">IFERROR(INDEX(Leccion[selectorLeccion],SMALL(IF(BI$1=Leccion[SubSección],MATCH(ROW(Leccion[SubSección]),ROW(Leccion[SubSección]))),ROW(BH19))),"")</f>
        <v/>
      </c>
      <c r="BJ20" s="51" t="str">
        <f t="array" aca="1" ref="BJ20" ca="1">IFERROR(INDEX(Leccion[selectorLeccion],SMALL(IF(BJ$1=Leccion[SubSección],MATCH(ROW(Leccion[SubSección]),ROW(Leccion[SubSección]))),ROW(BI19))),"")</f>
        <v/>
      </c>
      <c r="BK20" s="51" t="str">
        <f t="array" aca="1" ref="BK20" ca="1">IFERROR(INDEX(Leccion[selectorLeccion],SMALL(IF(BK$1=Leccion[SubSección],MATCH(ROW(Leccion[SubSección]),ROW(Leccion[SubSección]))),ROW(BJ19))),"")</f>
        <v/>
      </c>
      <c r="BL20" s="51" t="str">
        <f t="array" aca="1" ref="BL20" ca="1">IFERROR(INDEX(Leccion[selectorLeccion],SMALL(IF(BL$1=Leccion[SubSección],MATCH(ROW(Leccion[SubSección]),ROW(Leccion[SubSección]))),ROW(BK19))),"")</f>
        <v/>
      </c>
      <c r="BM20" s="51" t="str">
        <f t="array" aca="1" ref="BM20" ca="1">IFERROR(INDEX(Leccion[selectorLeccion],SMALL(IF(BM$1=Leccion[SubSección],MATCH(ROW(Leccion[SubSección]),ROW(Leccion[SubSección]))),ROW(BL19))),"")</f>
        <v/>
      </c>
      <c r="BN20" s="51" t="str">
        <f t="array" aca="1" ref="BN20" ca="1">IFERROR(INDEX(Leccion[selectorLeccion],SMALL(IF(BN$1=Leccion[SubSección],MATCH(ROW(Leccion[SubSección]),ROW(Leccion[SubSección]))),ROW(BM19))),"")</f>
        <v/>
      </c>
      <c r="BO20" s="51" t="str">
        <f t="array" aca="1" ref="BO20" ca="1">IFERROR(INDEX(Leccion[selectorLeccion],SMALL(IF(BO$1=Leccion[SubSección],MATCH(ROW(Leccion[SubSección]),ROW(Leccion[SubSección]))),ROW(BN19))),"")</f>
        <v/>
      </c>
      <c r="BP20" s="51" t="str">
        <f t="array" aca="1" ref="BP20" ca="1">IFERROR(INDEX(Leccion[selectorLeccion],SMALL(IF(BP$1=Leccion[SubSección],MATCH(ROW(Leccion[SubSección]),ROW(Leccion[SubSección]))),ROW(BO19))),"")</f>
        <v/>
      </c>
      <c r="BQ20" s="51" t="str">
        <f t="array" aca="1" ref="BQ20" ca="1">IFERROR(INDEX(Leccion[selectorLeccion],SMALL(IF(BQ$1=Leccion[SubSección],MATCH(ROW(Leccion[SubSección]),ROW(Leccion[SubSección]))),ROW(BP19))),"")</f>
        <v/>
      </c>
      <c r="BR20" s="51" t="str">
        <f t="array" aca="1" ref="BR20" ca="1">IFERROR(INDEX(Leccion[selectorLeccion],SMALL(IF(BR$1=Leccion[SubSección],MATCH(ROW(Leccion[SubSección]),ROW(Leccion[SubSección]))),ROW(BQ19))),"")</f>
        <v/>
      </c>
      <c r="BS20" s="51" t="str">
        <f t="array" aca="1" ref="BS20" ca="1">IFERROR(INDEX(Leccion[selectorLeccion],SMALL(IF(BS$1=Leccion[SubSección],MATCH(ROW(Leccion[SubSección]),ROW(Leccion[SubSección]))),ROW(BR19))),"")</f>
        <v/>
      </c>
      <c r="BT20" s="51" t="str">
        <f t="array" aca="1" ref="BT20" ca="1">IFERROR(INDEX(Leccion[selectorLeccion],SMALL(IF(BT$1=Leccion[SubSección],MATCH(ROW(Leccion[SubSección]),ROW(Leccion[SubSección]))),ROW(BS19))),"")</f>
        <v/>
      </c>
      <c r="BU20" s="51" t="str">
        <f t="array" aca="1" ref="BU20" ca="1">IFERROR(INDEX(Leccion[selectorLeccion],SMALL(IF(BU$1=Leccion[SubSección],MATCH(ROW(Leccion[SubSección]),ROW(Leccion[SubSección]))),ROW(BT19))),"")</f>
        <v/>
      </c>
      <c r="BV20" s="51" t="str">
        <f t="array" aca="1" ref="BV20" ca="1">IFERROR(INDEX(Leccion[selectorLeccion],SMALL(IF(BV$1=Leccion[SubSección],MATCH(ROW(Leccion[SubSección]),ROW(Leccion[SubSección]))),ROW(BU19))),"")</f>
        <v/>
      </c>
      <c r="BW20" s="51" t="str">
        <f t="array" aca="1" ref="BW20" ca="1">IFERROR(INDEX(Leccion[selectorLeccion],SMALL(IF(BW$1=Leccion[SubSección],MATCH(ROW(Leccion[SubSección]),ROW(Leccion[SubSección]))),ROW(BV19))),"")</f>
        <v/>
      </c>
      <c r="BX20" s="51" t="str">
        <f t="array" aca="1" ref="BX20" ca="1">IFERROR(INDEX(Leccion[selectorLeccion],SMALL(IF(BX$1=Leccion[SubSección],MATCH(ROW(Leccion[SubSección]),ROW(Leccion[SubSección]))),ROW(BW19))),"")</f>
        <v/>
      </c>
      <c r="BY20" s="51" t="str">
        <f t="array" aca="1" ref="BY20" ca="1">IFERROR(INDEX(Leccion[selectorLeccion],SMALL(IF(BY$1=Leccion[SubSección],MATCH(ROW(Leccion[SubSección]),ROW(Leccion[SubSección]))),ROW(BX19))),"")</f>
        <v/>
      </c>
      <c r="BZ20" s="51" t="str">
        <f t="array" aca="1" ref="BZ20" ca="1">IFERROR(INDEX(Leccion[selectorLeccion],SMALL(IF(BZ$1=Leccion[SubSección],MATCH(ROW(Leccion[SubSección]),ROW(Leccion[SubSección]))),ROW(BY19))),"")</f>
        <v/>
      </c>
      <c r="CA20" s="51" t="str">
        <f t="array" aca="1" ref="CA20" ca="1">IFERROR(INDEX(Leccion[selectorLeccion],SMALL(IF(CA$1=Leccion[SubSección],MATCH(ROW(Leccion[SubSección]),ROW(Leccion[SubSección]))),ROW(BZ19))),"")</f>
        <v/>
      </c>
      <c r="CB20" s="51" t="str">
        <f t="array" aca="1" ref="CB20" ca="1">IFERROR(INDEX(Leccion[selectorLeccion],SMALL(IF(CB$1=Leccion[SubSección],MATCH(ROW(Leccion[SubSección]),ROW(Leccion[SubSección]))),ROW(CA19))),"")</f>
        <v/>
      </c>
      <c r="CC20" s="51" t="str">
        <f t="array" aca="1" ref="CC20" ca="1">IFERROR(INDEX(Leccion[selectorLeccion],SMALL(IF(CC$1=Leccion[SubSección],MATCH(ROW(Leccion[SubSección]),ROW(Leccion[SubSección]))),ROW(CB19))),"")</f>
        <v/>
      </c>
      <c r="CD20" s="51" t="str">
        <f t="array" aca="1" ref="CD20" ca="1">IFERROR(INDEX(Leccion[selectorLeccion],SMALL(IF(CD$1=Leccion[SubSección],MATCH(ROW(Leccion[SubSección]),ROW(Leccion[SubSección]))),ROW(CC19))),"")</f>
        <v/>
      </c>
      <c r="CE20" s="51" t="str">
        <f t="array" aca="1" ref="CE20" ca="1">IFERROR(INDEX(Leccion[selectorLeccion],SMALL(IF(CE$1=Leccion[SubSección],MATCH(ROW(Leccion[SubSección]),ROW(Leccion[SubSección]))),ROW(CD19))),"")</f>
        <v/>
      </c>
      <c r="CF20" s="51" t="str">
        <f t="array" aca="1" ref="CF20" ca="1">IFERROR(INDEX(Leccion[selectorLeccion],SMALL(IF(CF$1=Leccion[SubSección],MATCH(ROW(Leccion[SubSección]),ROW(Leccion[SubSección]))),ROW(CE19))),"")</f>
        <v/>
      </c>
      <c r="CG20" s="51" t="str">
        <f t="array" aca="1" ref="CG20" ca="1">IFERROR(INDEX(Leccion[selectorLeccion],SMALL(IF(CG$1=Leccion[SubSección],MATCH(ROW(Leccion[SubSección]),ROW(Leccion[SubSección]))),ROW(CF19))),"")</f>
        <v/>
      </c>
      <c r="CH20" s="51" t="str">
        <f t="array" aca="1" ref="CH20" ca="1">IFERROR(INDEX(Leccion[selectorLeccion],SMALL(IF(CH$1=Leccion[SubSección],MATCH(ROW(Leccion[SubSección]),ROW(Leccion[SubSección]))),ROW(CG19))),"")</f>
        <v/>
      </c>
      <c r="CI20" s="51" t="str">
        <f t="array" aca="1" ref="CI20" ca="1">IFERROR(INDEX(Leccion[selectorLeccion],SMALL(IF(CI$1=Leccion[SubSección],MATCH(ROW(Leccion[SubSección]),ROW(Leccion[SubSección]))),ROW(CH19))),"")</f>
        <v/>
      </c>
      <c r="CJ20" s="51" t="str">
        <f t="array" aca="1" ref="CJ20" ca="1">IFERROR(INDEX(Leccion[selectorLeccion],SMALL(IF(CJ$1=Leccion[SubSección],MATCH(ROW(Leccion[SubSección]),ROW(Leccion[SubSección]))),ROW(CI19))),"")</f>
        <v/>
      </c>
      <c r="CK20" s="51" t="str">
        <f t="array" aca="1" ref="CK20" ca="1">IFERROR(INDEX(Leccion[selectorLeccion],SMALL(IF(CK$1=Leccion[SubSección],MATCH(ROW(Leccion[SubSección]),ROW(Leccion[SubSección]))),ROW(CJ19))),"")</f>
        <v/>
      </c>
      <c r="CL20" s="51" t="str">
        <f t="array" aca="1" ref="CL20" ca="1">IFERROR(INDEX(Leccion[selectorLeccion],SMALL(IF(CL$1=Leccion[SubSección],MATCH(ROW(Leccion[SubSección]),ROW(Leccion[SubSección]))),ROW(CK19))),"")</f>
        <v/>
      </c>
      <c r="CM20" s="51" t="str">
        <f t="array" aca="1" ref="CM20" ca="1">IFERROR(INDEX(Leccion[selectorLeccion],SMALL(IF(CM$1=Leccion[SubSección],MATCH(ROW(Leccion[SubSección]),ROW(Leccion[SubSección]))),ROW(CL19))),"")</f>
        <v/>
      </c>
      <c r="CN20" s="51" t="str">
        <f t="array" aca="1" ref="CN20" ca="1">IFERROR(INDEX(Leccion[selectorLeccion],SMALL(IF(CN$1=Leccion[SubSección],MATCH(ROW(Leccion[SubSección]),ROW(Leccion[SubSección]))),ROW(CM19))),"")</f>
        <v/>
      </c>
      <c r="CO20" s="51" t="str">
        <f t="array" aca="1" ref="CO20" ca="1">IFERROR(INDEX(Leccion[selectorLeccion],SMALL(IF(CO$1=Leccion[SubSección],MATCH(ROW(Leccion[SubSección]),ROW(Leccion[SubSección]))),ROW(CN19))),"")</f>
        <v/>
      </c>
      <c r="CP20" s="51" t="str">
        <f t="array" aca="1" ref="CP20" ca="1">IFERROR(INDEX(Leccion[selectorLeccion],SMALL(IF(CP$1=Leccion[SubSección],MATCH(ROW(Leccion[SubSección]),ROW(Leccion[SubSección]))),ROW(CO19))),"")</f>
        <v/>
      </c>
      <c r="CQ20" s="51" t="str">
        <f t="array" aca="1" ref="CQ20" ca="1">IFERROR(INDEX(Leccion[selectorLeccion],SMALL(IF(CQ$1=Leccion[SubSección],MATCH(ROW(Leccion[SubSección]),ROW(Leccion[SubSección]))),ROW(CP19))),"")</f>
        <v/>
      </c>
      <c r="CR20" s="51" t="str">
        <f t="array" aca="1" ref="CR20" ca="1">IFERROR(INDEX(Leccion[selectorLeccion],SMALL(IF(CR$1=Leccion[SubSección],MATCH(ROW(Leccion[SubSección]),ROW(Leccion[SubSección]))),ROW(CQ19))),"")</f>
        <v/>
      </c>
      <c r="CS20" s="51" t="str">
        <f t="array" aca="1" ref="CS20" ca="1">IFERROR(INDEX(Leccion[selectorLeccion],SMALL(IF(CS$1=Leccion[SubSección],MATCH(ROW(Leccion[SubSección]),ROW(Leccion[SubSección]))),ROW(CR19))),"")</f>
        <v/>
      </c>
      <c r="CT20" s="51" t="str">
        <f t="array" aca="1" ref="CT20" ca="1">IFERROR(INDEX(Leccion[selectorLeccion],SMALL(IF(CT$1=Leccion[SubSección],MATCH(ROW(Leccion[SubSección]),ROW(Leccion[SubSección]))),ROW(CS19))),"")</f>
        <v/>
      </c>
      <c r="CU20" s="51" t="str">
        <f t="array" aca="1" ref="CU20" ca="1">IFERROR(INDEX(Leccion[selectorLeccion],SMALL(IF(CU$1=Leccion[SubSección],MATCH(ROW(Leccion[SubSección]),ROW(Leccion[SubSección]))),ROW(CT19))),"")</f>
        <v/>
      </c>
      <c r="CV20" s="51" t="str">
        <f t="array" aca="1" ref="CV20" ca="1">IFERROR(INDEX(Leccion[selectorLeccion],SMALL(IF(CV$1=Leccion[SubSección],MATCH(ROW(Leccion[SubSección]),ROW(Leccion[SubSección]))),ROW(CU19))),"")</f>
        <v/>
      </c>
      <c r="CW20" s="51" t="str">
        <f t="array" aca="1" ref="CW20" ca="1">IFERROR(INDEX(Leccion[selectorLeccion],SMALL(IF(CW$1=Leccion[SubSección],MATCH(ROW(Leccion[SubSección]),ROW(Leccion[SubSección]))),ROW(CV19))),"")</f>
        <v/>
      </c>
      <c r="CX20" s="51" t="str">
        <f t="array" aca="1" ref="CX20" ca="1">IFERROR(INDEX(Leccion[selectorLeccion],SMALL(IF(CX$1=Leccion[SubSección],MATCH(ROW(Leccion[SubSección]),ROW(Leccion[SubSección]))),ROW(CW19))),"")</f>
        <v/>
      </c>
      <c r="CY20" s="51" t="str">
        <f t="array" aca="1" ref="CY20" ca="1">IFERROR(INDEX(Leccion[selectorLeccion],SMALL(IF(CY$1=Leccion[SubSección],MATCH(ROW(Leccion[SubSección]),ROW(Leccion[SubSección]))),ROW(CX19))),"")</f>
        <v/>
      </c>
      <c r="CZ20" s="51" t="str">
        <f t="array" aca="1" ref="CZ20" ca="1">IFERROR(INDEX(Leccion[selectorLeccion],SMALL(IF(CZ$1=Leccion[SubSección],MATCH(ROW(Leccion[SubSección]),ROW(Leccion[SubSección]))),ROW(CY19))),"")</f>
        <v/>
      </c>
      <c r="DA20" s="51" t="str">
        <f t="array" aca="1" ref="DA20" ca="1">IFERROR(INDEX(Leccion[selectorLeccion],SMALL(IF(DA$1=Leccion[SubSección],MATCH(ROW(Leccion[SubSección]),ROW(Leccion[SubSección]))),ROW(CZ19))),"")</f>
        <v/>
      </c>
      <c r="DB20" s="51" t="str">
        <f t="array" aca="1" ref="DB20" ca="1">IFERROR(INDEX(Leccion[selectorLeccion],SMALL(IF(DB$1=Leccion[SubSección],MATCH(ROW(Leccion[SubSección]),ROW(Leccion[SubSección]))),ROW(DA19))),"")</f>
        <v/>
      </c>
      <c r="DC20" s="51" t="str">
        <f t="array" aca="1" ref="DC20" ca="1">IFERROR(INDEX(Leccion[selectorLeccion],SMALL(IF(DC$1=Leccion[SubSección],MATCH(ROW(Leccion[SubSección]),ROW(Leccion[SubSección]))),ROW(DB19))),"")</f>
        <v/>
      </c>
      <c r="DD20" s="51" t="str">
        <f t="array" aca="1" ref="DD20" ca="1">IFERROR(INDEX(Leccion[selectorLeccion],SMALL(IF(DD$1=Leccion[SubSección],MATCH(ROW(Leccion[SubSección]),ROW(Leccion[SubSección]))),ROW(DC19))),"")</f>
        <v/>
      </c>
      <c r="DE20" s="51" t="str">
        <f t="array" aca="1" ref="DE20" ca="1">IFERROR(INDEX(Leccion[selectorLeccion],SMALL(IF(DE$1=Leccion[SubSección],MATCH(ROW(Leccion[SubSección]),ROW(Leccion[SubSección]))),ROW(DD19))),"")</f>
        <v/>
      </c>
      <c r="DF20" s="51" t="str">
        <f t="array" aca="1" ref="DF20" ca="1">IFERROR(INDEX(Leccion[selectorLeccion],SMALL(IF(DF$1=Leccion[SubSección],MATCH(ROW(Leccion[SubSección]),ROW(Leccion[SubSección]))),ROW(DE19))),"")</f>
        <v/>
      </c>
      <c r="DG20" s="51" t="str">
        <f t="array" aca="1" ref="DG20" ca="1">IFERROR(INDEX(Leccion[selectorLeccion],SMALL(IF(DG$1=Leccion[SubSección],MATCH(ROW(Leccion[SubSección]),ROW(Leccion[SubSección]))),ROW(DF19))),"")</f>
        <v/>
      </c>
      <c r="DH20" s="51" t="str">
        <f t="array" aca="1" ref="DH20" ca="1">IFERROR(INDEX(Leccion[selectorLeccion],SMALL(IF(DH$1=Leccion[SubSección],MATCH(ROW(Leccion[SubSección]),ROW(Leccion[SubSección]))),ROW(DG19))),"")</f>
        <v/>
      </c>
      <c r="DI20" s="51" t="str">
        <f t="array" aca="1" ref="DI20" ca="1">IFERROR(INDEX(Leccion[selectorLeccion],SMALL(IF(DI$1=Leccion[SubSección],MATCH(ROW(Leccion[SubSección]),ROW(Leccion[SubSección]))),ROW(DH19))),"")</f>
        <v/>
      </c>
      <c r="DJ20" s="51" t="str">
        <f t="array" aca="1" ref="DJ20" ca="1">IFERROR(INDEX(Leccion[selectorLeccion],SMALL(IF(DJ$1=Leccion[SubSección],MATCH(ROW(Leccion[SubSección]),ROW(Leccion[SubSección]))),ROW(DI19))),"")</f>
        <v/>
      </c>
      <c r="DK20" s="51" t="str">
        <f t="array" aca="1" ref="DK20" ca="1">IFERROR(INDEX(Leccion[selectorLeccion],SMALL(IF(DK$1=Leccion[SubSección],MATCH(ROW(Leccion[SubSección]),ROW(Leccion[SubSección]))),ROW(DJ19))),"")</f>
        <v/>
      </c>
      <c r="DL20" s="51" t="str">
        <f t="array" aca="1" ref="DL20" ca="1">IFERROR(INDEX(Leccion[selectorLeccion],SMALL(IF(DL$1=Leccion[SubSección],MATCH(ROW(Leccion[SubSección]),ROW(Leccion[SubSección]))),ROW(DK19))),"")</f>
        <v/>
      </c>
      <c r="DM20" s="51" t="str">
        <f t="array" aca="1" ref="DM20" ca="1">IFERROR(INDEX(Leccion[selectorLeccion],SMALL(IF(DM$1=Leccion[SubSección],MATCH(ROW(Leccion[SubSección]),ROW(Leccion[SubSección]))),ROW(DL19))),"")</f>
        <v/>
      </c>
      <c r="DN20" s="51" t="str">
        <f t="array" aca="1" ref="DN20" ca="1">IFERROR(INDEX(Leccion[selectorLeccion],SMALL(IF(DN$1=Leccion[SubSección],MATCH(ROW(Leccion[SubSección]),ROW(Leccion[SubSección]))),ROW(DM19))),"")</f>
        <v/>
      </c>
      <c r="DO20" s="51" t="str">
        <f t="array" aca="1" ref="DO20" ca="1">IFERROR(INDEX(Leccion[selectorLeccion],SMALL(IF(DO$1=Leccion[SubSección],MATCH(ROW(Leccion[SubSección]),ROW(Leccion[SubSección]))),ROW(DN19))),"")</f>
        <v/>
      </c>
      <c r="DP20" s="51" t="str">
        <f t="array" aca="1" ref="DP20" ca="1">IFERROR(INDEX(Leccion[selectorLeccion],SMALL(IF(DP$1=Leccion[SubSección],MATCH(ROW(Leccion[SubSección]),ROW(Leccion[SubSección]))),ROW(DO19))),"")</f>
        <v/>
      </c>
      <c r="DQ20" s="51" t="str">
        <f t="array" aca="1" ref="DQ20" ca="1">IFERROR(INDEX(Leccion[selectorLeccion],SMALL(IF(DQ$1=Leccion[SubSección],MATCH(ROW(Leccion[SubSección]),ROW(Leccion[SubSección]))),ROW(DP19))),"")</f>
        <v/>
      </c>
      <c r="DR20" s="51" t="str">
        <f t="array" aca="1" ref="DR20" ca="1">IFERROR(INDEX(Leccion[selectorLeccion],SMALL(IF(DR$1=Leccion[SubSección],MATCH(ROW(Leccion[SubSección]),ROW(Leccion[SubSección]))),ROW(DQ19))),"")</f>
        <v/>
      </c>
      <c r="DS20" s="51" t="str">
        <f t="array" aca="1" ref="DS20" ca="1">IFERROR(INDEX(Leccion[selectorLeccion],SMALL(IF(DS$1=Leccion[SubSección],MATCH(ROW(Leccion[SubSección]),ROW(Leccion[SubSección]))),ROW(DR19))),"")</f>
        <v/>
      </c>
      <c r="DT20" s="51" t="str">
        <f t="array" aca="1" ref="DT20" ca="1">IFERROR(INDEX(Leccion[selectorLeccion],SMALL(IF(DT$1=Leccion[SubSección],MATCH(ROW(Leccion[SubSección]),ROW(Leccion[SubSección]))),ROW(DS19))),"")</f>
        <v/>
      </c>
      <c r="DU20" s="51" t="str">
        <f t="array" aca="1" ref="DU20" ca="1">IFERROR(INDEX(Leccion[selectorLeccion],SMALL(IF(DU$1=Leccion[SubSección],MATCH(ROW(Leccion[SubSección]),ROW(Leccion[SubSección]))),ROW(DT19))),"")</f>
        <v/>
      </c>
      <c r="DV20" s="51" t="str">
        <f t="array" aca="1" ref="DV20" ca="1">IFERROR(INDEX(Leccion[selectorLeccion],SMALL(IF(DV$1=Leccion[SubSección],MATCH(ROW(Leccion[SubSección]),ROW(Leccion[SubSección]))),ROW(DU19))),"")</f>
        <v/>
      </c>
      <c r="DW20" s="51" t="str">
        <f t="array" aca="1" ref="DW20" ca="1">IFERROR(INDEX(Leccion[selectorLeccion],SMALL(IF(DW$1=Leccion[SubSección],MATCH(ROW(Leccion[SubSección]),ROW(Leccion[SubSección]))),ROW(DV19))),"")</f>
        <v/>
      </c>
      <c r="DX20" s="51" t="str">
        <f t="array" aca="1" ref="DX20" ca="1">IFERROR(INDEX(Leccion[selectorLeccion],SMALL(IF(DX$1=Leccion[SubSección],MATCH(ROW(Leccion[SubSección]),ROW(Leccion[SubSección]))),ROW(DW19))),"")</f>
        <v/>
      </c>
      <c r="DY20" s="51" t="str">
        <f t="array" aca="1" ref="DY20" ca="1">IFERROR(INDEX(Leccion[selectorLeccion],SMALL(IF(DY$1=Leccion[SubSección],MATCH(ROW(Leccion[SubSección]),ROW(Leccion[SubSección]))),ROW(DX19))),"")</f>
        <v/>
      </c>
      <c r="DZ20" s="51" t="str">
        <f t="array" aca="1" ref="DZ20" ca="1">IFERROR(INDEX(Leccion[selectorLeccion],SMALL(IF(DZ$1=Leccion[SubSección],MATCH(ROW(Leccion[SubSección]),ROW(Leccion[SubSección]))),ROW(DY19))),"")</f>
        <v/>
      </c>
      <c r="EA20" s="51" t="str">
        <f t="array" aca="1" ref="EA20" ca="1">IFERROR(INDEX(Leccion[selectorLeccion],SMALL(IF(EA$1=Leccion[SubSección],MATCH(ROW(Leccion[SubSección]),ROW(Leccion[SubSección]))),ROW(DZ19))),"")</f>
        <v/>
      </c>
      <c r="EB20" s="51" t="str">
        <f t="array" aca="1" ref="EB20" ca="1">IFERROR(INDEX(Leccion[selectorLeccion],SMALL(IF(EB$1=Leccion[SubSección],MATCH(ROW(Leccion[SubSección]),ROW(Leccion[SubSección]))),ROW(EA19))),"")</f>
        <v/>
      </c>
      <c r="EC20" s="51" t="str">
        <f t="array" aca="1" ref="EC20" ca="1">IFERROR(INDEX(Leccion[selectorLeccion],SMALL(IF(EC$1=Leccion[SubSección],MATCH(ROW(Leccion[SubSección]),ROW(Leccion[SubSección]))),ROW(EB19))),"")</f>
        <v/>
      </c>
      <c r="ED20" s="51" t="str">
        <f t="array" aca="1" ref="ED20" ca="1">IFERROR(INDEX(Leccion[selectorLeccion],SMALL(IF(ED$1=Leccion[SubSección],MATCH(ROW(Leccion[SubSección]),ROW(Leccion[SubSección]))),ROW(EC19))),"")</f>
        <v/>
      </c>
      <c r="EE20" s="51" t="str">
        <f t="array" aca="1" ref="EE20" ca="1">IFERROR(INDEX(Leccion[selectorLeccion],SMALL(IF(EE$1=Leccion[SubSección],MATCH(ROW(Leccion[SubSección]),ROW(Leccion[SubSección]))),ROW(ED19))),"")</f>
        <v/>
      </c>
      <c r="EF20" s="51" t="str">
        <f t="array" aca="1" ref="EF20" ca="1">IFERROR(INDEX(Leccion[selectorLeccion],SMALL(IF(EF$1=Leccion[SubSección],MATCH(ROW(Leccion[SubSección]),ROW(Leccion[SubSección]))),ROW(EE19))),"")</f>
        <v/>
      </c>
      <c r="EG20" s="51" t="str">
        <f t="array" aca="1" ref="EG20" ca="1">IFERROR(INDEX(Leccion[selectorLeccion],SMALL(IF(EG$1=Leccion[SubSección],MATCH(ROW(Leccion[SubSección]),ROW(Leccion[SubSección]))),ROW(EF19))),"")</f>
        <v/>
      </c>
      <c r="EH20" s="51" t="str">
        <f t="array" aca="1" ref="EH20" ca="1">IFERROR(INDEX(Leccion[selectorLeccion],SMALL(IF(EH$1=Leccion[SubSección],MATCH(ROW(Leccion[SubSección]),ROW(Leccion[SubSección]))),ROW(EG19))),"")</f>
        <v/>
      </c>
      <c r="EI20" s="51" t="str">
        <f t="array" aca="1" ref="EI20" ca="1">IFERROR(INDEX(Leccion[selectorLeccion],SMALL(IF(EI$1=Leccion[SubSección],MATCH(ROW(Leccion[SubSección]),ROW(Leccion[SubSección]))),ROW(EH19))),"")</f>
        <v/>
      </c>
      <c r="EJ20" s="51" t="str">
        <f t="array" aca="1" ref="EJ20" ca="1">IFERROR(INDEX(Leccion[selectorLeccion],SMALL(IF(EJ$1=Leccion[SubSección],MATCH(ROW(Leccion[SubSección]),ROW(Leccion[SubSección]))),ROW(EI19))),"")</f>
        <v/>
      </c>
      <c r="EK20" s="51" t="str">
        <f t="array" aca="1" ref="EK20" ca="1">IFERROR(INDEX(Leccion[selectorLeccion],SMALL(IF(EK$1=Leccion[SubSección],MATCH(ROW(Leccion[SubSección]),ROW(Leccion[SubSección]))),ROW(EJ19))),"")</f>
        <v/>
      </c>
      <c r="EL20" s="51" t="str">
        <f t="array" aca="1" ref="EL20" ca="1">IFERROR(INDEX(Leccion[selectorLeccion],SMALL(IF(EL$1=Leccion[SubSección],MATCH(ROW(Leccion[SubSección]),ROW(Leccion[SubSección]))),ROW(EK19))),"")</f>
        <v/>
      </c>
      <c r="EM20" s="51" t="str">
        <f t="array" aca="1" ref="EM20" ca="1">IFERROR(INDEX(Leccion[selectorLeccion],SMALL(IF(EM$1=Leccion[SubSección],MATCH(ROW(Leccion[SubSección]),ROW(Leccion[SubSección]))),ROW(EL19))),"")</f>
        <v/>
      </c>
      <c r="EN20" s="51" t="str">
        <f t="array" aca="1" ref="EN20" ca="1">IFERROR(INDEX(Leccion[selectorLeccion],SMALL(IF(EN$1=Leccion[SubSección],MATCH(ROW(Leccion[SubSección]),ROW(Leccion[SubSección]))),ROW(EM19))),"")</f>
        <v/>
      </c>
      <c r="EO20" s="51" t="str">
        <f t="array" aca="1" ref="EO20" ca="1">IFERROR(INDEX(Leccion[selectorLeccion],SMALL(IF(EO$1=Leccion[SubSección],MATCH(ROW(Leccion[SubSección]),ROW(Leccion[SubSección]))),ROW(EN19))),"")</f>
        <v/>
      </c>
      <c r="EP20" s="51" t="str">
        <f t="array" aca="1" ref="EP20" ca="1">IFERROR(INDEX(Leccion[selectorLeccion],SMALL(IF(EP$1=Leccion[SubSección],MATCH(ROW(Leccion[SubSección]),ROW(Leccion[SubSección]))),ROW(EO19))),"")</f>
        <v/>
      </c>
      <c r="EQ20" s="51" t="str">
        <f t="array" aca="1" ref="EQ20" ca="1">IFERROR(INDEX(Leccion[selectorLeccion],SMALL(IF(EQ$1=Leccion[SubSección],MATCH(ROW(Leccion[SubSección]),ROW(Leccion[SubSección]))),ROW(EP19))),"")</f>
        <v/>
      </c>
      <c r="ER20" s="51" t="str">
        <f t="array" aca="1" ref="ER20" ca="1">IFERROR(INDEX(Leccion[selectorLeccion],SMALL(IF(ER$1=Leccion[SubSección],MATCH(ROW(Leccion[SubSección]),ROW(Leccion[SubSección]))),ROW(EQ19))),"")</f>
        <v/>
      </c>
      <c r="ES20" s="51" t="str">
        <f t="array" aca="1" ref="ES20" ca="1">IFERROR(INDEX(Leccion[selectorLeccion],SMALL(IF(ES$1=Leccion[SubSección],MATCH(ROW(Leccion[SubSección]),ROW(Leccion[SubSección]))),ROW(ER19))),"")</f>
        <v/>
      </c>
      <c r="ET20" s="51" t="str">
        <f t="array" aca="1" ref="ET20" ca="1">IFERROR(INDEX(Leccion[selectorLeccion],SMALL(IF(ET$1=Leccion[SubSección],MATCH(ROW(Leccion[SubSección]),ROW(Leccion[SubSección]))),ROW(ES19))),"")</f>
        <v/>
      </c>
      <c r="EU20" s="51" t="str">
        <f t="array" aca="1" ref="EU20" ca="1">IFERROR(INDEX(Leccion[selectorLeccion],SMALL(IF(EU$1=Leccion[SubSección],MATCH(ROW(Leccion[SubSección]),ROW(Leccion[SubSección]))),ROW(ET19))),"")</f>
        <v/>
      </c>
      <c r="EV20" s="51" t="str">
        <f t="array" aca="1" ref="EV20" ca="1">IFERROR(INDEX(Leccion[selectorLeccion],SMALL(IF(EV$1=Leccion[SubSección],MATCH(ROW(Leccion[SubSección]),ROW(Leccion[SubSección]))),ROW(EU19))),"")</f>
        <v/>
      </c>
      <c r="EW20" s="51" t="str">
        <f t="array" aca="1" ref="EW20" ca="1">IFERROR(INDEX(Leccion[selectorLeccion],SMALL(IF(EW$1=Leccion[SubSección],MATCH(ROW(Leccion[SubSección]),ROW(Leccion[SubSección]))),ROW(EV19))),"")</f>
        <v/>
      </c>
      <c r="EX20" s="51" t="str">
        <f t="array" aca="1" ref="EX20" ca="1">IFERROR(INDEX(Leccion[selectorLeccion],SMALL(IF(EX$1=Leccion[SubSección],MATCH(ROW(Leccion[SubSección]),ROW(Leccion[SubSección]))),ROW(EW19))),"")</f>
        <v/>
      </c>
      <c r="EY20" s="51" t="str">
        <f t="array" aca="1" ref="EY20" ca="1">IFERROR(INDEX(Leccion[selectorLeccion],SMALL(IF(EY$1=Leccion[SubSección],MATCH(ROW(Leccion[SubSección]),ROW(Leccion[SubSección]))),ROW(EX19))),"")</f>
        <v/>
      </c>
      <c r="EZ20" s="51" t="str">
        <f t="array" aca="1" ref="EZ20" ca="1">IFERROR(INDEX(Leccion[selectorLeccion],SMALL(IF(EZ$1=Leccion[SubSección],MATCH(ROW(Leccion[SubSección]),ROW(Leccion[SubSección]))),ROW(EY19))),"")</f>
        <v/>
      </c>
    </row>
    <row r="21" spans="2:156" x14ac:dyDescent="0.3">
      <c r="B21" s="51" t="str">
        <f t="array" aca="1" ref="B21" ca="1">IFERROR(INDEX(Leccion[selectorLeccion],SMALL(IF(B$1=Leccion[SubSección],MATCH(ROW(Leccion[SubSección]),ROW(Leccion[SubSección]))),ROW(A20))),"")</f>
        <v/>
      </c>
      <c r="C21" s="51" t="str">
        <f t="array" aca="1" ref="C21" ca="1">IFERROR(INDEX(Leccion[selectorLeccion],SMALL(IF(C$1=Leccion[SubSección],MATCH(ROW(Leccion[SubSección]),ROW(Leccion[SubSección]))),ROW(B20))),"")</f>
        <v/>
      </c>
      <c r="D21" s="51" t="str">
        <f t="array" aca="1" ref="D21" ca="1">IFERROR(INDEX(Leccion[selectorLeccion],SMALL(IF(D$1=Leccion[SubSección],MATCH(ROW(Leccion[SubSección]),ROW(Leccion[SubSección]))),ROW(C20))),"")</f>
        <v/>
      </c>
      <c r="E21" s="51" t="str">
        <f t="array" aca="1" ref="E21" ca="1">IFERROR(INDEX(Leccion[selectorLeccion],SMALL(IF(E$1=Leccion[SubSección],MATCH(ROW(Leccion[SubSección]),ROW(Leccion[SubSección]))),ROW(D20))),"")</f>
        <v/>
      </c>
      <c r="F21" s="51" t="str">
        <f t="array" aca="1" ref="F21" ca="1">IFERROR(INDEX(Leccion[selectorLeccion],SMALL(IF(F$1=Leccion[SubSección],MATCH(ROW(Leccion[SubSección]),ROW(Leccion[SubSección]))),ROW(E20))),"")</f>
        <v/>
      </c>
      <c r="G21" s="51" t="str">
        <f t="array" aca="1" ref="G21" ca="1">IFERROR(INDEX(Leccion[selectorLeccion],SMALL(IF(G$1=Leccion[SubSección],MATCH(ROW(Leccion[SubSección]),ROW(Leccion[SubSección]))),ROW(F20))),"")</f>
        <v/>
      </c>
      <c r="H21" s="51" t="str">
        <f t="array" aca="1" ref="H21" ca="1">IFERROR(INDEX(Leccion[selectorLeccion],SMALL(IF(H$1=Leccion[SubSección],MATCH(ROW(Leccion[SubSección]),ROW(Leccion[SubSección]))),ROW(G20))),"")</f>
        <v/>
      </c>
      <c r="I21" s="51" t="str">
        <f t="array" aca="1" ref="I21" ca="1">IFERROR(INDEX(Leccion[selectorLeccion],SMALL(IF(I$1=Leccion[SubSección],MATCH(ROW(Leccion[SubSección]),ROW(Leccion[SubSección]))),ROW(H20))),"")</f>
        <v/>
      </c>
      <c r="J21" s="51" t="str">
        <f t="array" aca="1" ref="J21" ca="1">IFERROR(INDEX(Leccion[selectorLeccion],SMALL(IF(J$1=Leccion[SubSección],MATCH(ROW(Leccion[SubSección]),ROW(Leccion[SubSección]))),ROW(I20))),"")</f>
        <v/>
      </c>
      <c r="K21" s="51" t="str">
        <f t="array" aca="1" ref="K21" ca="1">IFERROR(INDEX(Leccion[selectorLeccion],SMALL(IF(K$1=Leccion[SubSección],MATCH(ROW(Leccion[SubSección]),ROW(Leccion[SubSección]))),ROW(J20))),"")</f>
        <v/>
      </c>
      <c r="L21" s="51" t="str">
        <f t="array" aca="1" ref="L21" ca="1">IFERROR(INDEX(Leccion[selectorLeccion],SMALL(IF(L$1=Leccion[SubSección],MATCH(ROW(Leccion[SubSección]),ROW(Leccion[SubSección]))),ROW(K20))),"")</f>
        <v/>
      </c>
      <c r="M21" s="51" t="str">
        <f t="array" aca="1" ref="M21" ca="1">IFERROR(INDEX(Leccion[selectorLeccion],SMALL(IF(M$1=Leccion[SubSección],MATCH(ROW(Leccion[SubSección]),ROW(Leccion[SubSección]))),ROW(L20))),"")</f>
        <v/>
      </c>
      <c r="N21" s="51" t="str">
        <f t="array" aca="1" ref="N21" ca="1">IFERROR(INDEX(Leccion[selectorLeccion],SMALL(IF(N$1=Leccion[SubSección],MATCH(ROW(Leccion[SubSección]),ROW(Leccion[SubSección]))),ROW(M20))),"")</f>
        <v/>
      </c>
      <c r="O21" s="51" t="str">
        <f t="array" aca="1" ref="O21" ca="1">IFERROR(INDEX(Leccion[selectorLeccion],SMALL(IF(O$1=Leccion[SubSección],MATCH(ROW(Leccion[SubSección]),ROW(Leccion[SubSección]))),ROW(N20))),"")</f>
        <v/>
      </c>
      <c r="P21" s="51" t="str">
        <f t="array" aca="1" ref="P21" ca="1">IFERROR(INDEX(Leccion[selectorLeccion],SMALL(IF(P$1=Leccion[SubSección],MATCH(ROW(Leccion[SubSección]),ROW(Leccion[SubSección]))),ROW(O20))),"")</f>
        <v/>
      </c>
      <c r="Q21" s="51" t="str">
        <f t="array" aca="1" ref="Q21" ca="1">IFERROR(INDEX(Leccion[selectorLeccion],SMALL(IF(Q$1=Leccion[SubSección],MATCH(ROW(Leccion[SubSección]),ROW(Leccion[SubSección]))),ROW(P20))),"")</f>
        <v/>
      </c>
      <c r="R21" s="51" t="str">
        <f t="array" aca="1" ref="R21" ca="1">IFERROR(INDEX(Leccion[selectorLeccion],SMALL(IF(R$1=Leccion[SubSección],MATCH(ROW(Leccion[SubSección]),ROW(Leccion[SubSección]))),ROW(Q20))),"")</f>
        <v/>
      </c>
      <c r="S21" s="51" t="str">
        <f t="array" aca="1" ref="S21" ca="1">IFERROR(INDEX(Leccion[selectorLeccion],SMALL(IF(S$1=Leccion[SubSección],MATCH(ROW(Leccion[SubSección]),ROW(Leccion[SubSección]))),ROW(R20))),"")</f>
        <v/>
      </c>
      <c r="T21" s="51" t="str">
        <f t="array" aca="1" ref="T21" ca="1">IFERROR(INDEX(Leccion[selectorLeccion],SMALL(IF(T$1=Leccion[SubSección],MATCH(ROW(Leccion[SubSección]),ROW(Leccion[SubSección]))),ROW(S20))),"")</f>
        <v/>
      </c>
      <c r="U21" s="51" t="str">
        <f t="array" aca="1" ref="U21" ca="1">IFERROR(INDEX(Leccion[selectorLeccion],SMALL(IF(U$1=Leccion[SubSección],MATCH(ROW(Leccion[SubSección]),ROW(Leccion[SubSección]))),ROW(T20))),"")</f>
        <v/>
      </c>
      <c r="V21" s="51" t="str">
        <f t="array" aca="1" ref="V21" ca="1">IFERROR(INDEX(Leccion[selectorLeccion],SMALL(IF(V$1=Leccion[SubSección],MATCH(ROW(Leccion[SubSección]),ROW(Leccion[SubSección]))),ROW(U20))),"")</f>
        <v/>
      </c>
      <c r="W21" s="51" t="str">
        <f t="array" aca="1" ref="W21" ca="1">IFERROR(INDEX(Leccion[selectorLeccion],SMALL(IF(W$1=Leccion[SubSección],MATCH(ROW(Leccion[SubSección]),ROW(Leccion[SubSección]))),ROW(V20))),"")</f>
        <v/>
      </c>
      <c r="X21" s="51" t="str">
        <f t="array" aca="1" ref="X21" ca="1">IFERROR(INDEX(Leccion[selectorLeccion],SMALL(IF(X$1=Leccion[SubSección],MATCH(ROW(Leccion[SubSección]),ROW(Leccion[SubSección]))),ROW(W20))),"")</f>
        <v/>
      </c>
      <c r="Y21" s="51" t="str">
        <f t="array" aca="1" ref="Y21" ca="1">IFERROR(INDEX(Leccion[selectorLeccion],SMALL(IF(Y$1=Leccion[SubSección],MATCH(ROW(Leccion[SubSección]),ROW(Leccion[SubSección]))),ROW(X20))),"")</f>
        <v/>
      </c>
      <c r="Z21" s="51" t="str">
        <f t="array" aca="1" ref="Z21" ca="1">IFERROR(INDEX(Leccion[selectorLeccion],SMALL(IF(Z$1=Leccion[SubSección],MATCH(ROW(Leccion[SubSección]),ROW(Leccion[SubSección]))),ROW(Y20))),"")</f>
        <v/>
      </c>
      <c r="AA21" s="51" t="str">
        <f t="array" aca="1" ref="AA21" ca="1">IFERROR(INDEX(Leccion[selectorLeccion],SMALL(IF(AA$1=Leccion[SubSección],MATCH(ROW(Leccion[SubSección]),ROW(Leccion[SubSección]))),ROW(Z20))),"")</f>
        <v/>
      </c>
      <c r="AB21" s="51" t="str">
        <f t="array" aca="1" ref="AB21" ca="1">IFERROR(INDEX(Leccion[selectorLeccion],SMALL(IF(AB$1=Leccion[SubSección],MATCH(ROW(Leccion[SubSección]),ROW(Leccion[SubSección]))),ROW(AA20))),"")</f>
        <v/>
      </c>
      <c r="AC21" s="51" t="str">
        <f t="array" aca="1" ref="AC21" ca="1">IFERROR(INDEX(Leccion[selectorLeccion],SMALL(IF(AC$1=Leccion[SubSección],MATCH(ROW(Leccion[SubSección]),ROW(Leccion[SubSección]))),ROW(AB20))),"")</f>
        <v/>
      </c>
      <c r="AD21" s="51" t="str">
        <f t="array" aca="1" ref="AD21" ca="1">IFERROR(INDEX(Leccion[selectorLeccion],SMALL(IF(AD$1=Leccion[SubSección],MATCH(ROW(Leccion[SubSección]),ROW(Leccion[SubSección]))),ROW(AC20))),"")</f>
        <v/>
      </c>
      <c r="AE21" s="51" t="str">
        <f t="array" aca="1" ref="AE21" ca="1">IFERROR(INDEX(Leccion[selectorLeccion],SMALL(IF(AE$1=Leccion[SubSección],MATCH(ROW(Leccion[SubSección]),ROW(Leccion[SubSección]))),ROW(AD20))),"")</f>
        <v/>
      </c>
      <c r="AF21" s="51" t="str">
        <f t="array" aca="1" ref="AF21" ca="1">IFERROR(INDEX(Leccion[selectorLeccion],SMALL(IF(AF$1=Leccion[SubSección],MATCH(ROW(Leccion[SubSección]),ROW(Leccion[SubSección]))),ROW(AE20))),"")</f>
        <v/>
      </c>
      <c r="AG21" s="51" t="str">
        <f t="array" aca="1" ref="AG21" ca="1">IFERROR(INDEX(Leccion[selectorLeccion],SMALL(IF(AG$1=Leccion[SubSección],MATCH(ROW(Leccion[SubSección]),ROW(Leccion[SubSección]))),ROW(AF20))),"")</f>
        <v/>
      </c>
      <c r="AH21" s="51" t="str">
        <f t="array" aca="1" ref="AH21" ca="1">IFERROR(INDEX(Leccion[selectorLeccion],SMALL(IF(AH$1=Leccion[SubSección],MATCH(ROW(Leccion[SubSección]),ROW(Leccion[SubSección]))),ROW(AG20))),"")</f>
        <v/>
      </c>
      <c r="AI21" s="51" t="str">
        <f t="array" aca="1" ref="AI21" ca="1">IFERROR(INDEX(Leccion[selectorLeccion],SMALL(IF(AI$1=Leccion[SubSección],MATCH(ROW(Leccion[SubSección]),ROW(Leccion[SubSección]))),ROW(AH20))),"")</f>
        <v/>
      </c>
      <c r="AJ21" s="51" t="str">
        <f t="array" aca="1" ref="AJ21" ca="1">IFERROR(INDEX(Leccion[selectorLeccion],SMALL(IF(AJ$1=Leccion[SubSección],MATCH(ROW(Leccion[SubSección]),ROW(Leccion[SubSección]))),ROW(AI20))),"")</f>
        <v/>
      </c>
      <c r="AK21" s="51" t="str">
        <f t="array" aca="1" ref="AK21" ca="1">IFERROR(INDEX(Leccion[selectorLeccion],SMALL(IF(AK$1=Leccion[SubSección],MATCH(ROW(Leccion[SubSección]),ROW(Leccion[SubSección]))),ROW(AJ20))),"")</f>
        <v/>
      </c>
      <c r="AL21" s="51" t="str">
        <f t="array" aca="1" ref="AL21" ca="1">IFERROR(INDEX(Leccion[selectorLeccion],SMALL(IF(AL$1=Leccion[SubSección],MATCH(ROW(Leccion[SubSección]),ROW(Leccion[SubSección]))),ROW(AK20))),"")</f>
        <v/>
      </c>
      <c r="AM21" s="51" t="str">
        <f t="array" aca="1" ref="AM21" ca="1">IFERROR(INDEX(Leccion[selectorLeccion],SMALL(IF(AM$1=Leccion[SubSección],MATCH(ROW(Leccion[SubSección]),ROW(Leccion[SubSección]))),ROW(AL20))),"")</f>
        <v/>
      </c>
      <c r="AN21" s="51" t="str">
        <f t="array" aca="1" ref="AN21" ca="1">IFERROR(INDEX(Leccion[selectorLeccion],SMALL(IF(AN$1=Leccion[SubSección],MATCH(ROW(Leccion[SubSección]),ROW(Leccion[SubSección]))),ROW(AM20))),"")</f>
        <v/>
      </c>
      <c r="AO21" s="51" t="str">
        <f t="array" aca="1" ref="AO21" ca="1">IFERROR(INDEX(Leccion[selectorLeccion],SMALL(IF(AO$1=Leccion[SubSección],MATCH(ROW(Leccion[SubSección]),ROW(Leccion[SubSección]))),ROW(AN20))),"")</f>
        <v/>
      </c>
      <c r="AP21" s="51" t="str">
        <f t="array" aca="1" ref="AP21" ca="1">IFERROR(INDEX(Leccion[selectorLeccion],SMALL(IF(AP$1=Leccion[SubSección],MATCH(ROW(Leccion[SubSección]),ROW(Leccion[SubSección]))),ROW(AO20))),"")</f>
        <v/>
      </c>
      <c r="AQ21" s="51" t="str">
        <f t="array" aca="1" ref="AQ21" ca="1">IFERROR(INDEX(Leccion[selectorLeccion],SMALL(IF(AQ$1=Leccion[SubSección],MATCH(ROW(Leccion[SubSección]),ROW(Leccion[SubSección]))),ROW(AP20))),"")</f>
        <v/>
      </c>
      <c r="AR21" s="51" t="str">
        <f t="array" aca="1" ref="AR21" ca="1">IFERROR(INDEX(Leccion[selectorLeccion],SMALL(IF(AR$1=Leccion[SubSección],MATCH(ROW(Leccion[SubSección]),ROW(Leccion[SubSección]))),ROW(AQ20))),"")</f>
        <v/>
      </c>
      <c r="AS21" s="51" t="str">
        <f t="array" aca="1" ref="AS21" ca="1">IFERROR(INDEX(Leccion[selectorLeccion],SMALL(IF(AS$1=Leccion[SubSección],MATCH(ROW(Leccion[SubSección]),ROW(Leccion[SubSección]))),ROW(AR20))),"")</f>
        <v/>
      </c>
      <c r="AT21" s="51" t="str">
        <f t="array" aca="1" ref="AT21" ca="1">IFERROR(INDEX(Leccion[selectorLeccion],SMALL(IF(AT$1=Leccion[SubSección],MATCH(ROW(Leccion[SubSección]),ROW(Leccion[SubSección]))),ROW(AS20))),"")</f>
        <v/>
      </c>
      <c r="AU21" s="51" t="str">
        <f t="array" aca="1" ref="AU21" ca="1">IFERROR(INDEX(Leccion[selectorLeccion],SMALL(IF(AU$1=Leccion[SubSección],MATCH(ROW(Leccion[SubSección]),ROW(Leccion[SubSección]))),ROW(AT20))),"")</f>
        <v/>
      </c>
      <c r="AV21" s="51" t="str">
        <f t="array" aca="1" ref="AV21" ca="1">IFERROR(INDEX(Leccion[selectorLeccion],SMALL(IF(AV$1=Leccion[SubSección],MATCH(ROW(Leccion[SubSección]),ROW(Leccion[SubSección]))),ROW(AU20))),"")</f>
        <v/>
      </c>
      <c r="AW21" s="51" t="str">
        <f t="array" aca="1" ref="AW21" ca="1">IFERROR(INDEX(Leccion[selectorLeccion],SMALL(IF(AW$1=Leccion[SubSección],MATCH(ROW(Leccion[SubSección]),ROW(Leccion[SubSección]))),ROW(AV20))),"")</f>
        <v/>
      </c>
      <c r="AX21" s="51" t="str">
        <f t="array" aca="1" ref="AX21" ca="1">IFERROR(INDEX(Leccion[selectorLeccion],SMALL(IF(AX$1=Leccion[SubSección],MATCH(ROW(Leccion[SubSección]),ROW(Leccion[SubSección]))),ROW(AW20))),"")</f>
        <v/>
      </c>
      <c r="AY21" s="51" t="str">
        <f t="array" aca="1" ref="AY21" ca="1">IFERROR(INDEX(Leccion[selectorLeccion],SMALL(IF(AY$1=Leccion[SubSección],MATCH(ROW(Leccion[SubSección]),ROW(Leccion[SubSección]))),ROW(AX20))),"")</f>
        <v/>
      </c>
      <c r="AZ21" s="51" t="str">
        <f t="array" aca="1" ref="AZ21" ca="1">IFERROR(INDEX(Leccion[selectorLeccion],SMALL(IF(AZ$1=Leccion[SubSección],MATCH(ROW(Leccion[SubSección]),ROW(Leccion[SubSección]))),ROW(AY20))),"")</f>
        <v/>
      </c>
      <c r="BA21" s="51" t="str">
        <f t="array" aca="1" ref="BA21" ca="1">IFERROR(INDEX(Leccion[selectorLeccion],SMALL(IF(BA$1=Leccion[SubSección],MATCH(ROW(Leccion[SubSección]),ROW(Leccion[SubSección]))),ROW(AZ20))),"")</f>
        <v/>
      </c>
      <c r="BB21" s="51" t="str">
        <f t="array" aca="1" ref="BB21" ca="1">IFERROR(INDEX(Leccion[selectorLeccion],SMALL(IF(BB$1=Leccion[SubSección],MATCH(ROW(Leccion[SubSección]),ROW(Leccion[SubSección]))),ROW(BA20))),"")</f>
        <v/>
      </c>
      <c r="BC21" s="51" t="str">
        <f t="array" aca="1" ref="BC21" ca="1">IFERROR(INDEX(Leccion[selectorLeccion],SMALL(IF(BC$1=Leccion[SubSección],MATCH(ROW(Leccion[SubSección]),ROW(Leccion[SubSección]))),ROW(BB20))),"")</f>
        <v/>
      </c>
      <c r="BD21" s="51" t="str">
        <f t="array" aca="1" ref="BD21" ca="1">IFERROR(INDEX(Leccion[selectorLeccion],SMALL(IF(BD$1=Leccion[SubSección],MATCH(ROW(Leccion[SubSección]),ROW(Leccion[SubSección]))),ROW(BC20))),"")</f>
        <v/>
      </c>
      <c r="BE21" s="51" t="str">
        <f t="array" aca="1" ref="BE21" ca="1">IFERROR(INDEX(Leccion[selectorLeccion],SMALL(IF(BE$1=Leccion[SubSección],MATCH(ROW(Leccion[SubSección]),ROW(Leccion[SubSección]))),ROW(BD20))),"")</f>
        <v/>
      </c>
      <c r="BF21" s="51" t="str">
        <f t="array" aca="1" ref="BF21" ca="1">IFERROR(INDEX(Leccion[selectorLeccion],SMALL(IF(BF$1=Leccion[SubSección],MATCH(ROW(Leccion[SubSección]),ROW(Leccion[SubSección]))),ROW(BE20))),"")</f>
        <v/>
      </c>
      <c r="BG21" s="51" t="str">
        <f t="array" aca="1" ref="BG21" ca="1">IFERROR(INDEX(Leccion[selectorLeccion],SMALL(IF(BG$1=Leccion[SubSección],MATCH(ROW(Leccion[SubSección]),ROW(Leccion[SubSección]))),ROW(BF20))),"")</f>
        <v/>
      </c>
      <c r="BH21" s="51" t="str">
        <f t="array" aca="1" ref="BH21" ca="1">IFERROR(INDEX(Leccion[selectorLeccion],SMALL(IF(BH$1=Leccion[SubSección],MATCH(ROW(Leccion[SubSección]),ROW(Leccion[SubSección]))),ROW(BG20))),"")</f>
        <v/>
      </c>
      <c r="BI21" s="51" t="str">
        <f t="array" aca="1" ref="BI21" ca="1">IFERROR(INDEX(Leccion[selectorLeccion],SMALL(IF(BI$1=Leccion[SubSección],MATCH(ROW(Leccion[SubSección]),ROW(Leccion[SubSección]))),ROW(BH20))),"")</f>
        <v/>
      </c>
      <c r="BJ21" s="51" t="str">
        <f t="array" aca="1" ref="BJ21" ca="1">IFERROR(INDEX(Leccion[selectorLeccion],SMALL(IF(BJ$1=Leccion[SubSección],MATCH(ROW(Leccion[SubSección]),ROW(Leccion[SubSección]))),ROW(BI20))),"")</f>
        <v/>
      </c>
      <c r="BK21" s="51" t="str">
        <f t="array" aca="1" ref="BK21" ca="1">IFERROR(INDEX(Leccion[selectorLeccion],SMALL(IF(BK$1=Leccion[SubSección],MATCH(ROW(Leccion[SubSección]),ROW(Leccion[SubSección]))),ROW(BJ20))),"")</f>
        <v/>
      </c>
      <c r="BL21" s="51" t="str">
        <f t="array" aca="1" ref="BL21" ca="1">IFERROR(INDEX(Leccion[selectorLeccion],SMALL(IF(BL$1=Leccion[SubSección],MATCH(ROW(Leccion[SubSección]),ROW(Leccion[SubSección]))),ROW(BK20))),"")</f>
        <v/>
      </c>
      <c r="BM21" s="51" t="str">
        <f t="array" aca="1" ref="BM21" ca="1">IFERROR(INDEX(Leccion[selectorLeccion],SMALL(IF(BM$1=Leccion[SubSección],MATCH(ROW(Leccion[SubSección]),ROW(Leccion[SubSección]))),ROW(BL20))),"")</f>
        <v/>
      </c>
      <c r="BN21" s="51" t="str">
        <f t="array" aca="1" ref="BN21" ca="1">IFERROR(INDEX(Leccion[selectorLeccion],SMALL(IF(BN$1=Leccion[SubSección],MATCH(ROW(Leccion[SubSección]),ROW(Leccion[SubSección]))),ROW(BM20))),"")</f>
        <v/>
      </c>
      <c r="BO21" s="51" t="str">
        <f t="array" aca="1" ref="BO21" ca="1">IFERROR(INDEX(Leccion[selectorLeccion],SMALL(IF(BO$1=Leccion[SubSección],MATCH(ROW(Leccion[SubSección]),ROW(Leccion[SubSección]))),ROW(BN20))),"")</f>
        <v/>
      </c>
      <c r="BP21" s="51" t="str">
        <f t="array" aca="1" ref="BP21" ca="1">IFERROR(INDEX(Leccion[selectorLeccion],SMALL(IF(BP$1=Leccion[SubSección],MATCH(ROW(Leccion[SubSección]),ROW(Leccion[SubSección]))),ROW(BO20))),"")</f>
        <v/>
      </c>
      <c r="BQ21" s="51" t="str">
        <f t="array" aca="1" ref="BQ21" ca="1">IFERROR(INDEX(Leccion[selectorLeccion],SMALL(IF(BQ$1=Leccion[SubSección],MATCH(ROW(Leccion[SubSección]),ROW(Leccion[SubSección]))),ROW(BP20))),"")</f>
        <v/>
      </c>
      <c r="BR21" s="51" t="str">
        <f t="array" aca="1" ref="BR21" ca="1">IFERROR(INDEX(Leccion[selectorLeccion],SMALL(IF(BR$1=Leccion[SubSección],MATCH(ROW(Leccion[SubSección]),ROW(Leccion[SubSección]))),ROW(BQ20))),"")</f>
        <v/>
      </c>
      <c r="BS21" s="51" t="str">
        <f t="array" aca="1" ref="BS21" ca="1">IFERROR(INDEX(Leccion[selectorLeccion],SMALL(IF(BS$1=Leccion[SubSección],MATCH(ROW(Leccion[SubSección]),ROW(Leccion[SubSección]))),ROW(BR20))),"")</f>
        <v/>
      </c>
      <c r="BT21" s="51" t="str">
        <f t="array" aca="1" ref="BT21" ca="1">IFERROR(INDEX(Leccion[selectorLeccion],SMALL(IF(BT$1=Leccion[SubSección],MATCH(ROW(Leccion[SubSección]),ROW(Leccion[SubSección]))),ROW(BS20))),"")</f>
        <v/>
      </c>
      <c r="BU21" s="51" t="str">
        <f t="array" aca="1" ref="BU21" ca="1">IFERROR(INDEX(Leccion[selectorLeccion],SMALL(IF(BU$1=Leccion[SubSección],MATCH(ROW(Leccion[SubSección]),ROW(Leccion[SubSección]))),ROW(BT20))),"")</f>
        <v/>
      </c>
      <c r="BV21" s="51" t="str">
        <f t="array" aca="1" ref="BV21" ca="1">IFERROR(INDEX(Leccion[selectorLeccion],SMALL(IF(BV$1=Leccion[SubSección],MATCH(ROW(Leccion[SubSección]),ROW(Leccion[SubSección]))),ROW(BU20))),"")</f>
        <v/>
      </c>
      <c r="BW21" s="51" t="str">
        <f t="array" aca="1" ref="BW21" ca="1">IFERROR(INDEX(Leccion[selectorLeccion],SMALL(IF(BW$1=Leccion[SubSección],MATCH(ROW(Leccion[SubSección]),ROW(Leccion[SubSección]))),ROW(BV20))),"")</f>
        <v/>
      </c>
      <c r="BX21" s="51" t="str">
        <f t="array" aca="1" ref="BX21" ca="1">IFERROR(INDEX(Leccion[selectorLeccion],SMALL(IF(BX$1=Leccion[SubSección],MATCH(ROW(Leccion[SubSección]),ROW(Leccion[SubSección]))),ROW(BW20))),"")</f>
        <v/>
      </c>
      <c r="BY21" s="51" t="str">
        <f t="array" aca="1" ref="BY21" ca="1">IFERROR(INDEX(Leccion[selectorLeccion],SMALL(IF(BY$1=Leccion[SubSección],MATCH(ROW(Leccion[SubSección]),ROW(Leccion[SubSección]))),ROW(BX20))),"")</f>
        <v/>
      </c>
      <c r="BZ21" s="51" t="str">
        <f t="array" aca="1" ref="BZ21" ca="1">IFERROR(INDEX(Leccion[selectorLeccion],SMALL(IF(BZ$1=Leccion[SubSección],MATCH(ROW(Leccion[SubSección]),ROW(Leccion[SubSección]))),ROW(BY20))),"")</f>
        <v/>
      </c>
      <c r="CA21" s="51" t="str">
        <f t="array" aca="1" ref="CA21" ca="1">IFERROR(INDEX(Leccion[selectorLeccion],SMALL(IF(CA$1=Leccion[SubSección],MATCH(ROW(Leccion[SubSección]),ROW(Leccion[SubSección]))),ROW(BZ20))),"")</f>
        <v/>
      </c>
      <c r="CB21" s="51" t="str">
        <f t="array" aca="1" ref="CB21" ca="1">IFERROR(INDEX(Leccion[selectorLeccion],SMALL(IF(CB$1=Leccion[SubSección],MATCH(ROW(Leccion[SubSección]),ROW(Leccion[SubSección]))),ROW(CA20))),"")</f>
        <v/>
      </c>
      <c r="CC21" s="51" t="str">
        <f t="array" aca="1" ref="CC21" ca="1">IFERROR(INDEX(Leccion[selectorLeccion],SMALL(IF(CC$1=Leccion[SubSección],MATCH(ROW(Leccion[SubSección]),ROW(Leccion[SubSección]))),ROW(CB20))),"")</f>
        <v/>
      </c>
      <c r="CD21" s="51" t="str">
        <f t="array" aca="1" ref="CD21" ca="1">IFERROR(INDEX(Leccion[selectorLeccion],SMALL(IF(CD$1=Leccion[SubSección],MATCH(ROW(Leccion[SubSección]),ROW(Leccion[SubSección]))),ROW(CC20))),"")</f>
        <v/>
      </c>
      <c r="CE21" s="51" t="str">
        <f t="array" aca="1" ref="CE21" ca="1">IFERROR(INDEX(Leccion[selectorLeccion],SMALL(IF(CE$1=Leccion[SubSección],MATCH(ROW(Leccion[SubSección]),ROW(Leccion[SubSección]))),ROW(CD20))),"")</f>
        <v/>
      </c>
      <c r="CF21" s="51" t="str">
        <f t="array" aca="1" ref="CF21" ca="1">IFERROR(INDEX(Leccion[selectorLeccion],SMALL(IF(CF$1=Leccion[SubSección],MATCH(ROW(Leccion[SubSección]),ROW(Leccion[SubSección]))),ROW(CE20))),"")</f>
        <v/>
      </c>
      <c r="CG21" s="51" t="str">
        <f t="array" aca="1" ref="CG21" ca="1">IFERROR(INDEX(Leccion[selectorLeccion],SMALL(IF(CG$1=Leccion[SubSección],MATCH(ROW(Leccion[SubSección]),ROW(Leccion[SubSección]))),ROW(CF20))),"")</f>
        <v/>
      </c>
      <c r="CH21" s="51" t="str">
        <f t="array" aca="1" ref="CH21" ca="1">IFERROR(INDEX(Leccion[selectorLeccion],SMALL(IF(CH$1=Leccion[SubSección],MATCH(ROW(Leccion[SubSección]),ROW(Leccion[SubSección]))),ROW(CG20))),"")</f>
        <v/>
      </c>
      <c r="CI21" s="51" t="str">
        <f t="array" aca="1" ref="CI21" ca="1">IFERROR(INDEX(Leccion[selectorLeccion],SMALL(IF(CI$1=Leccion[SubSección],MATCH(ROW(Leccion[SubSección]),ROW(Leccion[SubSección]))),ROW(CH20))),"")</f>
        <v/>
      </c>
      <c r="CJ21" s="51" t="str">
        <f t="array" aca="1" ref="CJ21" ca="1">IFERROR(INDEX(Leccion[selectorLeccion],SMALL(IF(CJ$1=Leccion[SubSección],MATCH(ROW(Leccion[SubSección]),ROW(Leccion[SubSección]))),ROW(CI20))),"")</f>
        <v/>
      </c>
      <c r="CK21" s="51" t="str">
        <f t="array" aca="1" ref="CK21" ca="1">IFERROR(INDEX(Leccion[selectorLeccion],SMALL(IF(CK$1=Leccion[SubSección],MATCH(ROW(Leccion[SubSección]),ROW(Leccion[SubSección]))),ROW(CJ20))),"")</f>
        <v/>
      </c>
      <c r="CL21" s="51" t="str">
        <f t="array" aca="1" ref="CL21" ca="1">IFERROR(INDEX(Leccion[selectorLeccion],SMALL(IF(CL$1=Leccion[SubSección],MATCH(ROW(Leccion[SubSección]),ROW(Leccion[SubSección]))),ROW(CK20))),"")</f>
        <v/>
      </c>
      <c r="CM21" s="51" t="str">
        <f t="array" aca="1" ref="CM21" ca="1">IFERROR(INDEX(Leccion[selectorLeccion],SMALL(IF(CM$1=Leccion[SubSección],MATCH(ROW(Leccion[SubSección]),ROW(Leccion[SubSección]))),ROW(CL20))),"")</f>
        <v/>
      </c>
      <c r="CN21" s="51" t="str">
        <f t="array" aca="1" ref="CN21" ca="1">IFERROR(INDEX(Leccion[selectorLeccion],SMALL(IF(CN$1=Leccion[SubSección],MATCH(ROW(Leccion[SubSección]),ROW(Leccion[SubSección]))),ROW(CM20))),"")</f>
        <v/>
      </c>
      <c r="CO21" s="51" t="str">
        <f t="array" aca="1" ref="CO21" ca="1">IFERROR(INDEX(Leccion[selectorLeccion],SMALL(IF(CO$1=Leccion[SubSección],MATCH(ROW(Leccion[SubSección]),ROW(Leccion[SubSección]))),ROW(CN20))),"")</f>
        <v/>
      </c>
      <c r="CP21" s="51" t="str">
        <f t="array" aca="1" ref="CP21" ca="1">IFERROR(INDEX(Leccion[selectorLeccion],SMALL(IF(CP$1=Leccion[SubSección],MATCH(ROW(Leccion[SubSección]),ROW(Leccion[SubSección]))),ROW(CO20))),"")</f>
        <v/>
      </c>
      <c r="CQ21" s="51" t="str">
        <f t="array" aca="1" ref="CQ21" ca="1">IFERROR(INDEX(Leccion[selectorLeccion],SMALL(IF(CQ$1=Leccion[SubSección],MATCH(ROW(Leccion[SubSección]),ROW(Leccion[SubSección]))),ROW(CP20))),"")</f>
        <v/>
      </c>
      <c r="CR21" s="51" t="str">
        <f t="array" aca="1" ref="CR21" ca="1">IFERROR(INDEX(Leccion[selectorLeccion],SMALL(IF(CR$1=Leccion[SubSección],MATCH(ROW(Leccion[SubSección]),ROW(Leccion[SubSección]))),ROW(CQ20))),"")</f>
        <v/>
      </c>
      <c r="CS21" s="51" t="str">
        <f t="array" aca="1" ref="CS21" ca="1">IFERROR(INDEX(Leccion[selectorLeccion],SMALL(IF(CS$1=Leccion[SubSección],MATCH(ROW(Leccion[SubSección]),ROW(Leccion[SubSección]))),ROW(CR20))),"")</f>
        <v/>
      </c>
      <c r="CT21" s="51" t="str">
        <f t="array" aca="1" ref="CT21" ca="1">IFERROR(INDEX(Leccion[selectorLeccion],SMALL(IF(CT$1=Leccion[SubSección],MATCH(ROW(Leccion[SubSección]),ROW(Leccion[SubSección]))),ROW(CS20))),"")</f>
        <v/>
      </c>
      <c r="CU21" s="51" t="str">
        <f t="array" aca="1" ref="CU21" ca="1">IFERROR(INDEX(Leccion[selectorLeccion],SMALL(IF(CU$1=Leccion[SubSección],MATCH(ROW(Leccion[SubSección]),ROW(Leccion[SubSección]))),ROW(CT20))),"")</f>
        <v/>
      </c>
      <c r="CV21" s="51" t="str">
        <f t="array" aca="1" ref="CV21" ca="1">IFERROR(INDEX(Leccion[selectorLeccion],SMALL(IF(CV$1=Leccion[SubSección],MATCH(ROW(Leccion[SubSección]),ROW(Leccion[SubSección]))),ROW(CU20))),"")</f>
        <v/>
      </c>
      <c r="CW21" s="51" t="str">
        <f t="array" aca="1" ref="CW21" ca="1">IFERROR(INDEX(Leccion[selectorLeccion],SMALL(IF(CW$1=Leccion[SubSección],MATCH(ROW(Leccion[SubSección]),ROW(Leccion[SubSección]))),ROW(CV20))),"")</f>
        <v/>
      </c>
      <c r="CX21" s="51" t="str">
        <f t="array" aca="1" ref="CX21" ca="1">IFERROR(INDEX(Leccion[selectorLeccion],SMALL(IF(CX$1=Leccion[SubSección],MATCH(ROW(Leccion[SubSección]),ROW(Leccion[SubSección]))),ROW(CW20))),"")</f>
        <v/>
      </c>
      <c r="CY21" s="51" t="str">
        <f t="array" aca="1" ref="CY21" ca="1">IFERROR(INDEX(Leccion[selectorLeccion],SMALL(IF(CY$1=Leccion[SubSección],MATCH(ROW(Leccion[SubSección]),ROW(Leccion[SubSección]))),ROW(CX20))),"")</f>
        <v/>
      </c>
      <c r="CZ21" s="51" t="str">
        <f t="array" aca="1" ref="CZ21" ca="1">IFERROR(INDEX(Leccion[selectorLeccion],SMALL(IF(CZ$1=Leccion[SubSección],MATCH(ROW(Leccion[SubSección]),ROW(Leccion[SubSección]))),ROW(CY20))),"")</f>
        <v/>
      </c>
      <c r="DA21" s="51" t="str">
        <f t="array" aca="1" ref="DA21" ca="1">IFERROR(INDEX(Leccion[selectorLeccion],SMALL(IF(DA$1=Leccion[SubSección],MATCH(ROW(Leccion[SubSección]),ROW(Leccion[SubSección]))),ROW(CZ20))),"")</f>
        <v/>
      </c>
      <c r="DB21" s="51" t="str">
        <f t="array" aca="1" ref="DB21" ca="1">IFERROR(INDEX(Leccion[selectorLeccion],SMALL(IF(DB$1=Leccion[SubSección],MATCH(ROW(Leccion[SubSección]),ROW(Leccion[SubSección]))),ROW(DA20))),"")</f>
        <v/>
      </c>
      <c r="DC21" s="51" t="str">
        <f t="array" aca="1" ref="DC21" ca="1">IFERROR(INDEX(Leccion[selectorLeccion],SMALL(IF(DC$1=Leccion[SubSección],MATCH(ROW(Leccion[SubSección]),ROW(Leccion[SubSección]))),ROW(DB20))),"")</f>
        <v/>
      </c>
      <c r="DD21" s="51" t="str">
        <f t="array" aca="1" ref="DD21" ca="1">IFERROR(INDEX(Leccion[selectorLeccion],SMALL(IF(DD$1=Leccion[SubSección],MATCH(ROW(Leccion[SubSección]),ROW(Leccion[SubSección]))),ROW(DC20))),"")</f>
        <v/>
      </c>
      <c r="DE21" s="51" t="str">
        <f t="array" aca="1" ref="DE21" ca="1">IFERROR(INDEX(Leccion[selectorLeccion],SMALL(IF(DE$1=Leccion[SubSección],MATCH(ROW(Leccion[SubSección]),ROW(Leccion[SubSección]))),ROW(DD20))),"")</f>
        <v/>
      </c>
      <c r="DF21" s="51" t="str">
        <f t="array" aca="1" ref="DF21" ca="1">IFERROR(INDEX(Leccion[selectorLeccion],SMALL(IF(DF$1=Leccion[SubSección],MATCH(ROW(Leccion[SubSección]),ROW(Leccion[SubSección]))),ROW(DE20))),"")</f>
        <v/>
      </c>
      <c r="DG21" s="51" t="str">
        <f t="array" aca="1" ref="DG21" ca="1">IFERROR(INDEX(Leccion[selectorLeccion],SMALL(IF(DG$1=Leccion[SubSección],MATCH(ROW(Leccion[SubSección]),ROW(Leccion[SubSección]))),ROW(DF20))),"")</f>
        <v/>
      </c>
      <c r="DH21" s="51" t="str">
        <f t="array" aca="1" ref="DH21" ca="1">IFERROR(INDEX(Leccion[selectorLeccion],SMALL(IF(DH$1=Leccion[SubSección],MATCH(ROW(Leccion[SubSección]),ROW(Leccion[SubSección]))),ROW(DG20))),"")</f>
        <v/>
      </c>
      <c r="DI21" s="51" t="str">
        <f t="array" aca="1" ref="DI21" ca="1">IFERROR(INDEX(Leccion[selectorLeccion],SMALL(IF(DI$1=Leccion[SubSección],MATCH(ROW(Leccion[SubSección]),ROW(Leccion[SubSección]))),ROW(DH20))),"")</f>
        <v/>
      </c>
      <c r="DJ21" s="51" t="str">
        <f t="array" aca="1" ref="DJ21" ca="1">IFERROR(INDEX(Leccion[selectorLeccion],SMALL(IF(DJ$1=Leccion[SubSección],MATCH(ROW(Leccion[SubSección]),ROW(Leccion[SubSección]))),ROW(DI20))),"")</f>
        <v/>
      </c>
      <c r="DK21" s="51" t="str">
        <f t="array" aca="1" ref="DK21" ca="1">IFERROR(INDEX(Leccion[selectorLeccion],SMALL(IF(DK$1=Leccion[SubSección],MATCH(ROW(Leccion[SubSección]),ROW(Leccion[SubSección]))),ROW(DJ20))),"")</f>
        <v/>
      </c>
      <c r="DL21" s="51" t="str">
        <f t="array" aca="1" ref="DL21" ca="1">IFERROR(INDEX(Leccion[selectorLeccion],SMALL(IF(DL$1=Leccion[SubSección],MATCH(ROW(Leccion[SubSección]),ROW(Leccion[SubSección]))),ROW(DK20))),"")</f>
        <v/>
      </c>
      <c r="DM21" s="51" t="str">
        <f t="array" aca="1" ref="DM21" ca="1">IFERROR(INDEX(Leccion[selectorLeccion],SMALL(IF(DM$1=Leccion[SubSección],MATCH(ROW(Leccion[SubSección]),ROW(Leccion[SubSección]))),ROW(DL20))),"")</f>
        <v/>
      </c>
      <c r="DN21" s="51" t="str">
        <f t="array" aca="1" ref="DN21" ca="1">IFERROR(INDEX(Leccion[selectorLeccion],SMALL(IF(DN$1=Leccion[SubSección],MATCH(ROW(Leccion[SubSección]),ROW(Leccion[SubSección]))),ROW(DM20))),"")</f>
        <v/>
      </c>
      <c r="DO21" s="51" t="str">
        <f t="array" aca="1" ref="DO21" ca="1">IFERROR(INDEX(Leccion[selectorLeccion],SMALL(IF(DO$1=Leccion[SubSección],MATCH(ROW(Leccion[SubSección]),ROW(Leccion[SubSección]))),ROW(DN20))),"")</f>
        <v/>
      </c>
      <c r="DP21" s="51" t="str">
        <f t="array" aca="1" ref="DP21" ca="1">IFERROR(INDEX(Leccion[selectorLeccion],SMALL(IF(DP$1=Leccion[SubSección],MATCH(ROW(Leccion[SubSección]),ROW(Leccion[SubSección]))),ROW(DO20))),"")</f>
        <v/>
      </c>
      <c r="DQ21" s="51" t="str">
        <f t="array" aca="1" ref="DQ21" ca="1">IFERROR(INDEX(Leccion[selectorLeccion],SMALL(IF(DQ$1=Leccion[SubSección],MATCH(ROW(Leccion[SubSección]),ROW(Leccion[SubSección]))),ROW(DP20))),"")</f>
        <v/>
      </c>
      <c r="DR21" s="51" t="str">
        <f t="array" aca="1" ref="DR21" ca="1">IFERROR(INDEX(Leccion[selectorLeccion],SMALL(IF(DR$1=Leccion[SubSección],MATCH(ROW(Leccion[SubSección]),ROW(Leccion[SubSección]))),ROW(DQ20))),"")</f>
        <v/>
      </c>
      <c r="DS21" s="51" t="str">
        <f t="array" aca="1" ref="DS21" ca="1">IFERROR(INDEX(Leccion[selectorLeccion],SMALL(IF(DS$1=Leccion[SubSección],MATCH(ROW(Leccion[SubSección]),ROW(Leccion[SubSección]))),ROW(DR20))),"")</f>
        <v/>
      </c>
      <c r="DT21" s="51" t="str">
        <f t="array" aca="1" ref="DT21" ca="1">IFERROR(INDEX(Leccion[selectorLeccion],SMALL(IF(DT$1=Leccion[SubSección],MATCH(ROW(Leccion[SubSección]),ROW(Leccion[SubSección]))),ROW(DS20))),"")</f>
        <v/>
      </c>
      <c r="DU21" s="51" t="str">
        <f t="array" aca="1" ref="DU21" ca="1">IFERROR(INDEX(Leccion[selectorLeccion],SMALL(IF(DU$1=Leccion[SubSección],MATCH(ROW(Leccion[SubSección]),ROW(Leccion[SubSección]))),ROW(DT20))),"")</f>
        <v/>
      </c>
      <c r="DV21" s="51" t="str">
        <f t="array" aca="1" ref="DV21" ca="1">IFERROR(INDEX(Leccion[selectorLeccion],SMALL(IF(DV$1=Leccion[SubSección],MATCH(ROW(Leccion[SubSección]),ROW(Leccion[SubSección]))),ROW(DU20))),"")</f>
        <v/>
      </c>
      <c r="DW21" s="51" t="str">
        <f t="array" aca="1" ref="DW21" ca="1">IFERROR(INDEX(Leccion[selectorLeccion],SMALL(IF(DW$1=Leccion[SubSección],MATCH(ROW(Leccion[SubSección]),ROW(Leccion[SubSección]))),ROW(DV20))),"")</f>
        <v/>
      </c>
      <c r="DX21" s="51" t="str">
        <f t="array" aca="1" ref="DX21" ca="1">IFERROR(INDEX(Leccion[selectorLeccion],SMALL(IF(DX$1=Leccion[SubSección],MATCH(ROW(Leccion[SubSección]),ROW(Leccion[SubSección]))),ROW(DW20))),"")</f>
        <v/>
      </c>
      <c r="DY21" s="51" t="str">
        <f t="array" aca="1" ref="DY21" ca="1">IFERROR(INDEX(Leccion[selectorLeccion],SMALL(IF(DY$1=Leccion[SubSección],MATCH(ROW(Leccion[SubSección]),ROW(Leccion[SubSección]))),ROW(DX20))),"")</f>
        <v/>
      </c>
      <c r="DZ21" s="51" t="str">
        <f t="array" aca="1" ref="DZ21" ca="1">IFERROR(INDEX(Leccion[selectorLeccion],SMALL(IF(DZ$1=Leccion[SubSección],MATCH(ROW(Leccion[SubSección]),ROW(Leccion[SubSección]))),ROW(DY20))),"")</f>
        <v/>
      </c>
      <c r="EA21" s="51" t="str">
        <f t="array" aca="1" ref="EA21" ca="1">IFERROR(INDEX(Leccion[selectorLeccion],SMALL(IF(EA$1=Leccion[SubSección],MATCH(ROW(Leccion[SubSección]),ROW(Leccion[SubSección]))),ROW(DZ20))),"")</f>
        <v/>
      </c>
      <c r="EB21" s="51" t="str">
        <f t="array" aca="1" ref="EB21" ca="1">IFERROR(INDEX(Leccion[selectorLeccion],SMALL(IF(EB$1=Leccion[SubSección],MATCH(ROW(Leccion[SubSección]),ROW(Leccion[SubSección]))),ROW(EA20))),"")</f>
        <v/>
      </c>
      <c r="EC21" s="51" t="str">
        <f t="array" aca="1" ref="EC21" ca="1">IFERROR(INDEX(Leccion[selectorLeccion],SMALL(IF(EC$1=Leccion[SubSección],MATCH(ROW(Leccion[SubSección]),ROW(Leccion[SubSección]))),ROW(EB20))),"")</f>
        <v/>
      </c>
      <c r="ED21" s="51" t="str">
        <f t="array" aca="1" ref="ED21" ca="1">IFERROR(INDEX(Leccion[selectorLeccion],SMALL(IF(ED$1=Leccion[SubSección],MATCH(ROW(Leccion[SubSección]),ROW(Leccion[SubSección]))),ROW(EC20))),"")</f>
        <v/>
      </c>
      <c r="EE21" s="51" t="str">
        <f t="array" aca="1" ref="EE21" ca="1">IFERROR(INDEX(Leccion[selectorLeccion],SMALL(IF(EE$1=Leccion[SubSección],MATCH(ROW(Leccion[SubSección]),ROW(Leccion[SubSección]))),ROW(ED20))),"")</f>
        <v/>
      </c>
      <c r="EF21" s="51" t="str">
        <f t="array" aca="1" ref="EF21" ca="1">IFERROR(INDEX(Leccion[selectorLeccion],SMALL(IF(EF$1=Leccion[SubSección],MATCH(ROW(Leccion[SubSección]),ROW(Leccion[SubSección]))),ROW(EE20))),"")</f>
        <v/>
      </c>
      <c r="EG21" s="51" t="str">
        <f t="array" aca="1" ref="EG21" ca="1">IFERROR(INDEX(Leccion[selectorLeccion],SMALL(IF(EG$1=Leccion[SubSección],MATCH(ROW(Leccion[SubSección]),ROW(Leccion[SubSección]))),ROW(EF20))),"")</f>
        <v/>
      </c>
      <c r="EH21" s="51" t="str">
        <f t="array" aca="1" ref="EH21" ca="1">IFERROR(INDEX(Leccion[selectorLeccion],SMALL(IF(EH$1=Leccion[SubSección],MATCH(ROW(Leccion[SubSección]),ROW(Leccion[SubSección]))),ROW(EG20))),"")</f>
        <v/>
      </c>
      <c r="EI21" s="51" t="str">
        <f t="array" aca="1" ref="EI21" ca="1">IFERROR(INDEX(Leccion[selectorLeccion],SMALL(IF(EI$1=Leccion[SubSección],MATCH(ROW(Leccion[SubSección]),ROW(Leccion[SubSección]))),ROW(EH20))),"")</f>
        <v/>
      </c>
      <c r="EJ21" s="51" t="str">
        <f t="array" aca="1" ref="EJ21" ca="1">IFERROR(INDEX(Leccion[selectorLeccion],SMALL(IF(EJ$1=Leccion[SubSección],MATCH(ROW(Leccion[SubSección]),ROW(Leccion[SubSección]))),ROW(EI20))),"")</f>
        <v/>
      </c>
      <c r="EK21" s="51" t="str">
        <f t="array" aca="1" ref="EK21" ca="1">IFERROR(INDEX(Leccion[selectorLeccion],SMALL(IF(EK$1=Leccion[SubSección],MATCH(ROW(Leccion[SubSección]),ROW(Leccion[SubSección]))),ROW(EJ20))),"")</f>
        <v/>
      </c>
      <c r="EL21" s="51" t="str">
        <f t="array" aca="1" ref="EL21" ca="1">IFERROR(INDEX(Leccion[selectorLeccion],SMALL(IF(EL$1=Leccion[SubSección],MATCH(ROW(Leccion[SubSección]),ROW(Leccion[SubSección]))),ROW(EK20))),"")</f>
        <v/>
      </c>
      <c r="EM21" s="51" t="str">
        <f t="array" aca="1" ref="EM21" ca="1">IFERROR(INDEX(Leccion[selectorLeccion],SMALL(IF(EM$1=Leccion[SubSección],MATCH(ROW(Leccion[SubSección]),ROW(Leccion[SubSección]))),ROW(EL20))),"")</f>
        <v/>
      </c>
      <c r="EN21" s="51" t="str">
        <f t="array" aca="1" ref="EN21" ca="1">IFERROR(INDEX(Leccion[selectorLeccion],SMALL(IF(EN$1=Leccion[SubSección],MATCH(ROW(Leccion[SubSección]),ROW(Leccion[SubSección]))),ROW(EM20))),"")</f>
        <v/>
      </c>
      <c r="EO21" s="51" t="str">
        <f t="array" aca="1" ref="EO21" ca="1">IFERROR(INDEX(Leccion[selectorLeccion],SMALL(IF(EO$1=Leccion[SubSección],MATCH(ROW(Leccion[SubSección]),ROW(Leccion[SubSección]))),ROW(EN20))),"")</f>
        <v/>
      </c>
      <c r="EP21" s="51" t="str">
        <f t="array" aca="1" ref="EP21" ca="1">IFERROR(INDEX(Leccion[selectorLeccion],SMALL(IF(EP$1=Leccion[SubSección],MATCH(ROW(Leccion[SubSección]),ROW(Leccion[SubSección]))),ROW(EO20))),"")</f>
        <v/>
      </c>
      <c r="EQ21" s="51" t="str">
        <f t="array" aca="1" ref="EQ21" ca="1">IFERROR(INDEX(Leccion[selectorLeccion],SMALL(IF(EQ$1=Leccion[SubSección],MATCH(ROW(Leccion[SubSección]),ROW(Leccion[SubSección]))),ROW(EP20))),"")</f>
        <v/>
      </c>
      <c r="ER21" s="51" t="str">
        <f t="array" aca="1" ref="ER21" ca="1">IFERROR(INDEX(Leccion[selectorLeccion],SMALL(IF(ER$1=Leccion[SubSección],MATCH(ROW(Leccion[SubSección]),ROW(Leccion[SubSección]))),ROW(EQ20))),"")</f>
        <v/>
      </c>
      <c r="ES21" s="51" t="str">
        <f t="array" aca="1" ref="ES21" ca="1">IFERROR(INDEX(Leccion[selectorLeccion],SMALL(IF(ES$1=Leccion[SubSección],MATCH(ROW(Leccion[SubSección]),ROW(Leccion[SubSección]))),ROW(ER20))),"")</f>
        <v/>
      </c>
      <c r="ET21" s="51" t="str">
        <f t="array" aca="1" ref="ET21" ca="1">IFERROR(INDEX(Leccion[selectorLeccion],SMALL(IF(ET$1=Leccion[SubSección],MATCH(ROW(Leccion[SubSección]),ROW(Leccion[SubSección]))),ROW(ES20))),"")</f>
        <v/>
      </c>
      <c r="EU21" s="51" t="str">
        <f t="array" aca="1" ref="EU21" ca="1">IFERROR(INDEX(Leccion[selectorLeccion],SMALL(IF(EU$1=Leccion[SubSección],MATCH(ROW(Leccion[SubSección]),ROW(Leccion[SubSección]))),ROW(ET20))),"")</f>
        <v/>
      </c>
      <c r="EV21" s="51" t="str">
        <f t="array" aca="1" ref="EV21" ca="1">IFERROR(INDEX(Leccion[selectorLeccion],SMALL(IF(EV$1=Leccion[SubSección],MATCH(ROW(Leccion[SubSección]),ROW(Leccion[SubSección]))),ROW(EU20))),"")</f>
        <v/>
      </c>
      <c r="EW21" s="51" t="str">
        <f t="array" aca="1" ref="EW21" ca="1">IFERROR(INDEX(Leccion[selectorLeccion],SMALL(IF(EW$1=Leccion[SubSección],MATCH(ROW(Leccion[SubSección]),ROW(Leccion[SubSección]))),ROW(EV20))),"")</f>
        <v/>
      </c>
      <c r="EX21" s="51" t="str">
        <f t="array" aca="1" ref="EX21" ca="1">IFERROR(INDEX(Leccion[selectorLeccion],SMALL(IF(EX$1=Leccion[SubSección],MATCH(ROW(Leccion[SubSección]),ROW(Leccion[SubSección]))),ROW(EW20))),"")</f>
        <v/>
      </c>
      <c r="EY21" s="51" t="str">
        <f t="array" aca="1" ref="EY21" ca="1">IFERROR(INDEX(Leccion[selectorLeccion],SMALL(IF(EY$1=Leccion[SubSección],MATCH(ROW(Leccion[SubSección]),ROW(Leccion[SubSección]))),ROW(EX20))),"")</f>
        <v/>
      </c>
      <c r="EZ21" s="51" t="str">
        <f t="array" aca="1" ref="EZ21" ca="1">IFERROR(INDEX(Leccion[selectorLeccion],SMALL(IF(EZ$1=Leccion[SubSección],MATCH(ROW(Leccion[SubSección]),ROW(Leccion[SubSección]))),ROW(EY20))),"")</f>
        <v/>
      </c>
    </row>
    <row r="22" spans="2:156" x14ac:dyDescent="0.3">
      <c r="B22" s="51" t="str">
        <f t="array" aca="1" ref="B22" ca="1">IFERROR(INDEX(Leccion[selectorLeccion],SMALL(IF(B$1=Leccion[SubSección],MATCH(ROW(Leccion[SubSección]),ROW(Leccion[SubSección]))),ROW(A21))),"")</f>
        <v/>
      </c>
      <c r="C22" s="51" t="str">
        <f t="array" aca="1" ref="C22" ca="1">IFERROR(INDEX(Leccion[selectorLeccion],SMALL(IF(C$1=Leccion[SubSección],MATCH(ROW(Leccion[SubSección]),ROW(Leccion[SubSección]))),ROW(B21))),"")</f>
        <v/>
      </c>
      <c r="D22" s="51" t="str">
        <f t="array" aca="1" ref="D22" ca="1">IFERROR(INDEX(Leccion[selectorLeccion],SMALL(IF(D$1=Leccion[SubSección],MATCH(ROW(Leccion[SubSección]),ROW(Leccion[SubSección]))),ROW(C21))),"")</f>
        <v/>
      </c>
      <c r="E22" s="51" t="str">
        <f t="array" aca="1" ref="E22" ca="1">IFERROR(INDEX(Leccion[selectorLeccion],SMALL(IF(E$1=Leccion[SubSección],MATCH(ROW(Leccion[SubSección]),ROW(Leccion[SubSección]))),ROW(D21))),"")</f>
        <v/>
      </c>
      <c r="F22" s="51" t="str">
        <f t="array" aca="1" ref="F22" ca="1">IFERROR(INDEX(Leccion[selectorLeccion],SMALL(IF(F$1=Leccion[SubSección],MATCH(ROW(Leccion[SubSección]),ROW(Leccion[SubSección]))),ROW(E21))),"")</f>
        <v/>
      </c>
      <c r="G22" s="51" t="str">
        <f t="array" aca="1" ref="G22" ca="1">IFERROR(INDEX(Leccion[selectorLeccion],SMALL(IF(G$1=Leccion[SubSección],MATCH(ROW(Leccion[SubSección]),ROW(Leccion[SubSección]))),ROW(F21))),"")</f>
        <v/>
      </c>
      <c r="H22" s="51" t="str">
        <f t="array" aca="1" ref="H22" ca="1">IFERROR(INDEX(Leccion[selectorLeccion],SMALL(IF(H$1=Leccion[SubSección],MATCH(ROW(Leccion[SubSección]),ROW(Leccion[SubSección]))),ROW(G21))),"")</f>
        <v/>
      </c>
      <c r="I22" s="51" t="str">
        <f t="array" aca="1" ref="I22" ca="1">IFERROR(INDEX(Leccion[selectorLeccion],SMALL(IF(I$1=Leccion[SubSección],MATCH(ROW(Leccion[SubSección]),ROW(Leccion[SubSección]))),ROW(H21))),"")</f>
        <v/>
      </c>
      <c r="J22" s="51" t="str">
        <f t="array" aca="1" ref="J22" ca="1">IFERROR(INDEX(Leccion[selectorLeccion],SMALL(IF(J$1=Leccion[SubSección],MATCH(ROW(Leccion[SubSección]),ROW(Leccion[SubSección]))),ROW(I21))),"")</f>
        <v/>
      </c>
      <c r="K22" s="51" t="str">
        <f t="array" aca="1" ref="K22" ca="1">IFERROR(INDEX(Leccion[selectorLeccion],SMALL(IF(K$1=Leccion[SubSección],MATCH(ROW(Leccion[SubSección]),ROW(Leccion[SubSección]))),ROW(J21))),"")</f>
        <v/>
      </c>
      <c r="L22" s="51" t="str">
        <f t="array" aca="1" ref="L22" ca="1">IFERROR(INDEX(Leccion[selectorLeccion],SMALL(IF(L$1=Leccion[SubSección],MATCH(ROW(Leccion[SubSección]),ROW(Leccion[SubSección]))),ROW(K21))),"")</f>
        <v/>
      </c>
      <c r="M22" s="51" t="str">
        <f t="array" aca="1" ref="M22" ca="1">IFERROR(INDEX(Leccion[selectorLeccion],SMALL(IF(M$1=Leccion[SubSección],MATCH(ROW(Leccion[SubSección]),ROW(Leccion[SubSección]))),ROW(L21))),"")</f>
        <v/>
      </c>
      <c r="N22" s="51" t="str">
        <f t="array" aca="1" ref="N22" ca="1">IFERROR(INDEX(Leccion[selectorLeccion],SMALL(IF(N$1=Leccion[SubSección],MATCH(ROW(Leccion[SubSección]),ROW(Leccion[SubSección]))),ROW(M21))),"")</f>
        <v/>
      </c>
      <c r="O22" s="51" t="str">
        <f t="array" aca="1" ref="O22" ca="1">IFERROR(INDEX(Leccion[selectorLeccion],SMALL(IF(O$1=Leccion[SubSección],MATCH(ROW(Leccion[SubSección]),ROW(Leccion[SubSección]))),ROW(N21))),"")</f>
        <v/>
      </c>
      <c r="P22" s="51" t="str">
        <f t="array" aca="1" ref="P22" ca="1">IFERROR(INDEX(Leccion[selectorLeccion],SMALL(IF(P$1=Leccion[SubSección],MATCH(ROW(Leccion[SubSección]),ROW(Leccion[SubSección]))),ROW(O21))),"")</f>
        <v/>
      </c>
      <c r="Q22" s="51" t="str">
        <f t="array" aca="1" ref="Q22" ca="1">IFERROR(INDEX(Leccion[selectorLeccion],SMALL(IF(Q$1=Leccion[SubSección],MATCH(ROW(Leccion[SubSección]),ROW(Leccion[SubSección]))),ROW(P21))),"")</f>
        <v/>
      </c>
      <c r="R22" s="51" t="str">
        <f t="array" aca="1" ref="R22" ca="1">IFERROR(INDEX(Leccion[selectorLeccion],SMALL(IF(R$1=Leccion[SubSección],MATCH(ROW(Leccion[SubSección]),ROW(Leccion[SubSección]))),ROW(Q21))),"")</f>
        <v/>
      </c>
      <c r="S22" s="51" t="str">
        <f t="array" aca="1" ref="S22" ca="1">IFERROR(INDEX(Leccion[selectorLeccion],SMALL(IF(S$1=Leccion[SubSección],MATCH(ROW(Leccion[SubSección]),ROW(Leccion[SubSección]))),ROW(R21))),"")</f>
        <v/>
      </c>
      <c r="T22" s="51" t="str">
        <f t="array" aca="1" ref="T22" ca="1">IFERROR(INDEX(Leccion[selectorLeccion],SMALL(IF(T$1=Leccion[SubSección],MATCH(ROW(Leccion[SubSección]),ROW(Leccion[SubSección]))),ROW(S21))),"")</f>
        <v/>
      </c>
      <c r="U22" s="51" t="str">
        <f t="array" aca="1" ref="U22" ca="1">IFERROR(INDEX(Leccion[selectorLeccion],SMALL(IF(U$1=Leccion[SubSección],MATCH(ROW(Leccion[SubSección]),ROW(Leccion[SubSección]))),ROW(T21))),"")</f>
        <v/>
      </c>
      <c r="V22" s="51" t="str">
        <f t="array" aca="1" ref="V22" ca="1">IFERROR(INDEX(Leccion[selectorLeccion],SMALL(IF(V$1=Leccion[SubSección],MATCH(ROW(Leccion[SubSección]),ROW(Leccion[SubSección]))),ROW(U21))),"")</f>
        <v/>
      </c>
      <c r="W22" s="51" t="str">
        <f t="array" aca="1" ref="W22" ca="1">IFERROR(INDEX(Leccion[selectorLeccion],SMALL(IF(W$1=Leccion[SubSección],MATCH(ROW(Leccion[SubSección]),ROW(Leccion[SubSección]))),ROW(V21))),"")</f>
        <v/>
      </c>
      <c r="X22" s="51" t="str">
        <f t="array" aca="1" ref="X22" ca="1">IFERROR(INDEX(Leccion[selectorLeccion],SMALL(IF(X$1=Leccion[SubSección],MATCH(ROW(Leccion[SubSección]),ROW(Leccion[SubSección]))),ROW(W21))),"")</f>
        <v/>
      </c>
      <c r="Y22" s="51" t="str">
        <f t="array" aca="1" ref="Y22" ca="1">IFERROR(INDEX(Leccion[selectorLeccion],SMALL(IF(Y$1=Leccion[SubSección],MATCH(ROW(Leccion[SubSección]),ROW(Leccion[SubSección]))),ROW(X21))),"")</f>
        <v/>
      </c>
      <c r="Z22" s="51" t="str">
        <f t="array" aca="1" ref="Z22" ca="1">IFERROR(INDEX(Leccion[selectorLeccion],SMALL(IF(Z$1=Leccion[SubSección],MATCH(ROW(Leccion[SubSección]),ROW(Leccion[SubSección]))),ROW(Y21))),"")</f>
        <v/>
      </c>
      <c r="AA22" s="51" t="str">
        <f t="array" aca="1" ref="AA22" ca="1">IFERROR(INDEX(Leccion[selectorLeccion],SMALL(IF(AA$1=Leccion[SubSección],MATCH(ROW(Leccion[SubSección]),ROW(Leccion[SubSección]))),ROW(Z21))),"")</f>
        <v/>
      </c>
      <c r="AB22" s="51" t="str">
        <f t="array" aca="1" ref="AB22" ca="1">IFERROR(INDEX(Leccion[selectorLeccion],SMALL(IF(AB$1=Leccion[SubSección],MATCH(ROW(Leccion[SubSección]),ROW(Leccion[SubSección]))),ROW(AA21))),"")</f>
        <v/>
      </c>
      <c r="AC22" s="51" t="str">
        <f t="array" aca="1" ref="AC22" ca="1">IFERROR(INDEX(Leccion[selectorLeccion],SMALL(IF(AC$1=Leccion[SubSección],MATCH(ROW(Leccion[SubSección]),ROW(Leccion[SubSección]))),ROW(AB21))),"")</f>
        <v/>
      </c>
      <c r="AD22" s="51" t="str">
        <f t="array" aca="1" ref="AD22" ca="1">IFERROR(INDEX(Leccion[selectorLeccion],SMALL(IF(AD$1=Leccion[SubSección],MATCH(ROW(Leccion[SubSección]),ROW(Leccion[SubSección]))),ROW(AC21))),"")</f>
        <v/>
      </c>
      <c r="AE22" s="51" t="str">
        <f t="array" aca="1" ref="AE22" ca="1">IFERROR(INDEX(Leccion[selectorLeccion],SMALL(IF(AE$1=Leccion[SubSección],MATCH(ROW(Leccion[SubSección]),ROW(Leccion[SubSección]))),ROW(AD21))),"")</f>
        <v/>
      </c>
      <c r="AF22" s="51" t="str">
        <f t="array" aca="1" ref="AF22" ca="1">IFERROR(INDEX(Leccion[selectorLeccion],SMALL(IF(AF$1=Leccion[SubSección],MATCH(ROW(Leccion[SubSección]),ROW(Leccion[SubSección]))),ROW(AE21))),"")</f>
        <v/>
      </c>
      <c r="AG22" s="51" t="str">
        <f t="array" aca="1" ref="AG22" ca="1">IFERROR(INDEX(Leccion[selectorLeccion],SMALL(IF(AG$1=Leccion[SubSección],MATCH(ROW(Leccion[SubSección]),ROW(Leccion[SubSección]))),ROW(AF21))),"")</f>
        <v/>
      </c>
      <c r="AH22" s="51" t="str">
        <f t="array" aca="1" ref="AH22" ca="1">IFERROR(INDEX(Leccion[selectorLeccion],SMALL(IF(AH$1=Leccion[SubSección],MATCH(ROW(Leccion[SubSección]),ROW(Leccion[SubSección]))),ROW(AG21))),"")</f>
        <v/>
      </c>
      <c r="AI22" s="51" t="str">
        <f t="array" aca="1" ref="AI22" ca="1">IFERROR(INDEX(Leccion[selectorLeccion],SMALL(IF(AI$1=Leccion[SubSección],MATCH(ROW(Leccion[SubSección]),ROW(Leccion[SubSección]))),ROW(AH21))),"")</f>
        <v/>
      </c>
      <c r="AJ22" s="51" t="str">
        <f t="array" aca="1" ref="AJ22" ca="1">IFERROR(INDEX(Leccion[selectorLeccion],SMALL(IF(AJ$1=Leccion[SubSección],MATCH(ROW(Leccion[SubSección]),ROW(Leccion[SubSección]))),ROW(AI21))),"")</f>
        <v/>
      </c>
      <c r="AK22" s="51" t="str">
        <f t="array" aca="1" ref="AK22" ca="1">IFERROR(INDEX(Leccion[selectorLeccion],SMALL(IF(AK$1=Leccion[SubSección],MATCH(ROW(Leccion[SubSección]),ROW(Leccion[SubSección]))),ROW(AJ21))),"")</f>
        <v/>
      </c>
      <c r="AL22" s="51" t="str">
        <f t="array" aca="1" ref="AL22" ca="1">IFERROR(INDEX(Leccion[selectorLeccion],SMALL(IF(AL$1=Leccion[SubSección],MATCH(ROW(Leccion[SubSección]),ROW(Leccion[SubSección]))),ROW(AK21))),"")</f>
        <v/>
      </c>
      <c r="AM22" s="51" t="str">
        <f t="array" aca="1" ref="AM22" ca="1">IFERROR(INDEX(Leccion[selectorLeccion],SMALL(IF(AM$1=Leccion[SubSección],MATCH(ROW(Leccion[SubSección]),ROW(Leccion[SubSección]))),ROW(AL21))),"")</f>
        <v/>
      </c>
      <c r="AN22" s="51" t="str">
        <f t="array" aca="1" ref="AN22" ca="1">IFERROR(INDEX(Leccion[selectorLeccion],SMALL(IF(AN$1=Leccion[SubSección],MATCH(ROW(Leccion[SubSección]),ROW(Leccion[SubSección]))),ROW(AM21))),"")</f>
        <v/>
      </c>
      <c r="AO22" s="51" t="str">
        <f t="array" aca="1" ref="AO22" ca="1">IFERROR(INDEX(Leccion[selectorLeccion],SMALL(IF(AO$1=Leccion[SubSección],MATCH(ROW(Leccion[SubSección]),ROW(Leccion[SubSección]))),ROW(AN21))),"")</f>
        <v/>
      </c>
      <c r="AP22" s="51" t="str">
        <f t="array" aca="1" ref="AP22" ca="1">IFERROR(INDEX(Leccion[selectorLeccion],SMALL(IF(AP$1=Leccion[SubSección],MATCH(ROW(Leccion[SubSección]),ROW(Leccion[SubSección]))),ROW(AO21))),"")</f>
        <v/>
      </c>
      <c r="AQ22" s="51" t="str">
        <f t="array" aca="1" ref="AQ22" ca="1">IFERROR(INDEX(Leccion[selectorLeccion],SMALL(IF(AQ$1=Leccion[SubSección],MATCH(ROW(Leccion[SubSección]),ROW(Leccion[SubSección]))),ROW(AP21))),"")</f>
        <v/>
      </c>
      <c r="AR22" s="51" t="str">
        <f t="array" aca="1" ref="AR22" ca="1">IFERROR(INDEX(Leccion[selectorLeccion],SMALL(IF(AR$1=Leccion[SubSección],MATCH(ROW(Leccion[SubSección]),ROW(Leccion[SubSección]))),ROW(AQ21))),"")</f>
        <v/>
      </c>
      <c r="AS22" s="51" t="str">
        <f t="array" aca="1" ref="AS22" ca="1">IFERROR(INDEX(Leccion[selectorLeccion],SMALL(IF(AS$1=Leccion[SubSección],MATCH(ROW(Leccion[SubSección]),ROW(Leccion[SubSección]))),ROW(AR21))),"")</f>
        <v/>
      </c>
      <c r="AT22" s="51" t="str">
        <f t="array" aca="1" ref="AT22" ca="1">IFERROR(INDEX(Leccion[selectorLeccion],SMALL(IF(AT$1=Leccion[SubSección],MATCH(ROW(Leccion[SubSección]),ROW(Leccion[SubSección]))),ROW(AS21))),"")</f>
        <v/>
      </c>
      <c r="AU22" s="51" t="str">
        <f t="array" aca="1" ref="AU22" ca="1">IFERROR(INDEX(Leccion[selectorLeccion],SMALL(IF(AU$1=Leccion[SubSección],MATCH(ROW(Leccion[SubSección]),ROW(Leccion[SubSección]))),ROW(AT21))),"")</f>
        <v/>
      </c>
      <c r="AV22" s="51" t="str">
        <f t="array" aca="1" ref="AV22" ca="1">IFERROR(INDEX(Leccion[selectorLeccion],SMALL(IF(AV$1=Leccion[SubSección],MATCH(ROW(Leccion[SubSección]),ROW(Leccion[SubSección]))),ROW(AU21))),"")</f>
        <v/>
      </c>
      <c r="AW22" s="51" t="str">
        <f t="array" aca="1" ref="AW22" ca="1">IFERROR(INDEX(Leccion[selectorLeccion],SMALL(IF(AW$1=Leccion[SubSección],MATCH(ROW(Leccion[SubSección]),ROW(Leccion[SubSección]))),ROW(AV21))),"")</f>
        <v/>
      </c>
      <c r="AX22" s="51" t="str">
        <f t="array" aca="1" ref="AX22" ca="1">IFERROR(INDEX(Leccion[selectorLeccion],SMALL(IF(AX$1=Leccion[SubSección],MATCH(ROW(Leccion[SubSección]),ROW(Leccion[SubSección]))),ROW(AW21))),"")</f>
        <v/>
      </c>
      <c r="AY22" s="51" t="str">
        <f t="array" aca="1" ref="AY22" ca="1">IFERROR(INDEX(Leccion[selectorLeccion],SMALL(IF(AY$1=Leccion[SubSección],MATCH(ROW(Leccion[SubSección]),ROW(Leccion[SubSección]))),ROW(AX21))),"")</f>
        <v/>
      </c>
      <c r="AZ22" s="51" t="str">
        <f t="array" aca="1" ref="AZ22" ca="1">IFERROR(INDEX(Leccion[selectorLeccion],SMALL(IF(AZ$1=Leccion[SubSección],MATCH(ROW(Leccion[SubSección]),ROW(Leccion[SubSección]))),ROW(AY21))),"")</f>
        <v/>
      </c>
      <c r="BA22" s="51" t="str">
        <f t="array" aca="1" ref="BA22" ca="1">IFERROR(INDEX(Leccion[selectorLeccion],SMALL(IF(BA$1=Leccion[SubSección],MATCH(ROW(Leccion[SubSección]),ROW(Leccion[SubSección]))),ROW(AZ21))),"")</f>
        <v/>
      </c>
      <c r="BB22" s="51" t="str">
        <f t="array" aca="1" ref="BB22" ca="1">IFERROR(INDEX(Leccion[selectorLeccion],SMALL(IF(BB$1=Leccion[SubSección],MATCH(ROW(Leccion[SubSección]),ROW(Leccion[SubSección]))),ROW(BA21))),"")</f>
        <v/>
      </c>
      <c r="BC22" s="51" t="str">
        <f t="array" aca="1" ref="BC22" ca="1">IFERROR(INDEX(Leccion[selectorLeccion],SMALL(IF(BC$1=Leccion[SubSección],MATCH(ROW(Leccion[SubSección]),ROW(Leccion[SubSección]))),ROW(BB21))),"")</f>
        <v/>
      </c>
      <c r="BD22" s="51" t="str">
        <f t="array" aca="1" ref="BD22" ca="1">IFERROR(INDEX(Leccion[selectorLeccion],SMALL(IF(BD$1=Leccion[SubSección],MATCH(ROW(Leccion[SubSección]),ROW(Leccion[SubSección]))),ROW(BC21))),"")</f>
        <v/>
      </c>
      <c r="BE22" s="51" t="str">
        <f t="array" aca="1" ref="BE22" ca="1">IFERROR(INDEX(Leccion[selectorLeccion],SMALL(IF(BE$1=Leccion[SubSección],MATCH(ROW(Leccion[SubSección]),ROW(Leccion[SubSección]))),ROW(BD21))),"")</f>
        <v/>
      </c>
      <c r="BF22" s="51" t="str">
        <f t="array" aca="1" ref="BF22" ca="1">IFERROR(INDEX(Leccion[selectorLeccion],SMALL(IF(BF$1=Leccion[SubSección],MATCH(ROW(Leccion[SubSección]),ROW(Leccion[SubSección]))),ROW(BE21))),"")</f>
        <v/>
      </c>
      <c r="BG22" s="51" t="str">
        <f t="array" aca="1" ref="BG22" ca="1">IFERROR(INDEX(Leccion[selectorLeccion],SMALL(IF(BG$1=Leccion[SubSección],MATCH(ROW(Leccion[SubSección]),ROW(Leccion[SubSección]))),ROW(BF21))),"")</f>
        <v/>
      </c>
      <c r="BH22" s="51" t="str">
        <f t="array" aca="1" ref="BH22" ca="1">IFERROR(INDEX(Leccion[selectorLeccion],SMALL(IF(BH$1=Leccion[SubSección],MATCH(ROW(Leccion[SubSección]),ROW(Leccion[SubSección]))),ROW(BG21))),"")</f>
        <v/>
      </c>
      <c r="BI22" s="51" t="str">
        <f t="array" aca="1" ref="BI22" ca="1">IFERROR(INDEX(Leccion[selectorLeccion],SMALL(IF(BI$1=Leccion[SubSección],MATCH(ROW(Leccion[SubSección]),ROW(Leccion[SubSección]))),ROW(BH21))),"")</f>
        <v/>
      </c>
      <c r="BJ22" s="51" t="str">
        <f t="array" aca="1" ref="BJ22" ca="1">IFERROR(INDEX(Leccion[selectorLeccion],SMALL(IF(BJ$1=Leccion[SubSección],MATCH(ROW(Leccion[SubSección]),ROW(Leccion[SubSección]))),ROW(BI21))),"")</f>
        <v/>
      </c>
      <c r="BK22" s="51" t="str">
        <f t="array" aca="1" ref="BK22" ca="1">IFERROR(INDEX(Leccion[selectorLeccion],SMALL(IF(BK$1=Leccion[SubSección],MATCH(ROW(Leccion[SubSección]),ROW(Leccion[SubSección]))),ROW(BJ21))),"")</f>
        <v/>
      </c>
      <c r="BL22" s="51" t="str">
        <f t="array" aca="1" ref="BL22" ca="1">IFERROR(INDEX(Leccion[selectorLeccion],SMALL(IF(BL$1=Leccion[SubSección],MATCH(ROW(Leccion[SubSección]),ROW(Leccion[SubSección]))),ROW(BK21))),"")</f>
        <v/>
      </c>
      <c r="BM22" s="51" t="str">
        <f t="array" aca="1" ref="BM22" ca="1">IFERROR(INDEX(Leccion[selectorLeccion],SMALL(IF(BM$1=Leccion[SubSección],MATCH(ROW(Leccion[SubSección]),ROW(Leccion[SubSección]))),ROW(BL21))),"")</f>
        <v/>
      </c>
      <c r="BN22" s="51" t="str">
        <f t="array" aca="1" ref="BN22" ca="1">IFERROR(INDEX(Leccion[selectorLeccion],SMALL(IF(BN$1=Leccion[SubSección],MATCH(ROW(Leccion[SubSección]),ROW(Leccion[SubSección]))),ROW(BM21))),"")</f>
        <v/>
      </c>
      <c r="BO22" s="51" t="str">
        <f t="array" aca="1" ref="BO22" ca="1">IFERROR(INDEX(Leccion[selectorLeccion],SMALL(IF(BO$1=Leccion[SubSección],MATCH(ROW(Leccion[SubSección]),ROW(Leccion[SubSección]))),ROW(BN21))),"")</f>
        <v/>
      </c>
      <c r="BP22" s="51" t="str">
        <f t="array" aca="1" ref="BP22" ca="1">IFERROR(INDEX(Leccion[selectorLeccion],SMALL(IF(BP$1=Leccion[SubSección],MATCH(ROW(Leccion[SubSección]),ROW(Leccion[SubSección]))),ROW(BO21))),"")</f>
        <v/>
      </c>
      <c r="BQ22" s="51" t="str">
        <f t="array" aca="1" ref="BQ22" ca="1">IFERROR(INDEX(Leccion[selectorLeccion],SMALL(IF(BQ$1=Leccion[SubSección],MATCH(ROW(Leccion[SubSección]),ROW(Leccion[SubSección]))),ROW(BP21))),"")</f>
        <v/>
      </c>
      <c r="BR22" s="51" t="str">
        <f t="array" aca="1" ref="BR22" ca="1">IFERROR(INDEX(Leccion[selectorLeccion],SMALL(IF(BR$1=Leccion[SubSección],MATCH(ROW(Leccion[SubSección]),ROW(Leccion[SubSección]))),ROW(BQ21))),"")</f>
        <v/>
      </c>
      <c r="BS22" s="51" t="str">
        <f t="array" aca="1" ref="BS22" ca="1">IFERROR(INDEX(Leccion[selectorLeccion],SMALL(IF(BS$1=Leccion[SubSección],MATCH(ROW(Leccion[SubSección]),ROW(Leccion[SubSección]))),ROW(BR21))),"")</f>
        <v/>
      </c>
      <c r="BT22" s="51" t="str">
        <f t="array" aca="1" ref="BT22" ca="1">IFERROR(INDEX(Leccion[selectorLeccion],SMALL(IF(BT$1=Leccion[SubSección],MATCH(ROW(Leccion[SubSección]),ROW(Leccion[SubSección]))),ROW(BS21))),"")</f>
        <v/>
      </c>
      <c r="BU22" s="51" t="str">
        <f t="array" aca="1" ref="BU22" ca="1">IFERROR(INDEX(Leccion[selectorLeccion],SMALL(IF(BU$1=Leccion[SubSección],MATCH(ROW(Leccion[SubSección]),ROW(Leccion[SubSección]))),ROW(BT21))),"")</f>
        <v/>
      </c>
      <c r="BV22" s="51" t="str">
        <f t="array" aca="1" ref="BV22" ca="1">IFERROR(INDEX(Leccion[selectorLeccion],SMALL(IF(BV$1=Leccion[SubSección],MATCH(ROW(Leccion[SubSección]),ROW(Leccion[SubSección]))),ROW(BU21))),"")</f>
        <v/>
      </c>
      <c r="BW22" s="51" t="str">
        <f t="array" aca="1" ref="BW22" ca="1">IFERROR(INDEX(Leccion[selectorLeccion],SMALL(IF(BW$1=Leccion[SubSección],MATCH(ROW(Leccion[SubSección]),ROW(Leccion[SubSección]))),ROW(BV21))),"")</f>
        <v/>
      </c>
      <c r="BX22" s="51" t="str">
        <f t="array" aca="1" ref="BX22" ca="1">IFERROR(INDEX(Leccion[selectorLeccion],SMALL(IF(BX$1=Leccion[SubSección],MATCH(ROW(Leccion[SubSección]),ROW(Leccion[SubSección]))),ROW(BW21))),"")</f>
        <v/>
      </c>
      <c r="BY22" s="51" t="str">
        <f t="array" aca="1" ref="BY22" ca="1">IFERROR(INDEX(Leccion[selectorLeccion],SMALL(IF(BY$1=Leccion[SubSección],MATCH(ROW(Leccion[SubSección]),ROW(Leccion[SubSección]))),ROW(BX21))),"")</f>
        <v/>
      </c>
      <c r="BZ22" s="51" t="str">
        <f t="array" aca="1" ref="BZ22" ca="1">IFERROR(INDEX(Leccion[selectorLeccion],SMALL(IF(BZ$1=Leccion[SubSección],MATCH(ROW(Leccion[SubSección]),ROW(Leccion[SubSección]))),ROW(BY21))),"")</f>
        <v/>
      </c>
      <c r="CA22" s="51" t="str">
        <f t="array" aca="1" ref="CA22" ca="1">IFERROR(INDEX(Leccion[selectorLeccion],SMALL(IF(CA$1=Leccion[SubSección],MATCH(ROW(Leccion[SubSección]),ROW(Leccion[SubSección]))),ROW(BZ21))),"")</f>
        <v/>
      </c>
      <c r="CB22" s="51" t="str">
        <f t="array" aca="1" ref="CB22" ca="1">IFERROR(INDEX(Leccion[selectorLeccion],SMALL(IF(CB$1=Leccion[SubSección],MATCH(ROW(Leccion[SubSección]),ROW(Leccion[SubSección]))),ROW(CA21))),"")</f>
        <v/>
      </c>
      <c r="CC22" s="51" t="str">
        <f t="array" aca="1" ref="CC22" ca="1">IFERROR(INDEX(Leccion[selectorLeccion],SMALL(IF(CC$1=Leccion[SubSección],MATCH(ROW(Leccion[SubSección]),ROW(Leccion[SubSección]))),ROW(CB21))),"")</f>
        <v/>
      </c>
      <c r="CD22" s="51" t="str">
        <f t="array" aca="1" ref="CD22" ca="1">IFERROR(INDEX(Leccion[selectorLeccion],SMALL(IF(CD$1=Leccion[SubSección],MATCH(ROW(Leccion[SubSección]),ROW(Leccion[SubSección]))),ROW(CC21))),"")</f>
        <v/>
      </c>
      <c r="CE22" s="51" t="str">
        <f t="array" aca="1" ref="CE22" ca="1">IFERROR(INDEX(Leccion[selectorLeccion],SMALL(IF(CE$1=Leccion[SubSección],MATCH(ROW(Leccion[SubSección]),ROW(Leccion[SubSección]))),ROW(CD21))),"")</f>
        <v/>
      </c>
      <c r="CF22" s="51" t="str">
        <f t="array" aca="1" ref="CF22" ca="1">IFERROR(INDEX(Leccion[selectorLeccion],SMALL(IF(CF$1=Leccion[SubSección],MATCH(ROW(Leccion[SubSección]),ROW(Leccion[SubSección]))),ROW(CE21))),"")</f>
        <v/>
      </c>
      <c r="CG22" s="51" t="str">
        <f t="array" aca="1" ref="CG22" ca="1">IFERROR(INDEX(Leccion[selectorLeccion],SMALL(IF(CG$1=Leccion[SubSección],MATCH(ROW(Leccion[SubSección]),ROW(Leccion[SubSección]))),ROW(CF21))),"")</f>
        <v/>
      </c>
      <c r="CH22" s="51" t="str">
        <f t="array" aca="1" ref="CH22" ca="1">IFERROR(INDEX(Leccion[selectorLeccion],SMALL(IF(CH$1=Leccion[SubSección],MATCH(ROW(Leccion[SubSección]),ROW(Leccion[SubSección]))),ROW(CG21))),"")</f>
        <v/>
      </c>
      <c r="CI22" s="51" t="str">
        <f t="array" aca="1" ref="CI22" ca="1">IFERROR(INDEX(Leccion[selectorLeccion],SMALL(IF(CI$1=Leccion[SubSección],MATCH(ROW(Leccion[SubSección]),ROW(Leccion[SubSección]))),ROW(CH21))),"")</f>
        <v/>
      </c>
      <c r="CJ22" s="51" t="str">
        <f t="array" aca="1" ref="CJ22" ca="1">IFERROR(INDEX(Leccion[selectorLeccion],SMALL(IF(CJ$1=Leccion[SubSección],MATCH(ROW(Leccion[SubSección]),ROW(Leccion[SubSección]))),ROW(CI21))),"")</f>
        <v/>
      </c>
      <c r="CK22" s="51" t="str">
        <f t="array" aca="1" ref="CK22" ca="1">IFERROR(INDEX(Leccion[selectorLeccion],SMALL(IF(CK$1=Leccion[SubSección],MATCH(ROW(Leccion[SubSección]),ROW(Leccion[SubSección]))),ROW(CJ21))),"")</f>
        <v/>
      </c>
      <c r="CL22" s="51" t="str">
        <f t="array" aca="1" ref="CL22" ca="1">IFERROR(INDEX(Leccion[selectorLeccion],SMALL(IF(CL$1=Leccion[SubSección],MATCH(ROW(Leccion[SubSección]),ROW(Leccion[SubSección]))),ROW(CK21))),"")</f>
        <v/>
      </c>
      <c r="CM22" s="51" t="str">
        <f t="array" aca="1" ref="CM22" ca="1">IFERROR(INDEX(Leccion[selectorLeccion],SMALL(IF(CM$1=Leccion[SubSección],MATCH(ROW(Leccion[SubSección]),ROW(Leccion[SubSección]))),ROW(CL21))),"")</f>
        <v/>
      </c>
      <c r="CN22" s="51" t="str">
        <f t="array" aca="1" ref="CN22" ca="1">IFERROR(INDEX(Leccion[selectorLeccion],SMALL(IF(CN$1=Leccion[SubSección],MATCH(ROW(Leccion[SubSección]),ROW(Leccion[SubSección]))),ROW(CM21))),"")</f>
        <v/>
      </c>
      <c r="CO22" s="51" t="str">
        <f t="array" aca="1" ref="CO22" ca="1">IFERROR(INDEX(Leccion[selectorLeccion],SMALL(IF(CO$1=Leccion[SubSección],MATCH(ROW(Leccion[SubSección]),ROW(Leccion[SubSección]))),ROW(CN21))),"")</f>
        <v/>
      </c>
      <c r="CP22" s="51" t="str">
        <f t="array" aca="1" ref="CP22" ca="1">IFERROR(INDEX(Leccion[selectorLeccion],SMALL(IF(CP$1=Leccion[SubSección],MATCH(ROW(Leccion[SubSección]),ROW(Leccion[SubSección]))),ROW(CO21))),"")</f>
        <v/>
      </c>
      <c r="CQ22" s="51" t="str">
        <f t="array" aca="1" ref="CQ22" ca="1">IFERROR(INDEX(Leccion[selectorLeccion],SMALL(IF(CQ$1=Leccion[SubSección],MATCH(ROW(Leccion[SubSección]),ROW(Leccion[SubSección]))),ROW(CP21))),"")</f>
        <v/>
      </c>
      <c r="CR22" s="51" t="str">
        <f t="array" aca="1" ref="CR22" ca="1">IFERROR(INDEX(Leccion[selectorLeccion],SMALL(IF(CR$1=Leccion[SubSección],MATCH(ROW(Leccion[SubSección]),ROW(Leccion[SubSección]))),ROW(CQ21))),"")</f>
        <v/>
      </c>
      <c r="CS22" s="51" t="str">
        <f t="array" aca="1" ref="CS22" ca="1">IFERROR(INDEX(Leccion[selectorLeccion],SMALL(IF(CS$1=Leccion[SubSección],MATCH(ROW(Leccion[SubSección]),ROW(Leccion[SubSección]))),ROW(CR21))),"")</f>
        <v/>
      </c>
      <c r="CT22" s="51" t="str">
        <f t="array" aca="1" ref="CT22" ca="1">IFERROR(INDEX(Leccion[selectorLeccion],SMALL(IF(CT$1=Leccion[SubSección],MATCH(ROW(Leccion[SubSección]),ROW(Leccion[SubSección]))),ROW(CS21))),"")</f>
        <v/>
      </c>
      <c r="CU22" s="51" t="str">
        <f t="array" aca="1" ref="CU22" ca="1">IFERROR(INDEX(Leccion[selectorLeccion],SMALL(IF(CU$1=Leccion[SubSección],MATCH(ROW(Leccion[SubSección]),ROW(Leccion[SubSección]))),ROW(CT21))),"")</f>
        <v/>
      </c>
      <c r="CV22" s="51" t="str">
        <f t="array" aca="1" ref="CV22" ca="1">IFERROR(INDEX(Leccion[selectorLeccion],SMALL(IF(CV$1=Leccion[SubSección],MATCH(ROW(Leccion[SubSección]),ROW(Leccion[SubSección]))),ROW(CU21))),"")</f>
        <v/>
      </c>
      <c r="CW22" s="51" t="str">
        <f t="array" aca="1" ref="CW22" ca="1">IFERROR(INDEX(Leccion[selectorLeccion],SMALL(IF(CW$1=Leccion[SubSección],MATCH(ROW(Leccion[SubSección]),ROW(Leccion[SubSección]))),ROW(CV21))),"")</f>
        <v/>
      </c>
      <c r="CX22" s="51" t="str">
        <f t="array" aca="1" ref="CX22" ca="1">IFERROR(INDEX(Leccion[selectorLeccion],SMALL(IF(CX$1=Leccion[SubSección],MATCH(ROW(Leccion[SubSección]),ROW(Leccion[SubSección]))),ROW(CW21))),"")</f>
        <v/>
      </c>
      <c r="CY22" s="51" t="str">
        <f t="array" aca="1" ref="CY22" ca="1">IFERROR(INDEX(Leccion[selectorLeccion],SMALL(IF(CY$1=Leccion[SubSección],MATCH(ROW(Leccion[SubSección]),ROW(Leccion[SubSección]))),ROW(CX21))),"")</f>
        <v/>
      </c>
      <c r="CZ22" s="51" t="str">
        <f t="array" aca="1" ref="CZ22" ca="1">IFERROR(INDEX(Leccion[selectorLeccion],SMALL(IF(CZ$1=Leccion[SubSección],MATCH(ROW(Leccion[SubSección]),ROW(Leccion[SubSección]))),ROW(CY21))),"")</f>
        <v/>
      </c>
      <c r="DA22" s="51" t="str">
        <f t="array" aca="1" ref="DA22" ca="1">IFERROR(INDEX(Leccion[selectorLeccion],SMALL(IF(DA$1=Leccion[SubSección],MATCH(ROW(Leccion[SubSección]),ROW(Leccion[SubSección]))),ROW(CZ21))),"")</f>
        <v/>
      </c>
      <c r="DB22" s="51" t="str">
        <f t="array" aca="1" ref="DB22" ca="1">IFERROR(INDEX(Leccion[selectorLeccion],SMALL(IF(DB$1=Leccion[SubSección],MATCH(ROW(Leccion[SubSección]),ROW(Leccion[SubSección]))),ROW(DA21))),"")</f>
        <v/>
      </c>
      <c r="DC22" s="51" t="str">
        <f t="array" aca="1" ref="DC22" ca="1">IFERROR(INDEX(Leccion[selectorLeccion],SMALL(IF(DC$1=Leccion[SubSección],MATCH(ROW(Leccion[SubSección]),ROW(Leccion[SubSección]))),ROW(DB21))),"")</f>
        <v/>
      </c>
      <c r="DD22" s="51" t="str">
        <f t="array" aca="1" ref="DD22" ca="1">IFERROR(INDEX(Leccion[selectorLeccion],SMALL(IF(DD$1=Leccion[SubSección],MATCH(ROW(Leccion[SubSección]),ROW(Leccion[SubSección]))),ROW(DC21))),"")</f>
        <v/>
      </c>
      <c r="DE22" s="51" t="str">
        <f t="array" aca="1" ref="DE22" ca="1">IFERROR(INDEX(Leccion[selectorLeccion],SMALL(IF(DE$1=Leccion[SubSección],MATCH(ROW(Leccion[SubSección]),ROW(Leccion[SubSección]))),ROW(DD21))),"")</f>
        <v/>
      </c>
      <c r="DF22" s="51" t="str">
        <f t="array" aca="1" ref="DF22" ca="1">IFERROR(INDEX(Leccion[selectorLeccion],SMALL(IF(DF$1=Leccion[SubSección],MATCH(ROW(Leccion[SubSección]),ROW(Leccion[SubSección]))),ROW(DE21))),"")</f>
        <v/>
      </c>
      <c r="DG22" s="51" t="str">
        <f t="array" aca="1" ref="DG22" ca="1">IFERROR(INDEX(Leccion[selectorLeccion],SMALL(IF(DG$1=Leccion[SubSección],MATCH(ROW(Leccion[SubSección]),ROW(Leccion[SubSección]))),ROW(DF21))),"")</f>
        <v/>
      </c>
      <c r="DH22" s="51" t="str">
        <f t="array" aca="1" ref="DH22" ca="1">IFERROR(INDEX(Leccion[selectorLeccion],SMALL(IF(DH$1=Leccion[SubSección],MATCH(ROW(Leccion[SubSección]),ROW(Leccion[SubSección]))),ROW(DG21))),"")</f>
        <v/>
      </c>
      <c r="DI22" s="51" t="str">
        <f t="array" aca="1" ref="DI22" ca="1">IFERROR(INDEX(Leccion[selectorLeccion],SMALL(IF(DI$1=Leccion[SubSección],MATCH(ROW(Leccion[SubSección]),ROW(Leccion[SubSección]))),ROW(DH21))),"")</f>
        <v/>
      </c>
      <c r="DJ22" s="51" t="str">
        <f t="array" aca="1" ref="DJ22" ca="1">IFERROR(INDEX(Leccion[selectorLeccion],SMALL(IF(DJ$1=Leccion[SubSección],MATCH(ROW(Leccion[SubSección]),ROW(Leccion[SubSección]))),ROW(DI21))),"")</f>
        <v/>
      </c>
      <c r="DK22" s="51" t="str">
        <f t="array" aca="1" ref="DK22" ca="1">IFERROR(INDEX(Leccion[selectorLeccion],SMALL(IF(DK$1=Leccion[SubSección],MATCH(ROW(Leccion[SubSección]),ROW(Leccion[SubSección]))),ROW(DJ21))),"")</f>
        <v/>
      </c>
      <c r="DL22" s="51" t="str">
        <f t="array" aca="1" ref="DL22" ca="1">IFERROR(INDEX(Leccion[selectorLeccion],SMALL(IF(DL$1=Leccion[SubSección],MATCH(ROW(Leccion[SubSección]),ROW(Leccion[SubSección]))),ROW(DK21))),"")</f>
        <v/>
      </c>
      <c r="DM22" s="51" t="str">
        <f t="array" aca="1" ref="DM22" ca="1">IFERROR(INDEX(Leccion[selectorLeccion],SMALL(IF(DM$1=Leccion[SubSección],MATCH(ROW(Leccion[SubSección]),ROW(Leccion[SubSección]))),ROW(DL21))),"")</f>
        <v/>
      </c>
      <c r="DN22" s="51" t="str">
        <f t="array" aca="1" ref="DN22" ca="1">IFERROR(INDEX(Leccion[selectorLeccion],SMALL(IF(DN$1=Leccion[SubSección],MATCH(ROW(Leccion[SubSección]),ROW(Leccion[SubSección]))),ROW(DM21))),"")</f>
        <v/>
      </c>
      <c r="DO22" s="51" t="str">
        <f t="array" aca="1" ref="DO22" ca="1">IFERROR(INDEX(Leccion[selectorLeccion],SMALL(IF(DO$1=Leccion[SubSección],MATCH(ROW(Leccion[SubSección]),ROW(Leccion[SubSección]))),ROW(DN21))),"")</f>
        <v/>
      </c>
      <c r="DP22" s="51" t="str">
        <f t="array" aca="1" ref="DP22" ca="1">IFERROR(INDEX(Leccion[selectorLeccion],SMALL(IF(DP$1=Leccion[SubSección],MATCH(ROW(Leccion[SubSección]),ROW(Leccion[SubSección]))),ROW(DO21))),"")</f>
        <v/>
      </c>
      <c r="DQ22" s="51" t="str">
        <f t="array" aca="1" ref="DQ22" ca="1">IFERROR(INDEX(Leccion[selectorLeccion],SMALL(IF(DQ$1=Leccion[SubSección],MATCH(ROW(Leccion[SubSección]),ROW(Leccion[SubSección]))),ROW(DP21))),"")</f>
        <v/>
      </c>
      <c r="DR22" s="51" t="str">
        <f t="array" aca="1" ref="DR22" ca="1">IFERROR(INDEX(Leccion[selectorLeccion],SMALL(IF(DR$1=Leccion[SubSección],MATCH(ROW(Leccion[SubSección]),ROW(Leccion[SubSección]))),ROW(DQ21))),"")</f>
        <v/>
      </c>
      <c r="DS22" s="51" t="str">
        <f t="array" aca="1" ref="DS22" ca="1">IFERROR(INDEX(Leccion[selectorLeccion],SMALL(IF(DS$1=Leccion[SubSección],MATCH(ROW(Leccion[SubSección]),ROW(Leccion[SubSección]))),ROW(DR21))),"")</f>
        <v/>
      </c>
      <c r="DT22" s="51" t="str">
        <f t="array" aca="1" ref="DT22" ca="1">IFERROR(INDEX(Leccion[selectorLeccion],SMALL(IF(DT$1=Leccion[SubSección],MATCH(ROW(Leccion[SubSección]),ROW(Leccion[SubSección]))),ROW(DS21))),"")</f>
        <v/>
      </c>
      <c r="DU22" s="51" t="str">
        <f t="array" aca="1" ref="DU22" ca="1">IFERROR(INDEX(Leccion[selectorLeccion],SMALL(IF(DU$1=Leccion[SubSección],MATCH(ROW(Leccion[SubSección]),ROW(Leccion[SubSección]))),ROW(DT21))),"")</f>
        <v/>
      </c>
      <c r="DV22" s="51" t="str">
        <f t="array" aca="1" ref="DV22" ca="1">IFERROR(INDEX(Leccion[selectorLeccion],SMALL(IF(DV$1=Leccion[SubSección],MATCH(ROW(Leccion[SubSección]),ROW(Leccion[SubSección]))),ROW(DU21))),"")</f>
        <v/>
      </c>
      <c r="DW22" s="51" t="str">
        <f t="array" aca="1" ref="DW22" ca="1">IFERROR(INDEX(Leccion[selectorLeccion],SMALL(IF(DW$1=Leccion[SubSección],MATCH(ROW(Leccion[SubSección]),ROW(Leccion[SubSección]))),ROW(DV21))),"")</f>
        <v/>
      </c>
      <c r="DX22" s="51" t="str">
        <f t="array" aca="1" ref="DX22" ca="1">IFERROR(INDEX(Leccion[selectorLeccion],SMALL(IF(DX$1=Leccion[SubSección],MATCH(ROW(Leccion[SubSección]),ROW(Leccion[SubSección]))),ROW(DW21))),"")</f>
        <v/>
      </c>
      <c r="DY22" s="51" t="str">
        <f t="array" aca="1" ref="DY22" ca="1">IFERROR(INDEX(Leccion[selectorLeccion],SMALL(IF(DY$1=Leccion[SubSección],MATCH(ROW(Leccion[SubSección]),ROW(Leccion[SubSección]))),ROW(DX21))),"")</f>
        <v/>
      </c>
      <c r="DZ22" s="51" t="str">
        <f t="array" aca="1" ref="DZ22" ca="1">IFERROR(INDEX(Leccion[selectorLeccion],SMALL(IF(DZ$1=Leccion[SubSección],MATCH(ROW(Leccion[SubSección]),ROW(Leccion[SubSección]))),ROW(DY21))),"")</f>
        <v/>
      </c>
      <c r="EA22" s="51" t="str">
        <f t="array" aca="1" ref="EA22" ca="1">IFERROR(INDEX(Leccion[selectorLeccion],SMALL(IF(EA$1=Leccion[SubSección],MATCH(ROW(Leccion[SubSección]),ROW(Leccion[SubSección]))),ROW(DZ21))),"")</f>
        <v/>
      </c>
      <c r="EB22" s="51" t="str">
        <f t="array" aca="1" ref="EB22" ca="1">IFERROR(INDEX(Leccion[selectorLeccion],SMALL(IF(EB$1=Leccion[SubSección],MATCH(ROW(Leccion[SubSección]),ROW(Leccion[SubSección]))),ROW(EA21))),"")</f>
        <v/>
      </c>
      <c r="EC22" s="51" t="str">
        <f t="array" aca="1" ref="EC22" ca="1">IFERROR(INDEX(Leccion[selectorLeccion],SMALL(IF(EC$1=Leccion[SubSección],MATCH(ROW(Leccion[SubSección]),ROW(Leccion[SubSección]))),ROW(EB21))),"")</f>
        <v/>
      </c>
      <c r="ED22" s="51" t="str">
        <f t="array" aca="1" ref="ED22" ca="1">IFERROR(INDEX(Leccion[selectorLeccion],SMALL(IF(ED$1=Leccion[SubSección],MATCH(ROW(Leccion[SubSección]),ROW(Leccion[SubSección]))),ROW(EC21))),"")</f>
        <v/>
      </c>
      <c r="EE22" s="51" t="str">
        <f t="array" aca="1" ref="EE22" ca="1">IFERROR(INDEX(Leccion[selectorLeccion],SMALL(IF(EE$1=Leccion[SubSección],MATCH(ROW(Leccion[SubSección]),ROW(Leccion[SubSección]))),ROW(ED21))),"")</f>
        <v/>
      </c>
      <c r="EF22" s="51" t="str">
        <f t="array" aca="1" ref="EF22" ca="1">IFERROR(INDEX(Leccion[selectorLeccion],SMALL(IF(EF$1=Leccion[SubSección],MATCH(ROW(Leccion[SubSección]),ROW(Leccion[SubSección]))),ROW(EE21))),"")</f>
        <v/>
      </c>
      <c r="EG22" s="51" t="str">
        <f t="array" aca="1" ref="EG22" ca="1">IFERROR(INDEX(Leccion[selectorLeccion],SMALL(IF(EG$1=Leccion[SubSección],MATCH(ROW(Leccion[SubSección]),ROW(Leccion[SubSección]))),ROW(EF21))),"")</f>
        <v/>
      </c>
      <c r="EH22" s="51" t="str">
        <f t="array" aca="1" ref="EH22" ca="1">IFERROR(INDEX(Leccion[selectorLeccion],SMALL(IF(EH$1=Leccion[SubSección],MATCH(ROW(Leccion[SubSección]),ROW(Leccion[SubSección]))),ROW(EG21))),"")</f>
        <v/>
      </c>
      <c r="EI22" s="51" t="str">
        <f t="array" aca="1" ref="EI22" ca="1">IFERROR(INDEX(Leccion[selectorLeccion],SMALL(IF(EI$1=Leccion[SubSección],MATCH(ROW(Leccion[SubSección]),ROW(Leccion[SubSección]))),ROW(EH21))),"")</f>
        <v/>
      </c>
      <c r="EJ22" s="51" t="str">
        <f t="array" aca="1" ref="EJ22" ca="1">IFERROR(INDEX(Leccion[selectorLeccion],SMALL(IF(EJ$1=Leccion[SubSección],MATCH(ROW(Leccion[SubSección]),ROW(Leccion[SubSección]))),ROW(EI21))),"")</f>
        <v/>
      </c>
      <c r="EK22" s="51" t="str">
        <f t="array" aca="1" ref="EK22" ca="1">IFERROR(INDEX(Leccion[selectorLeccion],SMALL(IF(EK$1=Leccion[SubSección],MATCH(ROW(Leccion[SubSección]),ROW(Leccion[SubSección]))),ROW(EJ21))),"")</f>
        <v/>
      </c>
      <c r="EL22" s="51" t="str">
        <f t="array" aca="1" ref="EL22" ca="1">IFERROR(INDEX(Leccion[selectorLeccion],SMALL(IF(EL$1=Leccion[SubSección],MATCH(ROW(Leccion[SubSección]),ROW(Leccion[SubSección]))),ROW(EK21))),"")</f>
        <v/>
      </c>
      <c r="EM22" s="51" t="str">
        <f t="array" aca="1" ref="EM22" ca="1">IFERROR(INDEX(Leccion[selectorLeccion],SMALL(IF(EM$1=Leccion[SubSección],MATCH(ROW(Leccion[SubSección]),ROW(Leccion[SubSección]))),ROW(EL21))),"")</f>
        <v/>
      </c>
      <c r="EN22" s="51" t="str">
        <f t="array" aca="1" ref="EN22" ca="1">IFERROR(INDEX(Leccion[selectorLeccion],SMALL(IF(EN$1=Leccion[SubSección],MATCH(ROW(Leccion[SubSección]),ROW(Leccion[SubSección]))),ROW(EM21))),"")</f>
        <v/>
      </c>
      <c r="EO22" s="51" t="str">
        <f t="array" aca="1" ref="EO22" ca="1">IFERROR(INDEX(Leccion[selectorLeccion],SMALL(IF(EO$1=Leccion[SubSección],MATCH(ROW(Leccion[SubSección]),ROW(Leccion[SubSección]))),ROW(EN21))),"")</f>
        <v/>
      </c>
      <c r="EP22" s="51" t="str">
        <f t="array" aca="1" ref="EP22" ca="1">IFERROR(INDEX(Leccion[selectorLeccion],SMALL(IF(EP$1=Leccion[SubSección],MATCH(ROW(Leccion[SubSección]),ROW(Leccion[SubSección]))),ROW(EO21))),"")</f>
        <v/>
      </c>
      <c r="EQ22" s="51" t="str">
        <f t="array" aca="1" ref="EQ22" ca="1">IFERROR(INDEX(Leccion[selectorLeccion],SMALL(IF(EQ$1=Leccion[SubSección],MATCH(ROW(Leccion[SubSección]),ROW(Leccion[SubSección]))),ROW(EP21))),"")</f>
        <v/>
      </c>
      <c r="ER22" s="51" t="str">
        <f t="array" aca="1" ref="ER22" ca="1">IFERROR(INDEX(Leccion[selectorLeccion],SMALL(IF(ER$1=Leccion[SubSección],MATCH(ROW(Leccion[SubSección]),ROW(Leccion[SubSección]))),ROW(EQ21))),"")</f>
        <v/>
      </c>
      <c r="ES22" s="51" t="str">
        <f t="array" aca="1" ref="ES22" ca="1">IFERROR(INDEX(Leccion[selectorLeccion],SMALL(IF(ES$1=Leccion[SubSección],MATCH(ROW(Leccion[SubSección]),ROW(Leccion[SubSección]))),ROW(ER21))),"")</f>
        <v/>
      </c>
      <c r="ET22" s="51" t="str">
        <f t="array" aca="1" ref="ET22" ca="1">IFERROR(INDEX(Leccion[selectorLeccion],SMALL(IF(ET$1=Leccion[SubSección],MATCH(ROW(Leccion[SubSección]),ROW(Leccion[SubSección]))),ROW(ES21))),"")</f>
        <v/>
      </c>
      <c r="EU22" s="51" t="str">
        <f t="array" aca="1" ref="EU22" ca="1">IFERROR(INDEX(Leccion[selectorLeccion],SMALL(IF(EU$1=Leccion[SubSección],MATCH(ROW(Leccion[SubSección]),ROW(Leccion[SubSección]))),ROW(ET21))),"")</f>
        <v/>
      </c>
      <c r="EV22" s="51" t="str">
        <f t="array" aca="1" ref="EV22" ca="1">IFERROR(INDEX(Leccion[selectorLeccion],SMALL(IF(EV$1=Leccion[SubSección],MATCH(ROW(Leccion[SubSección]),ROW(Leccion[SubSección]))),ROW(EU21))),"")</f>
        <v/>
      </c>
      <c r="EW22" s="51" t="str">
        <f t="array" aca="1" ref="EW22" ca="1">IFERROR(INDEX(Leccion[selectorLeccion],SMALL(IF(EW$1=Leccion[SubSección],MATCH(ROW(Leccion[SubSección]),ROW(Leccion[SubSección]))),ROW(EV21))),"")</f>
        <v/>
      </c>
      <c r="EX22" s="51" t="str">
        <f t="array" aca="1" ref="EX22" ca="1">IFERROR(INDEX(Leccion[selectorLeccion],SMALL(IF(EX$1=Leccion[SubSección],MATCH(ROW(Leccion[SubSección]),ROW(Leccion[SubSección]))),ROW(EW21))),"")</f>
        <v/>
      </c>
      <c r="EY22" s="51" t="str">
        <f t="array" aca="1" ref="EY22" ca="1">IFERROR(INDEX(Leccion[selectorLeccion],SMALL(IF(EY$1=Leccion[SubSección],MATCH(ROW(Leccion[SubSección]),ROW(Leccion[SubSección]))),ROW(EX21))),"")</f>
        <v/>
      </c>
      <c r="EZ22" s="51" t="str">
        <f t="array" aca="1" ref="EZ22" ca="1">IFERROR(INDEX(Leccion[selectorLeccion],SMALL(IF(EZ$1=Leccion[SubSección],MATCH(ROW(Leccion[SubSección]),ROW(Leccion[SubSección]))),ROW(EY21))),"")</f>
        <v/>
      </c>
    </row>
    <row r="23" spans="2:156" x14ac:dyDescent="0.3">
      <c r="B23" s="51" t="str">
        <f t="array" aca="1" ref="B23" ca="1">IFERROR(INDEX(Leccion[selectorLeccion],SMALL(IF(B$1=Leccion[SubSección],MATCH(ROW(Leccion[SubSección]),ROW(Leccion[SubSección]))),ROW(A22))),"")</f>
        <v/>
      </c>
      <c r="C23" s="51" t="str">
        <f t="array" aca="1" ref="C23" ca="1">IFERROR(INDEX(Leccion[selectorLeccion],SMALL(IF(C$1=Leccion[SubSección],MATCH(ROW(Leccion[SubSección]),ROW(Leccion[SubSección]))),ROW(B22))),"")</f>
        <v/>
      </c>
      <c r="D23" s="51" t="str">
        <f t="array" aca="1" ref="D23" ca="1">IFERROR(INDEX(Leccion[selectorLeccion],SMALL(IF(D$1=Leccion[SubSección],MATCH(ROW(Leccion[SubSección]),ROW(Leccion[SubSección]))),ROW(C22))),"")</f>
        <v/>
      </c>
      <c r="E23" s="51" t="str">
        <f t="array" aca="1" ref="E23" ca="1">IFERROR(INDEX(Leccion[selectorLeccion],SMALL(IF(E$1=Leccion[SubSección],MATCH(ROW(Leccion[SubSección]),ROW(Leccion[SubSección]))),ROW(D22))),"")</f>
        <v/>
      </c>
      <c r="F23" s="51" t="str">
        <f t="array" aca="1" ref="F23" ca="1">IFERROR(INDEX(Leccion[selectorLeccion],SMALL(IF(F$1=Leccion[SubSección],MATCH(ROW(Leccion[SubSección]),ROW(Leccion[SubSección]))),ROW(E22))),"")</f>
        <v/>
      </c>
      <c r="G23" s="51" t="str">
        <f t="array" aca="1" ref="G23" ca="1">IFERROR(INDEX(Leccion[selectorLeccion],SMALL(IF(G$1=Leccion[SubSección],MATCH(ROW(Leccion[SubSección]),ROW(Leccion[SubSección]))),ROW(F22))),"")</f>
        <v/>
      </c>
      <c r="H23" s="51" t="str">
        <f t="array" aca="1" ref="H23" ca="1">IFERROR(INDEX(Leccion[selectorLeccion],SMALL(IF(H$1=Leccion[SubSección],MATCH(ROW(Leccion[SubSección]),ROW(Leccion[SubSección]))),ROW(G22))),"")</f>
        <v/>
      </c>
      <c r="I23" s="51" t="str">
        <f t="array" aca="1" ref="I23" ca="1">IFERROR(INDEX(Leccion[selectorLeccion],SMALL(IF(I$1=Leccion[SubSección],MATCH(ROW(Leccion[SubSección]),ROW(Leccion[SubSección]))),ROW(H22))),"")</f>
        <v/>
      </c>
      <c r="J23" s="51" t="str">
        <f t="array" aca="1" ref="J23" ca="1">IFERROR(INDEX(Leccion[selectorLeccion],SMALL(IF(J$1=Leccion[SubSección],MATCH(ROW(Leccion[SubSección]),ROW(Leccion[SubSección]))),ROW(I22))),"")</f>
        <v/>
      </c>
      <c r="K23" s="51" t="str">
        <f t="array" aca="1" ref="K23" ca="1">IFERROR(INDEX(Leccion[selectorLeccion],SMALL(IF(K$1=Leccion[SubSección],MATCH(ROW(Leccion[SubSección]),ROW(Leccion[SubSección]))),ROW(J22))),"")</f>
        <v/>
      </c>
      <c r="L23" s="51" t="str">
        <f t="array" aca="1" ref="L23" ca="1">IFERROR(INDEX(Leccion[selectorLeccion],SMALL(IF(L$1=Leccion[SubSección],MATCH(ROW(Leccion[SubSección]),ROW(Leccion[SubSección]))),ROW(K22))),"")</f>
        <v/>
      </c>
      <c r="M23" s="51" t="str">
        <f t="array" aca="1" ref="M23" ca="1">IFERROR(INDEX(Leccion[selectorLeccion],SMALL(IF(M$1=Leccion[SubSección],MATCH(ROW(Leccion[SubSección]),ROW(Leccion[SubSección]))),ROW(L22))),"")</f>
        <v/>
      </c>
      <c r="N23" s="51" t="str">
        <f t="array" aca="1" ref="N23" ca="1">IFERROR(INDEX(Leccion[selectorLeccion],SMALL(IF(N$1=Leccion[SubSección],MATCH(ROW(Leccion[SubSección]),ROW(Leccion[SubSección]))),ROW(M22))),"")</f>
        <v/>
      </c>
      <c r="O23" s="51" t="str">
        <f t="array" aca="1" ref="O23" ca="1">IFERROR(INDEX(Leccion[selectorLeccion],SMALL(IF(O$1=Leccion[SubSección],MATCH(ROW(Leccion[SubSección]),ROW(Leccion[SubSección]))),ROW(N22))),"")</f>
        <v/>
      </c>
      <c r="P23" s="51" t="str">
        <f t="array" aca="1" ref="P23" ca="1">IFERROR(INDEX(Leccion[selectorLeccion],SMALL(IF(P$1=Leccion[SubSección],MATCH(ROW(Leccion[SubSección]),ROW(Leccion[SubSección]))),ROW(O22))),"")</f>
        <v/>
      </c>
      <c r="Q23" s="51" t="str">
        <f t="array" aca="1" ref="Q23" ca="1">IFERROR(INDEX(Leccion[selectorLeccion],SMALL(IF(Q$1=Leccion[SubSección],MATCH(ROW(Leccion[SubSección]),ROW(Leccion[SubSección]))),ROW(P22))),"")</f>
        <v/>
      </c>
      <c r="R23" s="51" t="str">
        <f t="array" aca="1" ref="R23" ca="1">IFERROR(INDEX(Leccion[selectorLeccion],SMALL(IF(R$1=Leccion[SubSección],MATCH(ROW(Leccion[SubSección]),ROW(Leccion[SubSección]))),ROW(Q22))),"")</f>
        <v/>
      </c>
      <c r="S23" s="51" t="str">
        <f t="array" aca="1" ref="S23" ca="1">IFERROR(INDEX(Leccion[selectorLeccion],SMALL(IF(S$1=Leccion[SubSección],MATCH(ROW(Leccion[SubSección]),ROW(Leccion[SubSección]))),ROW(R22))),"")</f>
        <v/>
      </c>
      <c r="T23" s="51" t="str">
        <f t="array" aca="1" ref="T23" ca="1">IFERROR(INDEX(Leccion[selectorLeccion],SMALL(IF(T$1=Leccion[SubSección],MATCH(ROW(Leccion[SubSección]),ROW(Leccion[SubSección]))),ROW(S22))),"")</f>
        <v/>
      </c>
      <c r="U23" s="51" t="str">
        <f t="array" aca="1" ref="U23" ca="1">IFERROR(INDEX(Leccion[selectorLeccion],SMALL(IF(U$1=Leccion[SubSección],MATCH(ROW(Leccion[SubSección]),ROW(Leccion[SubSección]))),ROW(T22))),"")</f>
        <v/>
      </c>
      <c r="V23" s="51" t="str">
        <f t="array" aca="1" ref="V23" ca="1">IFERROR(INDEX(Leccion[selectorLeccion],SMALL(IF(V$1=Leccion[SubSección],MATCH(ROW(Leccion[SubSección]),ROW(Leccion[SubSección]))),ROW(U22))),"")</f>
        <v/>
      </c>
      <c r="W23" s="51" t="str">
        <f t="array" aca="1" ref="W23" ca="1">IFERROR(INDEX(Leccion[selectorLeccion],SMALL(IF(W$1=Leccion[SubSección],MATCH(ROW(Leccion[SubSección]),ROW(Leccion[SubSección]))),ROW(V22))),"")</f>
        <v/>
      </c>
      <c r="X23" s="51" t="str">
        <f t="array" aca="1" ref="X23" ca="1">IFERROR(INDEX(Leccion[selectorLeccion],SMALL(IF(X$1=Leccion[SubSección],MATCH(ROW(Leccion[SubSección]),ROW(Leccion[SubSección]))),ROW(W22))),"")</f>
        <v/>
      </c>
      <c r="Y23" s="51" t="str">
        <f t="array" aca="1" ref="Y23" ca="1">IFERROR(INDEX(Leccion[selectorLeccion],SMALL(IF(Y$1=Leccion[SubSección],MATCH(ROW(Leccion[SubSección]),ROW(Leccion[SubSección]))),ROW(X22))),"")</f>
        <v/>
      </c>
      <c r="Z23" s="51" t="str">
        <f t="array" aca="1" ref="Z23" ca="1">IFERROR(INDEX(Leccion[selectorLeccion],SMALL(IF(Z$1=Leccion[SubSección],MATCH(ROW(Leccion[SubSección]),ROW(Leccion[SubSección]))),ROW(Y22))),"")</f>
        <v/>
      </c>
      <c r="AA23" s="51" t="str">
        <f t="array" aca="1" ref="AA23" ca="1">IFERROR(INDEX(Leccion[selectorLeccion],SMALL(IF(AA$1=Leccion[SubSección],MATCH(ROW(Leccion[SubSección]),ROW(Leccion[SubSección]))),ROW(Z22))),"")</f>
        <v/>
      </c>
      <c r="AB23" s="51" t="str">
        <f t="array" aca="1" ref="AB23" ca="1">IFERROR(INDEX(Leccion[selectorLeccion],SMALL(IF(AB$1=Leccion[SubSección],MATCH(ROW(Leccion[SubSección]),ROW(Leccion[SubSección]))),ROW(AA22))),"")</f>
        <v/>
      </c>
      <c r="AC23" s="51" t="str">
        <f t="array" aca="1" ref="AC23" ca="1">IFERROR(INDEX(Leccion[selectorLeccion],SMALL(IF(AC$1=Leccion[SubSección],MATCH(ROW(Leccion[SubSección]),ROW(Leccion[SubSección]))),ROW(AB22))),"")</f>
        <v/>
      </c>
      <c r="AD23" s="51" t="str">
        <f t="array" aca="1" ref="AD23" ca="1">IFERROR(INDEX(Leccion[selectorLeccion],SMALL(IF(AD$1=Leccion[SubSección],MATCH(ROW(Leccion[SubSección]),ROW(Leccion[SubSección]))),ROW(AC22))),"")</f>
        <v/>
      </c>
      <c r="AE23" s="51" t="str">
        <f t="array" aca="1" ref="AE23" ca="1">IFERROR(INDEX(Leccion[selectorLeccion],SMALL(IF(AE$1=Leccion[SubSección],MATCH(ROW(Leccion[SubSección]),ROW(Leccion[SubSección]))),ROW(AD22))),"")</f>
        <v/>
      </c>
      <c r="AF23" s="51" t="str">
        <f t="array" aca="1" ref="AF23" ca="1">IFERROR(INDEX(Leccion[selectorLeccion],SMALL(IF(AF$1=Leccion[SubSección],MATCH(ROW(Leccion[SubSección]),ROW(Leccion[SubSección]))),ROW(AE22))),"")</f>
        <v/>
      </c>
      <c r="AG23" s="51" t="str">
        <f t="array" aca="1" ref="AG23" ca="1">IFERROR(INDEX(Leccion[selectorLeccion],SMALL(IF(AG$1=Leccion[SubSección],MATCH(ROW(Leccion[SubSección]),ROW(Leccion[SubSección]))),ROW(AF22))),"")</f>
        <v/>
      </c>
      <c r="AH23" s="51" t="str">
        <f t="array" aca="1" ref="AH23" ca="1">IFERROR(INDEX(Leccion[selectorLeccion],SMALL(IF(AH$1=Leccion[SubSección],MATCH(ROW(Leccion[SubSección]),ROW(Leccion[SubSección]))),ROW(AG22))),"")</f>
        <v/>
      </c>
      <c r="AI23" s="51" t="str">
        <f t="array" aca="1" ref="AI23" ca="1">IFERROR(INDEX(Leccion[selectorLeccion],SMALL(IF(AI$1=Leccion[SubSección],MATCH(ROW(Leccion[SubSección]),ROW(Leccion[SubSección]))),ROW(AH22))),"")</f>
        <v/>
      </c>
      <c r="AJ23" s="51" t="str">
        <f t="array" aca="1" ref="AJ23" ca="1">IFERROR(INDEX(Leccion[selectorLeccion],SMALL(IF(AJ$1=Leccion[SubSección],MATCH(ROW(Leccion[SubSección]),ROW(Leccion[SubSección]))),ROW(AI22))),"")</f>
        <v/>
      </c>
      <c r="AK23" s="51" t="str">
        <f t="array" aca="1" ref="AK23" ca="1">IFERROR(INDEX(Leccion[selectorLeccion],SMALL(IF(AK$1=Leccion[SubSección],MATCH(ROW(Leccion[SubSección]),ROW(Leccion[SubSección]))),ROW(AJ22))),"")</f>
        <v/>
      </c>
      <c r="AL23" s="51" t="str">
        <f t="array" aca="1" ref="AL23" ca="1">IFERROR(INDEX(Leccion[selectorLeccion],SMALL(IF(AL$1=Leccion[SubSección],MATCH(ROW(Leccion[SubSección]),ROW(Leccion[SubSección]))),ROW(AK22))),"")</f>
        <v/>
      </c>
      <c r="AM23" s="51" t="str">
        <f t="array" aca="1" ref="AM23" ca="1">IFERROR(INDEX(Leccion[selectorLeccion],SMALL(IF(AM$1=Leccion[SubSección],MATCH(ROW(Leccion[SubSección]),ROW(Leccion[SubSección]))),ROW(AL22))),"")</f>
        <v/>
      </c>
      <c r="AN23" s="51" t="str">
        <f t="array" aca="1" ref="AN23" ca="1">IFERROR(INDEX(Leccion[selectorLeccion],SMALL(IF(AN$1=Leccion[SubSección],MATCH(ROW(Leccion[SubSección]),ROW(Leccion[SubSección]))),ROW(AM22))),"")</f>
        <v/>
      </c>
      <c r="AO23" s="51" t="str">
        <f t="array" aca="1" ref="AO23" ca="1">IFERROR(INDEX(Leccion[selectorLeccion],SMALL(IF(AO$1=Leccion[SubSección],MATCH(ROW(Leccion[SubSección]),ROW(Leccion[SubSección]))),ROW(AN22))),"")</f>
        <v/>
      </c>
      <c r="AP23" s="51" t="str">
        <f t="array" aca="1" ref="AP23" ca="1">IFERROR(INDEX(Leccion[selectorLeccion],SMALL(IF(AP$1=Leccion[SubSección],MATCH(ROW(Leccion[SubSección]),ROW(Leccion[SubSección]))),ROW(AO22))),"")</f>
        <v/>
      </c>
      <c r="AQ23" s="51" t="str">
        <f t="array" aca="1" ref="AQ23" ca="1">IFERROR(INDEX(Leccion[selectorLeccion],SMALL(IF(AQ$1=Leccion[SubSección],MATCH(ROW(Leccion[SubSección]),ROW(Leccion[SubSección]))),ROW(AP22))),"")</f>
        <v/>
      </c>
      <c r="AR23" s="51" t="str">
        <f t="array" aca="1" ref="AR23" ca="1">IFERROR(INDEX(Leccion[selectorLeccion],SMALL(IF(AR$1=Leccion[SubSección],MATCH(ROW(Leccion[SubSección]),ROW(Leccion[SubSección]))),ROW(AQ22))),"")</f>
        <v/>
      </c>
      <c r="AS23" s="51" t="str">
        <f t="array" aca="1" ref="AS23" ca="1">IFERROR(INDEX(Leccion[selectorLeccion],SMALL(IF(AS$1=Leccion[SubSección],MATCH(ROW(Leccion[SubSección]),ROW(Leccion[SubSección]))),ROW(AR22))),"")</f>
        <v/>
      </c>
      <c r="AT23" s="51" t="str">
        <f t="array" aca="1" ref="AT23" ca="1">IFERROR(INDEX(Leccion[selectorLeccion],SMALL(IF(AT$1=Leccion[SubSección],MATCH(ROW(Leccion[SubSección]),ROW(Leccion[SubSección]))),ROW(AS22))),"")</f>
        <v/>
      </c>
      <c r="AU23" s="51" t="str">
        <f t="array" aca="1" ref="AU23" ca="1">IFERROR(INDEX(Leccion[selectorLeccion],SMALL(IF(AU$1=Leccion[SubSección],MATCH(ROW(Leccion[SubSección]),ROW(Leccion[SubSección]))),ROW(AT22))),"")</f>
        <v/>
      </c>
      <c r="AV23" s="51" t="str">
        <f t="array" aca="1" ref="AV23" ca="1">IFERROR(INDEX(Leccion[selectorLeccion],SMALL(IF(AV$1=Leccion[SubSección],MATCH(ROW(Leccion[SubSección]),ROW(Leccion[SubSección]))),ROW(AU22))),"")</f>
        <v/>
      </c>
      <c r="AW23" s="51" t="str">
        <f t="array" aca="1" ref="AW23" ca="1">IFERROR(INDEX(Leccion[selectorLeccion],SMALL(IF(AW$1=Leccion[SubSección],MATCH(ROW(Leccion[SubSección]),ROW(Leccion[SubSección]))),ROW(AV22))),"")</f>
        <v/>
      </c>
      <c r="AX23" s="51" t="str">
        <f t="array" aca="1" ref="AX23" ca="1">IFERROR(INDEX(Leccion[selectorLeccion],SMALL(IF(AX$1=Leccion[SubSección],MATCH(ROW(Leccion[SubSección]),ROW(Leccion[SubSección]))),ROW(AW22))),"")</f>
        <v/>
      </c>
      <c r="AY23" s="51" t="str">
        <f t="array" aca="1" ref="AY23" ca="1">IFERROR(INDEX(Leccion[selectorLeccion],SMALL(IF(AY$1=Leccion[SubSección],MATCH(ROW(Leccion[SubSección]),ROW(Leccion[SubSección]))),ROW(AX22))),"")</f>
        <v/>
      </c>
      <c r="AZ23" s="51" t="str">
        <f t="array" aca="1" ref="AZ23" ca="1">IFERROR(INDEX(Leccion[selectorLeccion],SMALL(IF(AZ$1=Leccion[SubSección],MATCH(ROW(Leccion[SubSección]),ROW(Leccion[SubSección]))),ROW(AY22))),"")</f>
        <v/>
      </c>
      <c r="BA23" s="51" t="str">
        <f t="array" aca="1" ref="BA23" ca="1">IFERROR(INDEX(Leccion[selectorLeccion],SMALL(IF(BA$1=Leccion[SubSección],MATCH(ROW(Leccion[SubSección]),ROW(Leccion[SubSección]))),ROW(AZ22))),"")</f>
        <v/>
      </c>
      <c r="BB23" s="51" t="str">
        <f t="array" aca="1" ref="BB23" ca="1">IFERROR(INDEX(Leccion[selectorLeccion],SMALL(IF(BB$1=Leccion[SubSección],MATCH(ROW(Leccion[SubSección]),ROW(Leccion[SubSección]))),ROW(BA22))),"")</f>
        <v/>
      </c>
      <c r="BC23" s="51" t="str">
        <f t="array" aca="1" ref="BC23" ca="1">IFERROR(INDEX(Leccion[selectorLeccion],SMALL(IF(BC$1=Leccion[SubSección],MATCH(ROW(Leccion[SubSección]),ROW(Leccion[SubSección]))),ROW(BB22))),"")</f>
        <v/>
      </c>
      <c r="BD23" s="51" t="str">
        <f t="array" aca="1" ref="BD23" ca="1">IFERROR(INDEX(Leccion[selectorLeccion],SMALL(IF(BD$1=Leccion[SubSección],MATCH(ROW(Leccion[SubSección]),ROW(Leccion[SubSección]))),ROW(BC22))),"")</f>
        <v/>
      </c>
      <c r="BE23" s="51" t="str">
        <f t="array" aca="1" ref="BE23" ca="1">IFERROR(INDEX(Leccion[selectorLeccion],SMALL(IF(BE$1=Leccion[SubSección],MATCH(ROW(Leccion[SubSección]),ROW(Leccion[SubSección]))),ROW(BD22))),"")</f>
        <v/>
      </c>
      <c r="BF23" s="51" t="str">
        <f t="array" aca="1" ref="BF23" ca="1">IFERROR(INDEX(Leccion[selectorLeccion],SMALL(IF(BF$1=Leccion[SubSección],MATCH(ROW(Leccion[SubSección]),ROW(Leccion[SubSección]))),ROW(BE22))),"")</f>
        <v/>
      </c>
      <c r="BG23" s="51" t="str">
        <f t="array" aca="1" ref="BG23" ca="1">IFERROR(INDEX(Leccion[selectorLeccion],SMALL(IF(BG$1=Leccion[SubSección],MATCH(ROW(Leccion[SubSección]),ROW(Leccion[SubSección]))),ROW(BF22))),"")</f>
        <v/>
      </c>
      <c r="BH23" s="51" t="str">
        <f t="array" aca="1" ref="BH23" ca="1">IFERROR(INDEX(Leccion[selectorLeccion],SMALL(IF(BH$1=Leccion[SubSección],MATCH(ROW(Leccion[SubSección]),ROW(Leccion[SubSección]))),ROW(BG22))),"")</f>
        <v/>
      </c>
      <c r="BI23" s="51" t="str">
        <f t="array" aca="1" ref="BI23" ca="1">IFERROR(INDEX(Leccion[selectorLeccion],SMALL(IF(BI$1=Leccion[SubSección],MATCH(ROW(Leccion[SubSección]),ROW(Leccion[SubSección]))),ROW(BH22))),"")</f>
        <v/>
      </c>
      <c r="BJ23" s="51" t="str">
        <f t="array" aca="1" ref="BJ23" ca="1">IFERROR(INDEX(Leccion[selectorLeccion],SMALL(IF(BJ$1=Leccion[SubSección],MATCH(ROW(Leccion[SubSección]),ROW(Leccion[SubSección]))),ROW(BI22))),"")</f>
        <v/>
      </c>
      <c r="BK23" s="51" t="str">
        <f t="array" aca="1" ref="BK23" ca="1">IFERROR(INDEX(Leccion[selectorLeccion],SMALL(IF(BK$1=Leccion[SubSección],MATCH(ROW(Leccion[SubSección]),ROW(Leccion[SubSección]))),ROW(BJ22))),"")</f>
        <v/>
      </c>
      <c r="BL23" s="51" t="str">
        <f t="array" aca="1" ref="BL23" ca="1">IFERROR(INDEX(Leccion[selectorLeccion],SMALL(IF(BL$1=Leccion[SubSección],MATCH(ROW(Leccion[SubSección]),ROW(Leccion[SubSección]))),ROW(BK22))),"")</f>
        <v/>
      </c>
      <c r="BM23" s="51" t="str">
        <f t="array" aca="1" ref="BM23" ca="1">IFERROR(INDEX(Leccion[selectorLeccion],SMALL(IF(BM$1=Leccion[SubSección],MATCH(ROW(Leccion[SubSección]),ROW(Leccion[SubSección]))),ROW(BL22))),"")</f>
        <v/>
      </c>
      <c r="BN23" s="51" t="str">
        <f t="array" aca="1" ref="BN23" ca="1">IFERROR(INDEX(Leccion[selectorLeccion],SMALL(IF(BN$1=Leccion[SubSección],MATCH(ROW(Leccion[SubSección]),ROW(Leccion[SubSección]))),ROW(BM22))),"")</f>
        <v/>
      </c>
      <c r="BO23" s="51" t="str">
        <f t="array" aca="1" ref="BO23" ca="1">IFERROR(INDEX(Leccion[selectorLeccion],SMALL(IF(BO$1=Leccion[SubSección],MATCH(ROW(Leccion[SubSección]),ROW(Leccion[SubSección]))),ROW(BN22))),"")</f>
        <v/>
      </c>
      <c r="BP23" s="51" t="str">
        <f t="array" aca="1" ref="BP23" ca="1">IFERROR(INDEX(Leccion[selectorLeccion],SMALL(IF(BP$1=Leccion[SubSección],MATCH(ROW(Leccion[SubSección]),ROW(Leccion[SubSección]))),ROW(BO22))),"")</f>
        <v/>
      </c>
      <c r="BQ23" s="51" t="str">
        <f t="array" aca="1" ref="BQ23" ca="1">IFERROR(INDEX(Leccion[selectorLeccion],SMALL(IF(BQ$1=Leccion[SubSección],MATCH(ROW(Leccion[SubSección]),ROW(Leccion[SubSección]))),ROW(BP22))),"")</f>
        <v/>
      </c>
      <c r="BR23" s="51" t="str">
        <f t="array" aca="1" ref="BR23" ca="1">IFERROR(INDEX(Leccion[selectorLeccion],SMALL(IF(BR$1=Leccion[SubSección],MATCH(ROW(Leccion[SubSección]),ROW(Leccion[SubSección]))),ROW(BQ22))),"")</f>
        <v/>
      </c>
      <c r="BS23" s="51" t="str">
        <f t="array" aca="1" ref="BS23" ca="1">IFERROR(INDEX(Leccion[selectorLeccion],SMALL(IF(BS$1=Leccion[SubSección],MATCH(ROW(Leccion[SubSección]),ROW(Leccion[SubSección]))),ROW(BR22))),"")</f>
        <v/>
      </c>
      <c r="BT23" s="51" t="str">
        <f t="array" aca="1" ref="BT23" ca="1">IFERROR(INDEX(Leccion[selectorLeccion],SMALL(IF(BT$1=Leccion[SubSección],MATCH(ROW(Leccion[SubSección]),ROW(Leccion[SubSección]))),ROW(BS22))),"")</f>
        <v/>
      </c>
      <c r="BU23" s="51" t="str">
        <f t="array" aca="1" ref="BU23" ca="1">IFERROR(INDEX(Leccion[selectorLeccion],SMALL(IF(BU$1=Leccion[SubSección],MATCH(ROW(Leccion[SubSección]),ROW(Leccion[SubSección]))),ROW(BT22))),"")</f>
        <v/>
      </c>
      <c r="BV23" s="51" t="str">
        <f t="array" aca="1" ref="BV23" ca="1">IFERROR(INDEX(Leccion[selectorLeccion],SMALL(IF(BV$1=Leccion[SubSección],MATCH(ROW(Leccion[SubSección]),ROW(Leccion[SubSección]))),ROW(BU22))),"")</f>
        <v/>
      </c>
      <c r="BW23" s="51" t="str">
        <f t="array" aca="1" ref="BW23" ca="1">IFERROR(INDEX(Leccion[selectorLeccion],SMALL(IF(BW$1=Leccion[SubSección],MATCH(ROW(Leccion[SubSección]),ROW(Leccion[SubSección]))),ROW(BV22))),"")</f>
        <v/>
      </c>
      <c r="BX23" s="51" t="str">
        <f t="array" aca="1" ref="BX23" ca="1">IFERROR(INDEX(Leccion[selectorLeccion],SMALL(IF(BX$1=Leccion[SubSección],MATCH(ROW(Leccion[SubSección]),ROW(Leccion[SubSección]))),ROW(BW22))),"")</f>
        <v/>
      </c>
      <c r="BY23" s="51" t="str">
        <f t="array" aca="1" ref="BY23" ca="1">IFERROR(INDEX(Leccion[selectorLeccion],SMALL(IF(BY$1=Leccion[SubSección],MATCH(ROW(Leccion[SubSección]),ROW(Leccion[SubSección]))),ROW(BX22))),"")</f>
        <v/>
      </c>
      <c r="BZ23" s="51" t="str">
        <f t="array" aca="1" ref="BZ23" ca="1">IFERROR(INDEX(Leccion[selectorLeccion],SMALL(IF(BZ$1=Leccion[SubSección],MATCH(ROW(Leccion[SubSección]),ROW(Leccion[SubSección]))),ROW(BY22))),"")</f>
        <v/>
      </c>
      <c r="CA23" s="51" t="str">
        <f t="array" aca="1" ref="CA23" ca="1">IFERROR(INDEX(Leccion[selectorLeccion],SMALL(IF(CA$1=Leccion[SubSección],MATCH(ROW(Leccion[SubSección]),ROW(Leccion[SubSección]))),ROW(BZ22))),"")</f>
        <v/>
      </c>
      <c r="CB23" s="51" t="str">
        <f t="array" aca="1" ref="CB23" ca="1">IFERROR(INDEX(Leccion[selectorLeccion],SMALL(IF(CB$1=Leccion[SubSección],MATCH(ROW(Leccion[SubSección]),ROW(Leccion[SubSección]))),ROW(CA22))),"")</f>
        <v/>
      </c>
      <c r="CC23" s="51" t="str">
        <f t="array" aca="1" ref="CC23" ca="1">IFERROR(INDEX(Leccion[selectorLeccion],SMALL(IF(CC$1=Leccion[SubSección],MATCH(ROW(Leccion[SubSección]),ROW(Leccion[SubSección]))),ROW(CB22))),"")</f>
        <v/>
      </c>
      <c r="CD23" s="51" t="str">
        <f t="array" aca="1" ref="CD23" ca="1">IFERROR(INDEX(Leccion[selectorLeccion],SMALL(IF(CD$1=Leccion[SubSección],MATCH(ROW(Leccion[SubSección]),ROW(Leccion[SubSección]))),ROW(CC22))),"")</f>
        <v/>
      </c>
      <c r="CE23" s="51" t="str">
        <f t="array" aca="1" ref="CE23" ca="1">IFERROR(INDEX(Leccion[selectorLeccion],SMALL(IF(CE$1=Leccion[SubSección],MATCH(ROW(Leccion[SubSección]),ROW(Leccion[SubSección]))),ROW(CD22))),"")</f>
        <v/>
      </c>
      <c r="CF23" s="51" t="str">
        <f t="array" aca="1" ref="CF23" ca="1">IFERROR(INDEX(Leccion[selectorLeccion],SMALL(IF(CF$1=Leccion[SubSección],MATCH(ROW(Leccion[SubSección]),ROW(Leccion[SubSección]))),ROW(CE22))),"")</f>
        <v/>
      </c>
      <c r="CG23" s="51" t="str">
        <f t="array" aca="1" ref="CG23" ca="1">IFERROR(INDEX(Leccion[selectorLeccion],SMALL(IF(CG$1=Leccion[SubSección],MATCH(ROW(Leccion[SubSección]),ROW(Leccion[SubSección]))),ROW(CF22))),"")</f>
        <v/>
      </c>
      <c r="CH23" s="51" t="str">
        <f t="array" aca="1" ref="CH23" ca="1">IFERROR(INDEX(Leccion[selectorLeccion],SMALL(IF(CH$1=Leccion[SubSección],MATCH(ROW(Leccion[SubSección]),ROW(Leccion[SubSección]))),ROW(CG22))),"")</f>
        <v/>
      </c>
      <c r="CI23" s="51" t="str">
        <f t="array" aca="1" ref="CI23" ca="1">IFERROR(INDEX(Leccion[selectorLeccion],SMALL(IF(CI$1=Leccion[SubSección],MATCH(ROW(Leccion[SubSección]),ROW(Leccion[SubSección]))),ROW(CH22))),"")</f>
        <v/>
      </c>
      <c r="CJ23" s="51" t="str">
        <f t="array" aca="1" ref="CJ23" ca="1">IFERROR(INDEX(Leccion[selectorLeccion],SMALL(IF(CJ$1=Leccion[SubSección],MATCH(ROW(Leccion[SubSección]),ROW(Leccion[SubSección]))),ROW(CI22))),"")</f>
        <v/>
      </c>
      <c r="CK23" s="51" t="str">
        <f t="array" aca="1" ref="CK23" ca="1">IFERROR(INDEX(Leccion[selectorLeccion],SMALL(IF(CK$1=Leccion[SubSección],MATCH(ROW(Leccion[SubSección]),ROW(Leccion[SubSección]))),ROW(CJ22))),"")</f>
        <v/>
      </c>
      <c r="CL23" s="51" t="str">
        <f t="array" aca="1" ref="CL23" ca="1">IFERROR(INDEX(Leccion[selectorLeccion],SMALL(IF(CL$1=Leccion[SubSección],MATCH(ROW(Leccion[SubSección]),ROW(Leccion[SubSección]))),ROW(CK22))),"")</f>
        <v/>
      </c>
      <c r="CM23" s="51" t="str">
        <f t="array" aca="1" ref="CM23" ca="1">IFERROR(INDEX(Leccion[selectorLeccion],SMALL(IF(CM$1=Leccion[SubSección],MATCH(ROW(Leccion[SubSección]),ROW(Leccion[SubSección]))),ROW(CL22))),"")</f>
        <v/>
      </c>
      <c r="CN23" s="51" t="str">
        <f t="array" aca="1" ref="CN23" ca="1">IFERROR(INDEX(Leccion[selectorLeccion],SMALL(IF(CN$1=Leccion[SubSección],MATCH(ROW(Leccion[SubSección]),ROW(Leccion[SubSección]))),ROW(CM22))),"")</f>
        <v/>
      </c>
      <c r="CO23" s="51" t="str">
        <f t="array" aca="1" ref="CO23" ca="1">IFERROR(INDEX(Leccion[selectorLeccion],SMALL(IF(CO$1=Leccion[SubSección],MATCH(ROW(Leccion[SubSección]),ROW(Leccion[SubSección]))),ROW(CN22))),"")</f>
        <v/>
      </c>
      <c r="CP23" s="51" t="str">
        <f t="array" aca="1" ref="CP23" ca="1">IFERROR(INDEX(Leccion[selectorLeccion],SMALL(IF(CP$1=Leccion[SubSección],MATCH(ROW(Leccion[SubSección]),ROW(Leccion[SubSección]))),ROW(CO22))),"")</f>
        <v/>
      </c>
      <c r="CQ23" s="51" t="str">
        <f t="array" aca="1" ref="CQ23" ca="1">IFERROR(INDEX(Leccion[selectorLeccion],SMALL(IF(CQ$1=Leccion[SubSección],MATCH(ROW(Leccion[SubSección]),ROW(Leccion[SubSección]))),ROW(CP22))),"")</f>
        <v/>
      </c>
      <c r="CR23" s="51" t="str">
        <f t="array" aca="1" ref="CR23" ca="1">IFERROR(INDEX(Leccion[selectorLeccion],SMALL(IF(CR$1=Leccion[SubSección],MATCH(ROW(Leccion[SubSección]),ROW(Leccion[SubSección]))),ROW(CQ22))),"")</f>
        <v/>
      </c>
      <c r="CS23" s="51" t="str">
        <f t="array" aca="1" ref="CS23" ca="1">IFERROR(INDEX(Leccion[selectorLeccion],SMALL(IF(CS$1=Leccion[SubSección],MATCH(ROW(Leccion[SubSección]),ROW(Leccion[SubSección]))),ROW(CR22))),"")</f>
        <v/>
      </c>
      <c r="CT23" s="51" t="str">
        <f t="array" aca="1" ref="CT23" ca="1">IFERROR(INDEX(Leccion[selectorLeccion],SMALL(IF(CT$1=Leccion[SubSección],MATCH(ROW(Leccion[SubSección]),ROW(Leccion[SubSección]))),ROW(CS22))),"")</f>
        <v/>
      </c>
      <c r="CU23" s="51" t="str">
        <f t="array" aca="1" ref="CU23" ca="1">IFERROR(INDEX(Leccion[selectorLeccion],SMALL(IF(CU$1=Leccion[SubSección],MATCH(ROW(Leccion[SubSección]),ROW(Leccion[SubSección]))),ROW(CT22))),"")</f>
        <v/>
      </c>
      <c r="CV23" s="51" t="str">
        <f t="array" aca="1" ref="CV23" ca="1">IFERROR(INDEX(Leccion[selectorLeccion],SMALL(IF(CV$1=Leccion[SubSección],MATCH(ROW(Leccion[SubSección]),ROW(Leccion[SubSección]))),ROW(CU22))),"")</f>
        <v/>
      </c>
      <c r="CW23" s="51" t="str">
        <f t="array" aca="1" ref="CW23" ca="1">IFERROR(INDEX(Leccion[selectorLeccion],SMALL(IF(CW$1=Leccion[SubSección],MATCH(ROW(Leccion[SubSección]),ROW(Leccion[SubSección]))),ROW(CV22))),"")</f>
        <v/>
      </c>
      <c r="CX23" s="51" t="str">
        <f t="array" aca="1" ref="CX23" ca="1">IFERROR(INDEX(Leccion[selectorLeccion],SMALL(IF(CX$1=Leccion[SubSección],MATCH(ROW(Leccion[SubSección]),ROW(Leccion[SubSección]))),ROW(CW22))),"")</f>
        <v/>
      </c>
      <c r="CY23" s="51" t="str">
        <f t="array" aca="1" ref="CY23" ca="1">IFERROR(INDEX(Leccion[selectorLeccion],SMALL(IF(CY$1=Leccion[SubSección],MATCH(ROW(Leccion[SubSección]),ROW(Leccion[SubSección]))),ROW(CX22))),"")</f>
        <v/>
      </c>
      <c r="CZ23" s="51" t="str">
        <f t="array" aca="1" ref="CZ23" ca="1">IFERROR(INDEX(Leccion[selectorLeccion],SMALL(IF(CZ$1=Leccion[SubSección],MATCH(ROW(Leccion[SubSección]),ROW(Leccion[SubSección]))),ROW(CY22))),"")</f>
        <v/>
      </c>
      <c r="DA23" s="51" t="str">
        <f t="array" aca="1" ref="DA23" ca="1">IFERROR(INDEX(Leccion[selectorLeccion],SMALL(IF(DA$1=Leccion[SubSección],MATCH(ROW(Leccion[SubSección]),ROW(Leccion[SubSección]))),ROW(CZ22))),"")</f>
        <v/>
      </c>
      <c r="DB23" s="51" t="str">
        <f t="array" aca="1" ref="DB23" ca="1">IFERROR(INDEX(Leccion[selectorLeccion],SMALL(IF(DB$1=Leccion[SubSección],MATCH(ROW(Leccion[SubSección]),ROW(Leccion[SubSección]))),ROW(DA22))),"")</f>
        <v/>
      </c>
      <c r="DC23" s="51" t="str">
        <f t="array" aca="1" ref="DC23" ca="1">IFERROR(INDEX(Leccion[selectorLeccion],SMALL(IF(DC$1=Leccion[SubSección],MATCH(ROW(Leccion[SubSección]),ROW(Leccion[SubSección]))),ROW(DB22))),"")</f>
        <v/>
      </c>
      <c r="DD23" s="51" t="str">
        <f t="array" aca="1" ref="DD23" ca="1">IFERROR(INDEX(Leccion[selectorLeccion],SMALL(IF(DD$1=Leccion[SubSección],MATCH(ROW(Leccion[SubSección]),ROW(Leccion[SubSección]))),ROW(DC22))),"")</f>
        <v/>
      </c>
      <c r="DE23" s="51" t="str">
        <f t="array" aca="1" ref="DE23" ca="1">IFERROR(INDEX(Leccion[selectorLeccion],SMALL(IF(DE$1=Leccion[SubSección],MATCH(ROW(Leccion[SubSección]),ROW(Leccion[SubSección]))),ROW(DD22))),"")</f>
        <v/>
      </c>
      <c r="DF23" s="51" t="str">
        <f t="array" aca="1" ref="DF23" ca="1">IFERROR(INDEX(Leccion[selectorLeccion],SMALL(IF(DF$1=Leccion[SubSección],MATCH(ROW(Leccion[SubSección]),ROW(Leccion[SubSección]))),ROW(DE22))),"")</f>
        <v/>
      </c>
      <c r="DG23" s="51" t="str">
        <f t="array" aca="1" ref="DG23" ca="1">IFERROR(INDEX(Leccion[selectorLeccion],SMALL(IF(DG$1=Leccion[SubSección],MATCH(ROW(Leccion[SubSección]),ROW(Leccion[SubSección]))),ROW(DF22))),"")</f>
        <v/>
      </c>
      <c r="DH23" s="51" t="str">
        <f t="array" aca="1" ref="DH23" ca="1">IFERROR(INDEX(Leccion[selectorLeccion],SMALL(IF(DH$1=Leccion[SubSección],MATCH(ROW(Leccion[SubSección]),ROW(Leccion[SubSección]))),ROW(DG22))),"")</f>
        <v/>
      </c>
      <c r="DI23" s="51" t="str">
        <f t="array" aca="1" ref="DI23" ca="1">IFERROR(INDEX(Leccion[selectorLeccion],SMALL(IF(DI$1=Leccion[SubSección],MATCH(ROW(Leccion[SubSección]),ROW(Leccion[SubSección]))),ROW(DH22))),"")</f>
        <v/>
      </c>
      <c r="DJ23" s="51" t="str">
        <f t="array" aca="1" ref="DJ23" ca="1">IFERROR(INDEX(Leccion[selectorLeccion],SMALL(IF(DJ$1=Leccion[SubSección],MATCH(ROW(Leccion[SubSección]),ROW(Leccion[SubSección]))),ROW(DI22))),"")</f>
        <v/>
      </c>
      <c r="DK23" s="51" t="str">
        <f t="array" aca="1" ref="DK23" ca="1">IFERROR(INDEX(Leccion[selectorLeccion],SMALL(IF(DK$1=Leccion[SubSección],MATCH(ROW(Leccion[SubSección]),ROW(Leccion[SubSección]))),ROW(DJ22))),"")</f>
        <v/>
      </c>
      <c r="DL23" s="51" t="str">
        <f t="array" aca="1" ref="DL23" ca="1">IFERROR(INDEX(Leccion[selectorLeccion],SMALL(IF(DL$1=Leccion[SubSección],MATCH(ROW(Leccion[SubSección]),ROW(Leccion[SubSección]))),ROW(DK22))),"")</f>
        <v/>
      </c>
      <c r="DM23" s="51" t="str">
        <f t="array" aca="1" ref="DM23" ca="1">IFERROR(INDEX(Leccion[selectorLeccion],SMALL(IF(DM$1=Leccion[SubSección],MATCH(ROW(Leccion[SubSección]),ROW(Leccion[SubSección]))),ROW(DL22))),"")</f>
        <v/>
      </c>
      <c r="DN23" s="51" t="str">
        <f t="array" aca="1" ref="DN23" ca="1">IFERROR(INDEX(Leccion[selectorLeccion],SMALL(IF(DN$1=Leccion[SubSección],MATCH(ROW(Leccion[SubSección]),ROW(Leccion[SubSección]))),ROW(DM22))),"")</f>
        <v/>
      </c>
      <c r="DO23" s="51" t="str">
        <f t="array" aca="1" ref="DO23" ca="1">IFERROR(INDEX(Leccion[selectorLeccion],SMALL(IF(DO$1=Leccion[SubSección],MATCH(ROW(Leccion[SubSección]),ROW(Leccion[SubSección]))),ROW(DN22))),"")</f>
        <v/>
      </c>
      <c r="DP23" s="51" t="str">
        <f t="array" aca="1" ref="DP23" ca="1">IFERROR(INDEX(Leccion[selectorLeccion],SMALL(IF(DP$1=Leccion[SubSección],MATCH(ROW(Leccion[SubSección]),ROW(Leccion[SubSección]))),ROW(DO22))),"")</f>
        <v/>
      </c>
      <c r="DQ23" s="51" t="str">
        <f t="array" aca="1" ref="DQ23" ca="1">IFERROR(INDEX(Leccion[selectorLeccion],SMALL(IF(DQ$1=Leccion[SubSección],MATCH(ROW(Leccion[SubSección]),ROW(Leccion[SubSección]))),ROW(DP22))),"")</f>
        <v/>
      </c>
      <c r="DR23" s="51" t="str">
        <f t="array" aca="1" ref="DR23" ca="1">IFERROR(INDEX(Leccion[selectorLeccion],SMALL(IF(DR$1=Leccion[SubSección],MATCH(ROW(Leccion[SubSección]),ROW(Leccion[SubSección]))),ROW(DQ22))),"")</f>
        <v/>
      </c>
      <c r="DS23" s="51" t="str">
        <f t="array" aca="1" ref="DS23" ca="1">IFERROR(INDEX(Leccion[selectorLeccion],SMALL(IF(DS$1=Leccion[SubSección],MATCH(ROW(Leccion[SubSección]),ROW(Leccion[SubSección]))),ROW(DR22))),"")</f>
        <v/>
      </c>
      <c r="DT23" s="51" t="str">
        <f t="array" aca="1" ref="DT23" ca="1">IFERROR(INDEX(Leccion[selectorLeccion],SMALL(IF(DT$1=Leccion[SubSección],MATCH(ROW(Leccion[SubSección]),ROW(Leccion[SubSección]))),ROW(DS22))),"")</f>
        <v/>
      </c>
      <c r="DU23" s="51" t="str">
        <f t="array" aca="1" ref="DU23" ca="1">IFERROR(INDEX(Leccion[selectorLeccion],SMALL(IF(DU$1=Leccion[SubSección],MATCH(ROW(Leccion[SubSección]),ROW(Leccion[SubSección]))),ROW(DT22))),"")</f>
        <v/>
      </c>
      <c r="DV23" s="51" t="str">
        <f t="array" aca="1" ref="DV23" ca="1">IFERROR(INDEX(Leccion[selectorLeccion],SMALL(IF(DV$1=Leccion[SubSección],MATCH(ROW(Leccion[SubSección]),ROW(Leccion[SubSección]))),ROW(DU22))),"")</f>
        <v/>
      </c>
      <c r="DW23" s="51" t="str">
        <f t="array" aca="1" ref="DW23" ca="1">IFERROR(INDEX(Leccion[selectorLeccion],SMALL(IF(DW$1=Leccion[SubSección],MATCH(ROW(Leccion[SubSección]),ROW(Leccion[SubSección]))),ROW(DV22))),"")</f>
        <v/>
      </c>
      <c r="DX23" s="51" t="str">
        <f t="array" aca="1" ref="DX23" ca="1">IFERROR(INDEX(Leccion[selectorLeccion],SMALL(IF(DX$1=Leccion[SubSección],MATCH(ROW(Leccion[SubSección]),ROW(Leccion[SubSección]))),ROW(DW22))),"")</f>
        <v/>
      </c>
      <c r="DY23" s="51" t="str">
        <f t="array" aca="1" ref="DY23" ca="1">IFERROR(INDEX(Leccion[selectorLeccion],SMALL(IF(DY$1=Leccion[SubSección],MATCH(ROW(Leccion[SubSección]),ROW(Leccion[SubSección]))),ROW(DX22))),"")</f>
        <v/>
      </c>
      <c r="DZ23" s="51" t="str">
        <f t="array" aca="1" ref="DZ23" ca="1">IFERROR(INDEX(Leccion[selectorLeccion],SMALL(IF(DZ$1=Leccion[SubSección],MATCH(ROW(Leccion[SubSección]),ROW(Leccion[SubSección]))),ROW(DY22))),"")</f>
        <v/>
      </c>
      <c r="EA23" s="51" t="str">
        <f t="array" aca="1" ref="EA23" ca="1">IFERROR(INDEX(Leccion[selectorLeccion],SMALL(IF(EA$1=Leccion[SubSección],MATCH(ROW(Leccion[SubSección]),ROW(Leccion[SubSección]))),ROW(DZ22))),"")</f>
        <v/>
      </c>
      <c r="EB23" s="51" t="str">
        <f t="array" aca="1" ref="EB23" ca="1">IFERROR(INDEX(Leccion[selectorLeccion],SMALL(IF(EB$1=Leccion[SubSección],MATCH(ROW(Leccion[SubSección]),ROW(Leccion[SubSección]))),ROW(EA22))),"")</f>
        <v/>
      </c>
      <c r="EC23" s="51" t="str">
        <f t="array" aca="1" ref="EC23" ca="1">IFERROR(INDEX(Leccion[selectorLeccion],SMALL(IF(EC$1=Leccion[SubSección],MATCH(ROW(Leccion[SubSección]),ROW(Leccion[SubSección]))),ROW(EB22))),"")</f>
        <v/>
      </c>
      <c r="ED23" s="51" t="str">
        <f t="array" aca="1" ref="ED23" ca="1">IFERROR(INDEX(Leccion[selectorLeccion],SMALL(IF(ED$1=Leccion[SubSección],MATCH(ROW(Leccion[SubSección]),ROW(Leccion[SubSección]))),ROW(EC22))),"")</f>
        <v/>
      </c>
      <c r="EE23" s="51" t="str">
        <f t="array" aca="1" ref="EE23" ca="1">IFERROR(INDEX(Leccion[selectorLeccion],SMALL(IF(EE$1=Leccion[SubSección],MATCH(ROW(Leccion[SubSección]),ROW(Leccion[SubSección]))),ROW(ED22))),"")</f>
        <v/>
      </c>
      <c r="EF23" s="51" t="str">
        <f t="array" aca="1" ref="EF23" ca="1">IFERROR(INDEX(Leccion[selectorLeccion],SMALL(IF(EF$1=Leccion[SubSección],MATCH(ROW(Leccion[SubSección]),ROW(Leccion[SubSección]))),ROW(EE22))),"")</f>
        <v/>
      </c>
      <c r="EG23" s="51" t="str">
        <f t="array" aca="1" ref="EG23" ca="1">IFERROR(INDEX(Leccion[selectorLeccion],SMALL(IF(EG$1=Leccion[SubSección],MATCH(ROW(Leccion[SubSección]),ROW(Leccion[SubSección]))),ROW(EF22))),"")</f>
        <v/>
      </c>
      <c r="EH23" s="51" t="str">
        <f t="array" aca="1" ref="EH23" ca="1">IFERROR(INDEX(Leccion[selectorLeccion],SMALL(IF(EH$1=Leccion[SubSección],MATCH(ROW(Leccion[SubSección]),ROW(Leccion[SubSección]))),ROW(EG22))),"")</f>
        <v/>
      </c>
      <c r="EI23" s="51" t="str">
        <f t="array" aca="1" ref="EI23" ca="1">IFERROR(INDEX(Leccion[selectorLeccion],SMALL(IF(EI$1=Leccion[SubSección],MATCH(ROW(Leccion[SubSección]),ROW(Leccion[SubSección]))),ROW(EH22))),"")</f>
        <v/>
      </c>
      <c r="EJ23" s="51" t="str">
        <f t="array" aca="1" ref="EJ23" ca="1">IFERROR(INDEX(Leccion[selectorLeccion],SMALL(IF(EJ$1=Leccion[SubSección],MATCH(ROW(Leccion[SubSección]),ROW(Leccion[SubSección]))),ROW(EI22))),"")</f>
        <v/>
      </c>
      <c r="EK23" s="51" t="str">
        <f t="array" aca="1" ref="EK23" ca="1">IFERROR(INDEX(Leccion[selectorLeccion],SMALL(IF(EK$1=Leccion[SubSección],MATCH(ROW(Leccion[SubSección]),ROW(Leccion[SubSección]))),ROW(EJ22))),"")</f>
        <v/>
      </c>
      <c r="EL23" s="51" t="str">
        <f t="array" aca="1" ref="EL23" ca="1">IFERROR(INDEX(Leccion[selectorLeccion],SMALL(IF(EL$1=Leccion[SubSección],MATCH(ROW(Leccion[SubSección]),ROW(Leccion[SubSección]))),ROW(EK22))),"")</f>
        <v/>
      </c>
      <c r="EM23" s="51" t="str">
        <f t="array" aca="1" ref="EM23" ca="1">IFERROR(INDEX(Leccion[selectorLeccion],SMALL(IF(EM$1=Leccion[SubSección],MATCH(ROW(Leccion[SubSección]),ROW(Leccion[SubSección]))),ROW(EL22))),"")</f>
        <v/>
      </c>
      <c r="EN23" s="51" t="str">
        <f t="array" aca="1" ref="EN23" ca="1">IFERROR(INDEX(Leccion[selectorLeccion],SMALL(IF(EN$1=Leccion[SubSección],MATCH(ROW(Leccion[SubSección]),ROW(Leccion[SubSección]))),ROW(EM22))),"")</f>
        <v/>
      </c>
      <c r="EO23" s="51" t="str">
        <f t="array" aca="1" ref="EO23" ca="1">IFERROR(INDEX(Leccion[selectorLeccion],SMALL(IF(EO$1=Leccion[SubSección],MATCH(ROW(Leccion[SubSección]),ROW(Leccion[SubSección]))),ROW(EN22))),"")</f>
        <v/>
      </c>
      <c r="EP23" s="51" t="str">
        <f t="array" aca="1" ref="EP23" ca="1">IFERROR(INDEX(Leccion[selectorLeccion],SMALL(IF(EP$1=Leccion[SubSección],MATCH(ROW(Leccion[SubSección]),ROW(Leccion[SubSección]))),ROW(EO22))),"")</f>
        <v/>
      </c>
      <c r="EQ23" s="51" t="str">
        <f t="array" aca="1" ref="EQ23" ca="1">IFERROR(INDEX(Leccion[selectorLeccion],SMALL(IF(EQ$1=Leccion[SubSección],MATCH(ROW(Leccion[SubSección]),ROW(Leccion[SubSección]))),ROW(EP22))),"")</f>
        <v/>
      </c>
      <c r="ER23" s="51" t="str">
        <f t="array" aca="1" ref="ER23" ca="1">IFERROR(INDEX(Leccion[selectorLeccion],SMALL(IF(ER$1=Leccion[SubSección],MATCH(ROW(Leccion[SubSección]),ROW(Leccion[SubSección]))),ROW(EQ22))),"")</f>
        <v/>
      </c>
      <c r="ES23" s="51" t="str">
        <f t="array" aca="1" ref="ES23" ca="1">IFERROR(INDEX(Leccion[selectorLeccion],SMALL(IF(ES$1=Leccion[SubSección],MATCH(ROW(Leccion[SubSección]),ROW(Leccion[SubSección]))),ROW(ER22))),"")</f>
        <v/>
      </c>
      <c r="ET23" s="51" t="str">
        <f t="array" aca="1" ref="ET23" ca="1">IFERROR(INDEX(Leccion[selectorLeccion],SMALL(IF(ET$1=Leccion[SubSección],MATCH(ROW(Leccion[SubSección]),ROW(Leccion[SubSección]))),ROW(ES22))),"")</f>
        <v/>
      </c>
      <c r="EU23" s="51" t="str">
        <f t="array" aca="1" ref="EU23" ca="1">IFERROR(INDEX(Leccion[selectorLeccion],SMALL(IF(EU$1=Leccion[SubSección],MATCH(ROW(Leccion[SubSección]),ROW(Leccion[SubSección]))),ROW(ET22))),"")</f>
        <v/>
      </c>
      <c r="EV23" s="51" t="str">
        <f t="array" aca="1" ref="EV23" ca="1">IFERROR(INDEX(Leccion[selectorLeccion],SMALL(IF(EV$1=Leccion[SubSección],MATCH(ROW(Leccion[SubSección]),ROW(Leccion[SubSección]))),ROW(EU22))),"")</f>
        <v/>
      </c>
      <c r="EW23" s="51" t="str">
        <f t="array" aca="1" ref="EW23" ca="1">IFERROR(INDEX(Leccion[selectorLeccion],SMALL(IF(EW$1=Leccion[SubSección],MATCH(ROW(Leccion[SubSección]),ROW(Leccion[SubSección]))),ROW(EV22))),"")</f>
        <v/>
      </c>
      <c r="EX23" s="51" t="str">
        <f t="array" aca="1" ref="EX23" ca="1">IFERROR(INDEX(Leccion[selectorLeccion],SMALL(IF(EX$1=Leccion[SubSección],MATCH(ROW(Leccion[SubSección]),ROW(Leccion[SubSección]))),ROW(EW22))),"")</f>
        <v/>
      </c>
      <c r="EY23" s="51" t="str">
        <f t="array" aca="1" ref="EY23" ca="1">IFERROR(INDEX(Leccion[selectorLeccion],SMALL(IF(EY$1=Leccion[SubSección],MATCH(ROW(Leccion[SubSección]),ROW(Leccion[SubSección]))),ROW(EX22))),"")</f>
        <v/>
      </c>
      <c r="EZ23" s="51" t="str">
        <f t="array" aca="1" ref="EZ23" ca="1">IFERROR(INDEX(Leccion[selectorLeccion],SMALL(IF(EZ$1=Leccion[SubSección],MATCH(ROW(Leccion[SubSección]),ROW(Leccion[SubSección]))),ROW(EY22))),"")</f>
        <v/>
      </c>
    </row>
    <row r="24" spans="2:156" x14ac:dyDescent="0.3">
      <c r="B24" s="51" t="str">
        <f t="array" aca="1" ref="B24" ca="1">IFERROR(INDEX(Leccion[selectorLeccion],SMALL(IF(B$1=Leccion[SubSección],MATCH(ROW(Leccion[SubSección]),ROW(Leccion[SubSección]))),ROW(A23))),"")</f>
        <v/>
      </c>
      <c r="C24" s="51" t="str">
        <f t="array" aca="1" ref="C24" ca="1">IFERROR(INDEX(Leccion[selectorLeccion],SMALL(IF(C$1=Leccion[SubSección],MATCH(ROW(Leccion[SubSección]),ROW(Leccion[SubSección]))),ROW(B23))),"")</f>
        <v/>
      </c>
      <c r="D24" s="51" t="str">
        <f t="array" aca="1" ref="D24" ca="1">IFERROR(INDEX(Leccion[selectorLeccion],SMALL(IF(D$1=Leccion[SubSección],MATCH(ROW(Leccion[SubSección]),ROW(Leccion[SubSección]))),ROW(C23))),"")</f>
        <v/>
      </c>
      <c r="E24" s="51" t="str">
        <f t="array" aca="1" ref="E24" ca="1">IFERROR(INDEX(Leccion[selectorLeccion],SMALL(IF(E$1=Leccion[SubSección],MATCH(ROW(Leccion[SubSección]),ROW(Leccion[SubSección]))),ROW(D23))),"")</f>
        <v/>
      </c>
      <c r="F24" s="51" t="str">
        <f t="array" aca="1" ref="F24" ca="1">IFERROR(INDEX(Leccion[selectorLeccion],SMALL(IF(F$1=Leccion[SubSección],MATCH(ROW(Leccion[SubSección]),ROW(Leccion[SubSección]))),ROW(E23))),"")</f>
        <v/>
      </c>
      <c r="G24" s="51" t="str">
        <f t="array" aca="1" ref="G24" ca="1">IFERROR(INDEX(Leccion[selectorLeccion],SMALL(IF(G$1=Leccion[SubSección],MATCH(ROW(Leccion[SubSección]),ROW(Leccion[SubSección]))),ROW(F23))),"")</f>
        <v/>
      </c>
      <c r="H24" s="51" t="str">
        <f t="array" aca="1" ref="H24" ca="1">IFERROR(INDEX(Leccion[selectorLeccion],SMALL(IF(H$1=Leccion[SubSección],MATCH(ROW(Leccion[SubSección]),ROW(Leccion[SubSección]))),ROW(G23))),"")</f>
        <v/>
      </c>
      <c r="I24" s="51" t="str">
        <f t="array" aca="1" ref="I24" ca="1">IFERROR(INDEX(Leccion[selectorLeccion],SMALL(IF(I$1=Leccion[SubSección],MATCH(ROW(Leccion[SubSección]),ROW(Leccion[SubSección]))),ROW(H23))),"")</f>
        <v/>
      </c>
      <c r="J24" s="51" t="str">
        <f t="array" aca="1" ref="J24" ca="1">IFERROR(INDEX(Leccion[selectorLeccion],SMALL(IF(J$1=Leccion[SubSección],MATCH(ROW(Leccion[SubSección]),ROW(Leccion[SubSección]))),ROW(I23))),"")</f>
        <v/>
      </c>
      <c r="K24" s="51" t="str">
        <f t="array" aca="1" ref="K24" ca="1">IFERROR(INDEX(Leccion[selectorLeccion],SMALL(IF(K$1=Leccion[SubSección],MATCH(ROW(Leccion[SubSección]),ROW(Leccion[SubSección]))),ROW(J23))),"")</f>
        <v/>
      </c>
      <c r="L24" s="51" t="str">
        <f t="array" aca="1" ref="L24" ca="1">IFERROR(INDEX(Leccion[selectorLeccion],SMALL(IF(L$1=Leccion[SubSección],MATCH(ROW(Leccion[SubSección]),ROW(Leccion[SubSección]))),ROW(K23))),"")</f>
        <v/>
      </c>
      <c r="M24" s="51" t="str">
        <f t="array" aca="1" ref="M24" ca="1">IFERROR(INDEX(Leccion[selectorLeccion],SMALL(IF(M$1=Leccion[SubSección],MATCH(ROW(Leccion[SubSección]),ROW(Leccion[SubSección]))),ROW(L23))),"")</f>
        <v/>
      </c>
      <c r="N24" s="51" t="str">
        <f t="array" aca="1" ref="N24" ca="1">IFERROR(INDEX(Leccion[selectorLeccion],SMALL(IF(N$1=Leccion[SubSección],MATCH(ROW(Leccion[SubSección]),ROW(Leccion[SubSección]))),ROW(M23))),"")</f>
        <v/>
      </c>
      <c r="O24" s="51" t="str">
        <f t="array" aca="1" ref="O24" ca="1">IFERROR(INDEX(Leccion[selectorLeccion],SMALL(IF(O$1=Leccion[SubSección],MATCH(ROW(Leccion[SubSección]),ROW(Leccion[SubSección]))),ROW(N23))),"")</f>
        <v/>
      </c>
      <c r="P24" s="51" t="str">
        <f t="array" aca="1" ref="P24" ca="1">IFERROR(INDEX(Leccion[selectorLeccion],SMALL(IF(P$1=Leccion[SubSección],MATCH(ROW(Leccion[SubSección]),ROW(Leccion[SubSección]))),ROW(O23))),"")</f>
        <v/>
      </c>
      <c r="Q24" s="51" t="str">
        <f t="array" aca="1" ref="Q24" ca="1">IFERROR(INDEX(Leccion[selectorLeccion],SMALL(IF(Q$1=Leccion[SubSección],MATCH(ROW(Leccion[SubSección]),ROW(Leccion[SubSección]))),ROW(P23))),"")</f>
        <v/>
      </c>
      <c r="R24" s="51" t="str">
        <f t="array" aca="1" ref="R24" ca="1">IFERROR(INDEX(Leccion[selectorLeccion],SMALL(IF(R$1=Leccion[SubSección],MATCH(ROW(Leccion[SubSección]),ROW(Leccion[SubSección]))),ROW(Q23))),"")</f>
        <v/>
      </c>
      <c r="S24" s="51" t="str">
        <f t="array" aca="1" ref="S24" ca="1">IFERROR(INDEX(Leccion[selectorLeccion],SMALL(IF(S$1=Leccion[SubSección],MATCH(ROW(Leccion[SubSección]),ROW(Leccion[SubSección]))),ROW(R23))),"")</f>
        <v/>
      </c>
      <c r="T24" s="51" t="str">
        <f t="array" aca="1" ref="T24" ca="1">IFERROR(INDEX(Leccion[selectorLeccion],SMALL(IF(T$1=Leccion[SubSección],MATCH(ROW(Leccion[SubSección]),ROW(Leccion[SubSección]))),ROW(S23))),"")</f>
        <v/>
      </c>
      <c r="U24" s="51" t="str">
        <f t="array" aca="1" ref="U24" ca="1">IFERROR(INDEX(Leccion[selectorLeccion],SMALL(IF(U$1=Leccion[SubSección],MATCH(ROW(Leccion[SubSección]),ROW(Leccion[SubSección]))),ROW(T23))),"")</f>
        <v/>
      </c>
      <c r="V24" s="51" t="str">
        <f t="array" aca="1" ref="V24" ca="1">IFERROR(INDEX(Leccion[selectorLeccion],SMALL(IF(V$1=Leccion[SubSección],MATCH(ROW(Leccion[SubSección]),ROW(Leccion[SubSección]))),ROW(U23))),"")</f>
        <v/>
      </c>
      <c r="W24" s="51" t="str">
        <f t="array" aca="1" ref="W24" ca="1">IFERROR(INDEX(Leccion[selectorLeccion],SMALL(IF(W$1=Leccion[SubSección],MATCH(ROW(Leccion[SubSección]),ROW(Leccion[SubSección]))),ROW(V23))),"")</f>
        <v/>
      </c>
      <c r="X24" s="51" t="str">
        <f t="array" aca="1" ref="X24" ca="1">IFERROR(INDEX(Leccion[selectorLeccion],SMALL(IF(X$1=Leccion[SubSección],MATCH(ROW(Leccion[SubSección]),ROW(Leccion[SubSección]))),ROW(W23))),"")</f>
        <v/>
      </c>
      <c r="Y24" s="51" t="str">
        <f t="array" aca="1" ref="Y24" ca="1">IFERROR(INDEX(Leccion[selectorLeccion],SMALL(IF(Y$1=Leccion[SubSección],MATCH(ROW(Leccion[SubSección]),ROW(Leccion[SubSección]))),ROW(X23))),"")</f>
        <v/>
      </c>
      <c r="Z24" s="51" t="str">
        <f t="array" aca="1" ref="Z24" ca="1">IFERROR(INDEX(Leccion[selectorLeccion],SMALL(IF(Z$1=Leccion[SubSección],MATCH(ROW(Leccion[SubSección]),ROW(Leccion[SubSección]))),ROW(Y23))),"")</f>
        <v/>
      </c>
      <c r="AA24" s="51" t="str">
        <f t="array" aca="1" ref="AA24" ca="1">IFERROR(INDEX(Leccion[selectorLeccion],SMALL(IF(AA$1=Leccion[SubSección],MATCH(ROW(Leccion[SubSección]),ROW(Leccion[SubSección]))),ROW(Z23))),"")</f>
        <v/>
      </c>
      <c r="AB24" s="51" t="str">
        <f t="array" aca="1" ref="AB24" ca="1">IFERROR(INDEX(Leccion[selectorLeccion],SMALL(IF(AB$1=Leccion[SubSección],MATCH(ROW(Leccion[SubSección]),ROW(Leccion[SubSección]))),ROW(AA23))),"")</f>
        <v/>
      </c>
      <c r="AC24" s="51" t="str">
        <f t="array" aca="1" ref="AC24" ca="1">IFERROR(INDEX(Leccion[selectorLeccion],SMALL(IF(AC$1=Leccion[SubSección],MATCH(ROW(Leccion[SubSección]),ROW(Leccion[SubSección]))),ROW(AB23))),"")</f>
        <v/>
      </c>
      <c r="AD24" s="51" t="str">
        <f t="array" aca="1" ref="AD24" ca="1">IFERROR(INDEX(Leccion[selectorLeccion],SMALL(IF(AD$1=Leccion[SubSección],MATCH(ROW(Leccion[SubSección]),ROW(Leccion[SubSección]))),ROW(AC23))),"")</f>
        <v/>
      </c>
      <c r="AE24" s="51" t="str">
        <f t="array" aca="1" ref="AE24" ca="1">IFERROR(INDEX(Leccion[selectorLeccion],SMALL(IF(AE$1=Leccion[SubSección],MATCH(ROW(Leccion[SubSección]),ROW(Leccion[SubSección]))),ROW(AD23))),"")</f>
        <v/>
      </c>
      <c r="AF24" s="51" t="str">
        <f t="array" aca="1" ref="AF24" ca="1">IFERROR(INDEX(Leccion[selectorLeccion],SMALL(IF(AF$1=Leccion[SubSección],MATCH(ROW(Leccion[SubSección]),ROW(Leccion[SubSección]))),ROW(AE23))),"")</f>
        <v/>
      </c>
      <c r="AG24" s="51" t="str">
        <f t="array" aca="1" ref="AG24" ca="1">IFERROR(INDEX(Leccion[selectorLeccion],SMALL(IF(AG$1=Leccion[SubSección],MATCH(ROW(Leccion[SubSección]),ROW(Leccion[SubSección]))),ROW(AF23))),"")</f>
        <v/>
      </c>
      <c r="AH24" s="51" t="str">
        <f t="array" aca="1" ref="AH24" ca="1">IFERROR(INDEX(Leccion[selectorLeccion],SMALL(IF(AH$1=Leccion[SubSección],MATCH(ROW(Leccion[SubSección]),ROW(Leccion[SubSección]))),ROW(AG23))),"")</f>
        <v/>
      </c>
      <c r="AI24" s="51" t="str">
        <f t="array" aca="1" ref="AI24" ca="1">IFERROR(INDEX(Leccion[selectorLeccion],SMALL(IF(AI$1=Leccion[SubSección],MATCH(ROW(Leccion[SubSección]),ROW(Leccion[SubSección]))),ROW(AH23))),"")</f>
        <v/>
      </c>
      <c r="AJ24" s="51" t="str">
        <f t="array" aca="1" ref="AJ24" ca="1">IFERROR(INDEX(Leccion[selectorLeccion],SMALL(IF(AJ$1=Leccion[SubSección],MATCH(ROW(Leccion[SubSección]),ROW(Leccion[SubSección]))),ROW(AI23))),"")</f>
        <v/>
      </c>
      <c r="AK24" s="51" t="str">
        <f t="array" aca="1" ref="AK24" ca="1">IFERROR(INDEX(Leccion[selectorLeccion],SMALL(IF(AK$1=Leccion[SubSección],MATCH(ROW(Leccion[SubSección]),ROW(Leccion[SubSección]))),ROW(AJ23))),"")</f>
        <v/>
      </c>
      <c r="AL24" s="51" t="str">
        <f t="array" aca="1" ref="AL24" ca="1">IFERROR(INDEX(Leccion[selectorLeccion],SMALL(IF(AL$1=Leccion[SubSección],MATCH(ROW(Leccion[SubSección]),ROW(Leccion[SubSección]))),ROW(AK23))),"")</f>
        <v/>
      </c>
      <c r="AM24" s="51" t="str">
        <f t="array" aca="1" ref="AM24" ca="1">IFERROR(INDEX(Leccion[selectorLeccion],SMALL(IF(AM$1=Leccion[SubSección],MATCH(ROW(Leccion[SubSección]),ROW(Leccion[SubSección]))),ROW(AL23))),"")</f>
        <v/>
      </c>
      <c r="AN24" s="51" t="str">
        <f t="array" aca="1" ref="AN24" ca="1">IFERROR(INDEX(Leccion[selectorLeccion],SMALL(IF(AN$1=Leccion[SubSección],MATCH(ROW(Leccion[SubSección]),ROW(Leccion[SubSección]))),ROW(AM23))),"")</f>
        <v/>
      </c>
      <c r="AO24" s="51" t="str">
        <f t="array" aca="1" ref="AO24" ca="1">IFERROR(INDEX(Leccion[selectorLeccion],SMALL(IF(AO$1=Leccion[SubSección],MATCH(ROW(Leccion[SubSección]),ROW(Leccion[SubSección]))),ROW(AN23))),"")</f>
        <v/>
      </c>
      <c r="AP24" s="51" t="str">
        <f t="array" aca="1" ref="AP24" ca="1">IFERROR(INDEX(Leccion[selectorLeccion],SMALL(IF(AP$1=Leccion[SubSección],MATCH(ROW(Leccion[SubSección]),ROW(Leccion[SubSección]))),ROW(AO23))),"")</f>
        <v/>
      </c>
      <c r="AQ24" s="51" t="str">
        <f t="array" aca="1" ref="AQ24" ca="1">IFERROR(INDEX(Leccion[selectorLeccion],SMALL(IF(AQ$1=Leccion[SubSección],MATCH(ROW(Leccion[SubSección]),ROW(Leccion[SubSección]))),ROW(AP23))),"")</f>
        <v/>
      </c>
      <c r="AR24" s="51" t="str">
        <f t="array" aca="1" ref="AR24" ca="1">IFERROR(INDEX(Leccion[selectorLeccion],SMALL(IF(AR$1=Leccion[SubSección],MATCH(ROW(Leccion[SubSección]),ROW(Leccion[SubSección]))),ROW(AQ23))),"")</f>
        <v/>
      </c>
      <c r="AS24" s="51" t="str">
        <f t="array" aca="1" ref="AS24" ca="1">IFERROR(INDEX(Leccion[selectorLeccion],SMALL(IF(AS$1=Leccion[SubSección],MATCH(ROW(Leccion[SubSección]),ROW(Leccion[SubSección]))),ROW(AR23))),"")</f>
        <v/>
      </c>
      <c r="AT24" s="51" t="str">
        <f t="array" aca="1" ref="AT24" ca="1">IFERROR(INDEX(Leccion[selectorLeccion],SMALL(IF(AT$1=Leccion[SubSección],MATCH(ROW(Leccion[SubSección]),ROW(Leccion[SubSección]))),ROW(AS23))),"")</f>
        <v/>
      </c>
      <c r="AU24" s="51" t="str">
        <f t="array" aca="1" ref="AU24" ca="1">IFERROR(INDEX(Leccion[selectorLeccion],SMALL(IF(AU$1=Leccion[SubSección],MATCH(ROW(Leccion[SubSección]),ROW(Leccion[SubSección]))),ROW(AT23))),"")</f>
        <v/>
      </c>
      <c r="AV24" s="51" t="str">
        <f t="array" aca="1" ref="AV24" ca="1">IFERROR(INDEX(Leccion[selectorLeccion],SMALL(IF(AV$1=Leccion[SubSección],MATCH(ROW(Leccion[SubSección]),ROW(Leccion[SubSección]))),ROW(AU23))),"")</f>
        <v/>
      </c>
      <c r="AW24" s="51" t="str">
        <f t="array" aca="1" ref="AW24" ca="1">IFERROR(INDEX(Leccion[selectorLeccion],SMALL(IF(AW$1=Leccion[SubSección],MATCH(ROW(Leccion[SubSección]),ROW(Leccion[SubSección]))),ROW(AV23))),"")</f>
        <v/>
      </c>
      <c r="AX24" s="51" t="str">
        <f t="array" aca="1" ref="AX24" ca="1">IFERROR(INDEX(Leccion[selectorLeccion],SMALL(IF(AX$1=Leccion[SubSección],MATCH(ROW(Leccion[SubSección]),ROW(Leccion[SubSección]))),ROW(AW23))),"")</f>
        <v/>
      </c>
      <c r="AY24" s="51" t="str">
        <f t="array" aca="1" ref="AY24" ca="1">IFERROR(INDEX(Leccion[selectorLeccion],SMALL(IF(AY$1=Leccion[SubSección],MATCH(ROW(Leccion[SubSección]),ROW(Leccion[SubSección]))),ROW(AX23))),"")</f>
        <v/>
      </c>
      <c r="AZ24" s="51" t="str">
        <f t="array" aca="1" ref="AZ24" ca="1">IFERROR(INDEX(Leccion[selectorLeccion],SMALL(IF(AZ$1=Leccion[SubSección],MATCH(ROW(Leccion[SubSección]),ROW(Leccion[SubSección]))),ROW(AY23))),"")</f>
        <v/>
      </c>
      <c r="BA24" s="51" t="str">
        <f t="array" aca="1" ref="BA24" ca="1">IFERROR(INDEX(Leccion[selectorLeccion],SMALL(IF(BA$1=Leccion[SubSección],MATCH(ROW(Leccion[SubSección]),ROW(Leccion[SubSección]))),ROW(AZ23))),"")</f>
        <v/>
      </c>
      <c r="BB24" s="51" t="str">
        <f t="array" aca="1" ref="BB24" ca="1">IFERROR(INDEX(Leccion[selectorLeccion],SMALL(IF(BB$1=Leccion[SubSección],MATCH(ROW(Leccion[SubSección]),ROW(Leccion[SubSección]))),ROW(BA23))),"")</f>
        <v/>
      </c>
      <c r="BC24" s="51" t="str">
        <f t="array" aca="1" ref="BC24" ca="1">IFERROR(INDEX(Leccion[selectorLeccion],SMALL(IF(BC$1=Leccion[SubSección],MATCH(ROW(Leccion[SubSección]),ROW(Leccion[SubSección]))),ROW(BB23))),"")</f>
        <v/>
      </c>
      <c r="BD24" s="51" t="str">
        <f t="array" aca="1" ref="BD24" ca="1">IFERROR(INDEX(Leccion[selectorLeccion],SMALL(IF(BD$1=Leccion[SubSección],MATCH(ROW(Leccion[SubSección]),ROW(Leccion[SubSección]))),ROW(BC23))),"")</f>
        <v/>
      </c>
      <c r="BE24" s="51" t="str">
        <f t="array" aca="1" ref="BE24" ca="1">IFERROR(INDEX(Leccion[selectorLeccion],SMALL(IF(BE$1=Leccion[SubSección],MATCH(ROW(Leccion[SubSección]),ROW(Leccion[SubSección]))),ROW(BD23))),"")</f>
        <v/>
      </c>
      <c r="BF24" s="51" t="str">
        <f t="array" aca="1" ref="BF24" ca="1">IFERROR(INDEX(Leccion[selectorLeccion],SMALL(IF(BF$1=Leccion[SubSección],MATCH(ROW(Leccion[SubSección]),ROW(Leccion[SubSección]))),ROW(BE23))),"")</f>
        <v/>
      </c>
      <c r="BG24" s="51" t="str">
        <f t="array" aca="1" ref="BG24" ca="1">IFERROR(INDEX(Leccion[selectorLeccion],SMALL(IF(BG$1=Leccion[SubSección],MATCH(ROW(Leccion[SubSección]),ROW(Leccion[SubSección]))),ROW(BF23))),"")</f>
        <v/>
      </c>
      <c r="BH24" s="51" t="str">
        <f t="array" aca="1" ref="BH24" ca="1">IFERROR(INDEX(Leccion[selectorLeccion],SMALL(IF(BH$1=Leccion[SubSección],MATCH(ROW(Leccion[SubSección]),ROW(Leccion[SubSección]))),ROW(BG23))),"")</f>
        <v/>
      </c>
      <c r="BI24" s="51" t="str">
        <f t="array" aca="1" ref="BI24" ca="1">IFERROR(INDEX(Leccion[selectorLeccion],SMALL(IF(BI$1=Leccion[SubSección],MATCH(ROW(Leccion[SubSección]),ROW(Leccion[SubSección]))),ROW(BH23))),"")</f>
        <v/>
      </c>
      <c r="BJ24" s="51" t="str">
        <f t="array" aca="1" ref="BJ24" ca="1">IFERROR(INDEX(Leccion[selectorLeccion],SMALL(IF(BJ$1=Leccion[SubSección],MATCH(ROW(Leccion[SubSección]),ROW(Leccion[SubSección]))),ROW(BI23))),"")</f>
        <v/>
      </c>
      <c r="BK24" s="51" t="str">
        <f t="array" aca="1" ref="BK24" ca="1">IFERROR(INDEX(Leccion[selectorLeccion],SMALL(IF(BK$1=Leccion[SubSección],MATCH(ROW(Leccion[SubSección]),ROW(Leccion[SubSección]))),ROW(BJ23))),"")</f>
        <v/>
      </c>
      <c r="BL24" s="51" t="str">
        <f t="array" aca="1" ref="BL24" ca="1">IFERROR(INDEX(Leccion[selectorLeccion],SMALL(IF(BL$1=Leccion[SubSección],MATCH(ROW(Leccion[SubSección]),ROW(Leccion[SubSección]))),ROW(BK23))),"")</f>
        <v/>
      </c>
      <c r="BM24" s="51" t="str">
        <f t="array" aca="1" ref="BM24" ca="1">IFERROR(INDEX(Leccion[selectorLeccion],SMALL(IF(BM$1=Leccion[SubSección],MATCH(ROW(Leccion[SubSección]),ROW(Leccion[SubSección]))),ROW(BL23))),"")</f>
        <v/>
      </c>
      <c r="BN24" s="51" t="str">
        <f t="array" aca="1" ref="BN24" ca="1">IFERROR(INDEX(Leccion[selectorLeccion],SMALL(IF(BN$1=Leccion[SubSección],MATCH(ROW(Leccion[SubSección]),ROW(Leccion[SubSección]))),ROW(BM23))),"")</f>
        <v/>
      </c>
      <c r="BO24" s="51" t="str">
        <f t="array" aca="1" ref="BO24" ca="1">IFERROR(INDEX(Leccion[selectorLeccion],SMALL(IF(BO$1=Leccion[SubSección],MATCH(ROW(Leccion[SubSección]),ROW(Leccion[SubSección]))),ROW(BN23))),"")</f>
        <v/>
      </c>
      <c r="BP24" s="51" t="str">
        <f t="array" aca="1" ref="BP24" ca="1">IFERROR(INDEX(Leccion[selectorLeccion],SMALL(IF(BP$1=Leccion[SubSección],MATCH(ROW(Leccion[SubSección]),ROW(Leccion[SubSección]))),ROW(BO23))),"")</f>
        <v/>
      </c>
      <c r="BQ24" s="51" t="str">
        <f t="array" aca="1" ref="BQ24" ca="1">IFERROR(INDEX(Leccion[selectorLeccion],SMALL(IF(BQ$1=Leccion[SubSección],MATCH(ROW(Leccion[SubSección]),ROW(Leccion[SubSección]))),ROW(BP23))),"")</f>
        <v/>
      </c>
      <c r="BR24" s="51" t="str">
        <f t="array" aca="1" ref="BR24" ca="1">IFERROR(INDEX(Leccion[selectorLeccion],SMALL(IF(BR$1=Leccion[SubSección],MATCH(ROW(Leccion[SubSección]),ROW(Leccion[SubSección]))),ROW(BQ23))),"")</f>
        <v/>
      </c>
      <c r="BS24" s="51" t="str">
        <f t="array" aca="1" ref="BS24" ca="1">IFERROR(INDEX(Leccion[selectorLeccion],SMALL(IF(BS$1=Leccion[SubSección],MATCH(ROW(Leccion[SubSección]),ROW(Leccion[SubSección]))),ROW(BR23))),"")</f>
        <v/>
      </c>
      <c r="BT24" s="51" t="str">
        <f t="array" aca="1" ref="BT24" ca="1">IFERROR(INDEX(Leccion[selectorLeccion],SMALL(IF(BT$1=Leccion[SubSección],MATCH(ROW(Leccion[SubSección]),ROW(Leccion[SubSección]))),ROW(BS23))),"")</f>
        <v/>
      </c>
      <c r="BU24" s="51" t="str">
        <f t="array" aca="1" ref="BU24" ca="1">IFERROR(INDEX(Leccion[selectorLeccion],SMALL(IF(BU$1=Leccion[SubSección],MATCH(ROW(Leccion[SubSección]),ROW(Leccion[SubSección]))),ROW(BT23))),"")</f>
        <v/>
      </c>
      <c r="BV24" s="51" t="str">
        <f t="array" aca="1" ref="BV24" ca="1">IFERROR(INDEX(Leccion[selectorLeccion],SMALL(IF(BV$1=Leccion[SubSección],MATCH(ROW(Leccion[SubSección]),ROW(Leccion[SubSección]))),ROW(BU23))),"")</f>
        <v/>
      </c>
      <c r="BW24" s="51" t="str">
        <f t="array" aca="1" ref="BW24" ca="1">IFERROR(INDEX(Leccion[selectorLeccion],SMALL(IF(BW$1=Leccion[SubSección],MATCH(ROW(Leccion[SubSección]),ROW(Leccion[SubSección]))),ROW(BV23))),"")</f>
        <v/>
      </c>
      <c r="BX24" s="51" t="str">
        <f t="array" aca="1" ref="BX24" ca="1">IFERROR(INDEX(Leccion[selectorLeccion],SMALL(IF(BX$1=Leccion[SubSección],MATCH(ROW(Leccion[SubSección]),ROW(Leccion[SubSección]))),ROW(BW23))),"")</f>
        <v/>
      </c>
      <c r="BY24" s="51" t="str">
        <f t="array" aca="1" ref="BY24" ca="1">IFERROR(INDEX(Leccion[selectorLeccion],SMALL(IF(BY$1=Leccion[SubSección],MATCH(ROW(Leccion[SubSección]),ROW(Leccion[SubSección]))),ROW(BX23))),"")</f>
        <v/>
      </c>
      <c r="BZ24" s="51" t="str">
        <f t="array" aca="1" ref="BZ24" ca="1">IFERROR(INDEX(Leccion[selectorLeccion],SMALL(IF(BZ$1=Leccion[SubSección],MATCH(ROW(Leccion[SubSección]),ROW(Leccion[SubSección]))),ROW(BY23))),"")</f>
        <v/>
      </c>
      <c r="CA24" s="51" t="str">
        <f t="array" aca="1" ref="CA24" ca="1">IFERROR(INDEX(Leccion[selectorLeccion],SMALL(IF(CA$1=Leccion[SubSección],MATCH(ROW(Leccion[SubSección]),ROW(Leccion[SubSección]))),ROW(BZ23))),"")</f>
        <v/>
      </c>
      <c r="CB24" s="51" t="str">
        <f t="array" aca="1" ref="CB24" ca="1">IFERROR(INDEX(Leccion[selectorLeccion],SMALL(IF(CB$1=Leccion[SubSección],MATCH(ROW(Leccion[SubSección]),ROW(Leccion[SubSección]))),ROW(CA23))),"")</f>
        <v/>
      </c>
      <c r="CC24" s="51" t="str">
        <f t="array" aca="1" ref="CC24" ca="1">IFERROR(INDEX(Leccion[selectorLeccion],SMALL(IF(CC$1=Leccion[SubSección],MATCH(ROW(Leccion[SubSección]),ROW(Leccion[SubSección]))),ROW(CB23))),"")</f>
        <v/>
      </c>
      <c r="CD24" s="51" t="str">
        <f t="array" aca="1" ref="CD24" ca="1">IFERROR(INDEX(Leccion[selectorLeccion],SMALL(IF(CD$1=Leccion[SubSección],MATCH(ROW(Leccion[SubSección]),ROW(Leccion[SubSección]))),ROW(CC23))),"")</f>
        <v/>
      </c>
      <c r="CE24" s="51" t="str">
        <f t="array" aca="1" ref="CE24" ca="1">IFERROR(INDEX(Leccion[selectorLeccion],SMALL(IF(CE$1=Leccion[SubSección],MATCH(ROW(Leccion[SubSección]),ROW(Leccion[SubSección]))),ROW(CD23))),"")</f>
        <v/>
      </c>
      <c r="CF24" s="51" t="str">
        <f t="array" aca="1" ref="CF24" ca="1">IFERROR(INDEX(Leccion[selectorLeccion],SMALL(IF(CF$1=Leccion[SubSección],MATCH(ROW(Leccion[SubSección]),ROW(Leccion[SubSección]))),ROW(CE23))),"")</f>
        <v/>
      </c>
      <c r="CG24" s="51" t="str">
        <f t="array" aca="1" ref="CG24" ca="1">IFERROR(INDEX(Leccion[selectorLeccion],SMALL(IF(CG$1=Leccion[SubSección],MATCH(ROW(Leccion[SubSección]),ROW(Leccion[SubSección]))),ROW(CF23))),"")</f>
        <v/>
      </c>
      <c r="CH24" s="51" t="str">
        <f t="array" aca="1" ref="CH24" ca="1">IFERROR(INDEX(Leccion[selectorLeccion],SMALL(IF(CH$1=Leccion[SubSección],MATCH(ROW(Leccion[SubSección]),ROW(Leccion[SubSección]))),ROW(CG23))),"")</f>
        <v/>
      </c>
      <c r="CI24" s="51" t="str">
        <f t="array" aca="1" ref="CI24" ca="1">IFERROR(INDEX(Leccion[selectorLeccion],SMALL(IF(CI$1=Leccion[SubSección],MATCH(ROW(Leccion[SubSección]),ROW(Leccion[SubSección]))),ROW(CH23))),"")</f>
        <v/>
      </c>
      <c r="CJ24" s="51" t="str">
        <f t="array" aca="1" ref="CJ24" ca="1">IFERROR(INDEX(Leccion[selectorLeccion],SMALL(IF(CJ$1=Leccion[SubSección],MATCH(ROW(Leccion[SubSección]),ROW(Leccion[SubSección]))),ROW(CI23))),"")</f>
        <v/>
      </c>
      <c r="CK24" s="51" t="str">
        <f t="array" aca="1" ref="CK24" ca="1">IFERROR(INDEX(Leccion[selectorLeccion],SMALL(IF(CK$1=Leccion[SubSección],MATCH(ROW(Leccion[SubSección]),ROW(Leccion[SubSección]))),ROW(CJ23))),"")</f>
        <v/>
      </c>
      <c r="CL24" s="51" t="str">
        <f t="array" aca="1" ref="CL24" ca="1">IFERROR(INDEX(Leccion[selectorLeccion],SMALL(IF(CL$1=Leccion[SubSección],MATCH(ROW(Leccion[SubSección]),ROW(Leccion[SubSección]))),ROW(CK23))),"")</f>
        <v/>
      </c>
      <c r="CM24" s="51" t="str">
        <f t="array" aca="1" ref="CM24" ca="1">IFERROR(INDEX(Leccion[selectorLeccion],SMALL(IF(CM$1=Leccion[SubSección],MATCH(ROW(Leccion[SubSección]),ROW(Leccion[SubSección]))),ROW(CL23))),"")</f>
        <v/>
      </c>
      <c r="CN24" s="51" t="str">
        <f t="array" aca="1" ref="CN24" ca="1">IFERROR(INDEX(Leccion[selectorLeccion],SMALL(IF(CN$1=Leccion[SubSección],MATCH(ROW(Leccion[SubSección]),ROW(Leccion[SubSección]))),ROW(CM23))),"")</f>
        <v/>
      </c>
      <c r="CO24" s="51" t="str">
        <f t="array" aca="1" ref="CO24" ca="1">IFERROR(INDEX(Leccion[selectorLeccion],SMALL(IF(CO$1=Leccion[SubSección],MATCH(ROW(Leccion[SubSección]),ROW(Leccion[SubSección]))),ROW(CN23))),"")</f>
        <v/>
      </c>
      <c r="CP24" s="51" t="str">
        <f t="array" aca="1" ref="CP24" ca="1">IFERROR(INDEX(Leccion[selectorLeccion],SMALL(IF(CP$1=Leccion[SubSección],MATCH(ROW(Leccion[SubSección]),ROW(Leccion[SubSección]))),ROW(CO23))),"")</f>
        <v/>
      </c>
      <c r="CQ24" s="51" t="str">
        <f t="array" aca="1" ref="CQ24" ca="1">IFERROR(INDEX(Leccion[selectorLeccion],SMALL(IF(CQ$1=Leccion[SubSección],MATCH(ROW(Leccion[SubSección]),ROW(Leccion[SubSección]))),ROW(CP23))),"")</f>
        <v/>
      </c>
      <c r="CR24" s="51" t="str">
        <f t="array" aca="1" ref="CR24" ca="1">IFERROR(INDEX(Leccion[selectorLeccion],SMALL(IF(CR$1=Leccion[SubSección],MATCH(ROW(Leccion[SubSección]),ROW(Leccion[SubSección]))),ROW(CQ23))),"")</f>
        <v/>
      </c>
      <c r="CS24" s="51" t="str">
        <f t="array" aca="1" ref="CS24" ca="1">IFERROR(INDEX(Leccion[selectorLeccion],SMALL(IF(CS$1=Leccion[SubSección],MATCH(ROW(Leccion[SubSección]),ROW(Leccion[SubSección]))),ROW(CR23))),"")</f>
        <v/>
      </c>
      <c r="CT24" s="51" t="str">
        <f t="array" aca="1" ref="CT24" ca="1">IFERROR(INDEX(Leccion[selectorLeccion],SMALL(IF(CT$1=Leccion[SubSección],MATCH(ROW(Leccion[SubSección]),ROW(Leccion[SubSección]))),ROW(CS23))),"")</f>
        <v/>
      </c>
      <c r="CU24" s="51" t="str">
        <f t="array" aca="1" ref="CU24" ca="1">IFERROR(INDEX(Leccion[selectorLeccion],SMALL(IF(CU$1=Leccion[SubSección],MATCH(ROW(Leccion[SubSección]),ROW(Leccion[SubSección]))),ROW(CT23))),"")</f>
        <v/>
      </c>
      <c r="CV24" s="51" t="str">
        <f t="array" aca="1" ref="CV24" ca="1">IFERROR(INDEX(Leccion[selectorLeccion],SMALL(IF(CV$1=Leccion[SubSección],MATCH(ROW(Leccion[SubSección]),ROW(Leccion[SubSección]))),ROW(CU23))),"")</f>
        <v/>
      </c>
      <c r="CW24" s="51" t="str">
        <f t="array" aca="1" ref="CW24" ca="1">IFERROR(INDEX(Leccion[selectorLeccion],SMALL(IF(CW$1=Leccion[SubSección],MATCH(ROW(Leccion[SubSección]),ROW(Leccion[SubSección]))),ROW(CV23))),"")</f>
        <v/>
      </c>
      <c r="CX24" s="51" t="str">
        <f t="array" aca="1" ref="CX24" ca="1">IFERROR(INDEX(Leccion[selectorLeccion],SMALL(IF(CX$1=Leccion[SubSección],MATCH(ROW(Leccion[SubSección]),ROW(Leccion[SubSección]))),ROW(CW23))),"")</f>
        <v/>
      </c>
      <c r="CY24" s="51" t="str">
        <f t="array" aca="1" ref="CY24" ca="1">IFERROR(INDEX(Leccion[selectorLeccion],SMALL(IF(CY$1=Leccion[SubSección],MATCH(ROW(Leccion[SubSección]),ROW(Leccion[SubSección]))),ROW(CX23))),"")</f>
        <v/>
      </c>
      <c r="CZ24" s="51" t="str">
        <f t="array" aca="1" ref="CZ24" ca="1">IFERROR(INDEX(Leccion[selectorLeccion],SMALL(IF(CZ$1=Leccion[SubSección],MATCH(ROW(Leccion[SubSección]),ROW(Leccion[SubSección]))),ROW(CY23))),"")</f>
        <v/>
      </c>
      <c r="DA24" s="51" t="str">
        <f t="array" aca="1" ref="DA24" ca="1">IFERROR(INDEX(Leccion[selectorLeccion],SMALL(IF(DA$1=Leccion[SubSección],MATCH(ROW(Leccion[SubSección]),ROW(Leccion[SubSección]))),ROW(CZ23))),"")</f>
        <v/>
      </c>
      <c r="DB24" s="51" t="str">
        <f t="array" aca="1" ref="DB24" ca="1">IFERROR(INDEX(Leccion[selectorLeccion],SMALL(IF(DB$1=Leccion[SubSección],MATCH(ROW(Leccion[SubSección]),ROW(Leccion[SubSección]))),ROW(DA23))),"")</f>
        <v/>
      </c>
      <c r="DC24" s="51" t="str">
        <f t="array" aca="1" ref="DC24" ca="1">IFERROR(INDEX(Leccion[selectorLeccion],SMALL(IF(DC$1=Leccion[SubSección],MATCH(ROW(Leccion[SubSección]),ROW(Leccion[SubSección]))),ROW(DB23))),"")</f>
        <v/>
      </c>
      <c r="DD24" s="51" t="str">
        <f t="array" aca="1" ref="DD24" ca="1">IFERROR(INDEX(Leccion[selectorLeccion],SMALL(IF(DD$1=Leccion[SubSección],MATCH(ROW(Leccion[SubSección]),ROW(Leccion[SubSección]))),ROW(DC23))),"")</f>
        <v/>
      </c>
      <c r="DE24" s="51" t="str">
        <f t="array" aca="1" ref="DE24" ca="1">IFERROR(INDEX(Leccion[selectorLeccion],SMALL(IF(DE$1=Leccion[SubSección],MATCH(ROW(Leccion[SubSección]),ROW(Leccion[SubSección]))),ROW(DD23))),"")</f>
        <v/>
      </c>
      <c r="DF24" s="51" t="str">
        <f t="array" aca="1" ref="DF24" ca="1">IFERROR(INDEX(Leccion[selectorLeccion],SMALL(IF(DF$1=Leccion[SubSección],MATCH(ROW(Leccion[SubSección]),ROW(Leccion[SubSección]))),ROW(DE23))),"")</f>
        <v/>
      </c>
      <c r="DG24" s="51" t="str">
        <f t="array" aca="1" ref="DG24" ca="1">IFERROR(INDEX(Leccion[selectorLeccion],SMALL(IF(DG$1=Leccion[SubSección],MATCH(ROW(Leccion[SubSección]),ROW(Leccion[SubSección]))),ROW(DF23))),"")</f>
        <v/>
      </c>
      <c r="DH24" s="51" t="str">
        <f t="array" aca="1" ref="DH24" ca="1">IFERROR(INDEX(Leccion[selectorLeccion],SMALL(IF(DH$1=Leccion[SubSección],MATCH(ROW(Leccion[SubSección]),ROW(Leccion[SubSección]))),ROW(DG23))),"")</f>
        <v/>
      </c>
      <c r="DI24" s="51" t="str">
        <f t="array" aca="1" ref="DI24" ca="1">IFERROR(INDEX(Leccion[selectorLeccion],SMALL(IF(DI$1=Leccion[SubSección],MATCH(ROW(Leccion[SubSección]),ROW(Leccion[SubSección]))),ROW(DH23))),"")</f>
        <v/>
      </c>
      <c r="DJ24" s="51" t="str">
        <f t="array" aca="1" ref="DJ24" ca="1">IFERROR(INDEX(Leccion[selectorLeccion],SMALL(IF(DJ$1=Leccion[SubSección],MATCH(ROW(Leccion[SubSección]),ROW(Leccion[SubSección]))),ROW(DI23))),"")</f>
        <v/>
      </c>
      <c r="DK24" s="51" t="str">
        <f t="array" aca="1" ref="DK24" ca="1">IFERROR(INDEX(Leccion[selectorLeccion],SMALL(IF(DK$1=Leccion[SubSección],MATCH(ROW(Leccion[SubSección]),ROW(Leccion[SubSección]))),ROW(DJ23))),"")</f>
        <v/>
      </c>
      <c r="DL24" s="51" t="str">
        <f t="array" aca="1" ref="DL24" ca="1">IFERROR(INDEX(Leccion[selectorLeccion],SMALL(IF(DL$1=Leccion[SubSección],MATCH(ROW(Leccion[SubSección]),ROW(Leccion[SubSección]))),ROW(DK23))),"")</f>
        <v/>
      </c>
      <c r="DM24" s="51" t="str">
        <f t="array" aca="1" ref="DM24" ca="1">IFERROR(INDEX(Leccion[selectorLeccion],SMALL(IF(DM$1=Leccion[SubSección],MATCH(ROW(Leccion[SubSección]),ROW(Leccion[SubSección]))),ROW(DL23))),"")</f>
        <v/>
      </c>
      <c r="DN24" s="51" t="str">
        <f t="array" aca="1" ref="DN24" ca="1">IFERROR(INDEX(Leccion[selectorLeccion],SMALL(IF(DN$1=Leccion[SubSección],MATCH(ROW(Leccion[SubSección]),ROW(Leccion[SubSección]))),ROW(DM23))),"")</f>
        <v/>
      </c>
      <c r="DO24" s="51" t="str">
        <f t="array" aca="1" ref="DO24" ca="1">IFERROR(INDEX(Leccion[selectorLeccion],SMALL(IF(DO$1=Leccion[SubSección],MATCH(ROW(Leccion[SubSección]),ROW(Leccion[SubSección]))),ROW(DN23))),"")</f>
        <v/>
      </c>
      <c r="DP24" s="51" t="str">
        <f t="array" aca="1" ref="DP24" ca="1">IFERROR(INDEX(Leccion[selectorLeccion],SMALL(IF(DP$1=Leccion[SubSección],MATCH(ROW(Leccion[SubSección]),ROW(Leccion[SubSección]))),ROW(DO23))),"")</f>
        <v/>
      </c>
      <c r="DQ24" s="51" t="str">
        <f t="array" aca="1" ref="DQ24" ca="1">IFERROR(INDEX(Leccion[selectorLeccion],SMALL(IF(DQ$1=Leccion[SubSección],MATCH(ROW(Leccion[SubSección]),ROW(Leccion[SubSección]))),ROW(DP23))),"")</f>
        <v/>
      </c>
      <c r="DR24" s="51" t="str">
        <f t="array" aca="1" ref="DR24" ca="1">IFERROR(INDEX(Leccion[selectorLeccion],SMALL(IF(DR$1=Leccion[SubSección],MATCH(ROW(Leccion[SubSección]),ROW(Leccion[SubSección]))),ROW(DQ23))),"")</f>
        <v/>
      </c>
      <c r="DS24" s="51" t="str">
        <f t="array" aca="1" ref="DS24" ca="1">IFERROR(INDEX(Leccion[selectorLeccion],SMALL(IF(DS$1=Leccion[SubSección],MATCH(ROW(Leccion[SubSección]),ROW(Leccion[SubSección]))),ROW(DR23))),"")</f>
        <v/>
      </c>
      <c r="DT24" s="51" t="str">
        <f t="array" aca="1" ref="DT24" ca="1">IFERROR(INDEX(Leccion[selectorLeccion],SMALL(IF(DT$1=Leccion[SubSección],MATCH(ROW(Leccion[SubSección]),ROW(Leccion[SubSección]))),ROW(DS23))),"")</f>
        <v/>
      </c>
      <c r="DU24" s="51" t="str">
        <f t="array" aca="1" ref="DU24" ca="1">IFERROR(INDEX(Leccion[selectorLeccion],SMALL(IF(DU$1=Leccion[SubSección],MATCH(ROW(Leccion[SubSección]),ROW(Leccion[SubSección]))),ROW(DT23))),"")</f>
        <v/>
      </c>
      <c r="DV24" s="51" t="str">
        <f t="array" aca="1" ref="DV24" ca="1">IFERROR(INDEX(Leccion[selectorLeccion],SMALL(IF(DV$1=Leccion[SubSección],MATCH(ROW(Leccion[SubSección]),ROW(Leccion[SubSección]))),ROW(DU23))),"")</f>
        <v/>
      </c>
      <c r="DW24" s="51" t="str">
        <f t="array" aca="1" ref="DW24" ca="1">IFERROR(INDEX(Leccion[selectorLeccion],SMALL(IF(DW$1=Leccion[SubSección],MATCH(ROW(Leccion[SubSección]),ROW(Leccion[SubSección]))),ROW(DV23))),"")</f>
        <v/>
      </c>
      <c r="DX24" s="51" t="str">
        <f t="array" aca="1" ref="DX24" ca="1">IFERROR(INDEX(Leccion[selectorLeccion],SMALL(IF(DX$1=Leccion[SubSección],MATCH(ROW(Leccion[SubSección]),ROW(Leccion[SubSección]))),ROW(DW23))),"")</f>
        <v/>
      </c>
      <c r="DY24" s="51" t="str">
        <f t="array" aca="1" ref="DY24" ca="1">IFERROR(INDEX(Leccion[selectorLeccion],SMALL(IF(DY$1=Leccion[SubSección],MATCH(ROW(Leccion[SubSección]),ROW(Leccion[SubSección]))),ROW(DX23))),"")</f>
        <v/>
      </c>
      <c r="DZ24" s="51" t="str">
        <f t="array" aca="1" ref="DZ24" ca="1">IFERROR(INDEX(Leccion[selectorLeccion],SMALL(IF(DZ$1=Leccion[SubSección],MATCH(ROW(Leccion[SubSección]),ROW(Leccion[SubSección]))),ROW(DY23))),"")</f>
        <v/>
      </c>
      <c r="EA24" s="51" t="str">
        <f t="array" aca="1" ref="EA24" ca="1">IFERROR(INDEX(Leccion[selectorLeccion],SMALL(IF(EA$1=Leccion[SubSección],MATCH(ROW(Leccion[SubSección]),ROW(Leccion[SubSección]))),ROW(DZ23))),"")</f>
        <v/>
      </c>
      <c r="EB24" s="51" t="str">
        <f t="array" aca="1" ref="EB24" ca="1">IFERROR(INDEX(Leccion[selectorLeccion],SMALL(IF(EB$1=Leccion[SubSección],MATCH(ROW(Leccion[SubSección]),ROW(Leccion[SubSección]))),ROW(EA23))),"")</f>
        <v/>
      </c>
      <c r="EC24" s="51" t="str">
        <f t="array" aca="1" ref="EC24" ca="1">IFERROR(INDEX(Leccion[selectorLeccion],SMALL(IF(EC$1=Leccion[SubSección],MATCH(ROW(Leccion[SubSección]),ROW(Leccion[SubSección]))),ROW(EB23))),"")</f>
        <v/>
      </c>
      <c r="ED24" s="51" t="str">
        <f t="array" aca="1" ref="ED24" ca="1">IFERROR(INDEX(Leccion[selectorLeccion],SMALL(IF(ED$1=Leccion[SubSección],MATCH(ROW(Leccion[SubSección]),ROW(Leccion[SubSección]))),ROW(EC23))),"")</f>
        <v/>
      </c>
      <c r="EE24" s="51" t="str">
        <f t="array" aca="1" ref="EE24" ca="1">IFERROR(INDEX(Leccion[selectorLeccion],SMALL(IF(EE$1=Leccion[SubSección],MATCH(ROW(Leccion[SubSección]),ROW(Leccion[SubSección]))),ROW(ED23))),"")</f>
        <v/>
      </c>
      <c r="EF24" s="51" t="str">
        <f t="array" aca="1" ref="EF24" ca="1">IFERROR(INDEX(Leccion[selectorLeccion],SMALL(IF(EF$1=Leccion[SubSección],MATCH(ROW(Leccion[SubSección]),ROW(Leccion[SubSección]))),ROW(EE23))),"")</f>
        <v/>
      </c>
      <c r="EG24" s="51" t="str">
        <f t="array" aca="1" ref="EG24" ca="1">IFERROR(INDEX(Leccion[selectorLeccion],SMALL(IF(EG$1=Leccion[SubSección],MATCH(ROW(Leccion[SubSección]),ROW(Leccion[SubSección]))),ROW(EF23))),"")</f>
        <v/>
      </c>
      <c r="EH24" s="51" t="str">
        <f t="array" aca="1" ref="EH24" ca="1">IFERROR(INDEX(Leccion[selectorLeccion],SMALL(IF(EH$1=Leccion[SubSección],MATCH(ROW(Leccion[SubSección]),ROW(Leccion[SubSección]))),ROW(EG23))),"")</f>
        <v/>
      </c>
      <c r="EI24" s="51" t="str">
        <f t="array" aca="1" ref="EI24" ca="1">IFERROR(INDEX(Leccion[selectorLeccion],SMALL(IF(EI$1=Leccion[SubSección],MATCH(ROW(Leccion[SubSección]),ROW(Leccion[SubSección]))),ROW(EH23))),"")</f>
        <v/>
      </c>
      <c r="EJ24" s="51" t="str">
        <f t="array" aca="1" ref="EJ24" ca="1">IFERROR(INDEX(Leccion[selectorLeccion],SMALL(IF(EJ$1=Leccion[SubSección],MATCH(ROW(Leccion[SubSección]),ROW(Leccion[SubSección]))),ROW(EI23))),"")</f>
        <v/>
      </c>
      <c r="EK24" s="51" t="str">
        <f t="array" aca="1" ref="EK24" ca="1">IFERROR(INDEX(Leccion[selectorLeccion],SMALL(IF(EK$1=Leccion[SubSección],MATCH(ROW(Leccion[SubSección]),ROW(Leccion[SubSección]))),ROW(EJ23))),"")</f>
        <v/>
      </c>
      <c r="EL24" s="51" t="str">
        <f t="array" aca="1" ref="EL24" ca="1">IFERROR(INDEX(Leccion[selectorLeccion],SMALL(IF(EL$1=Leccion[SubSección],MATCH(ROW(Leccion[SubSección]),ROW(Leccion[SubSección]))),ROW(EK23))),"")</f>
        <v/>
      </c>
      <c r="EM24" s="51" t="str">
        <f t="array" aca="1" ref="EM24" ca="1">IFERROR(INDEX(Leccion[selectorLeccion],SMALL(IF(EM$1=Leccion[SubSección],MATCH(ROW(Leccion[SubSección]),ROW(Leccion[SubSección]))),ROW(EL23))),"")</f>
        <v/>
      </c>
      <c r="EN24" s="51" t="str">
        <f t="array" aca="1" ref="EN24" ca="1">IFERROR(INDEX(Leccion[selectorLeccion],SMALL(IF(EN$1=Leccion[SubSección],MATCH(ROW(Leccion[SubSección]),ROW(Leccion[SubSección]))),ROW(EM23))),"")</f>
        <v/>
      </c>
      <c r="EO24" s="51" t="str">
        <f t="array" aca="1" ref="EO24" ca="1">IFERROR(INDEX(Leccion[selectorLeccion],SMALL(IF(EO$1=Leccion[SubSección],MATCH(ROW(Leccion[SubSección]),ROW(Leccion[SubSección]))),ROW(EN23))),"")</f>
        <v/>
      </c>
      <c r="EP24" s="51" t="str">
        <f t="array" aca="1" ref="EP24" ca="1">IFERROR(INDEX(Leccion[selectorLeccion],SMALL(IF(EP$1=Leccion[SubSección],MATCH(ROW(Leccion[SubSección]),ROW(Leccion[SubSección]))),ROW(EO23))),"")</f>
        <v/>
      </c>
      <c r="EQ24" s="51" t="str">
        <f t="array" aca="1" ref="EQ24" ca="1">IFERROR(INDEX(Leccion[selectorLeccion],SMALL(IF(EQ$1=Leccion[SubSección],MATCH(ROW(Leccion[SubSección]),ROW(Leccion[SubSección]))),ROW(EP23))),"")</f>
        <v/>
      </c>
      <c r="ER24" s="51" t="str">
        <f t="array" aca="1" ref="ER24" ca="1">IFERROR(INDEX(Leccion[selectorLeccion],SMALL(IF(ER$1=Leccion[SubSección],MATCH(ROW(Leccion[SubSección]),ROW(Leccion[SubSección]))),ROW(EQ23))),"")</f>
        <v/>
      </c>
      <c r="ES24" s="51" t="str">
        <f t="array" aca="1" ref="ES24" ca="1">IFERROR(INDEX(Leccion[selectorLeccion],SMALL(IF(ES$1=Leccion[SubSección],MATCH(ROW(Leccion[SubSección]),ROW(Leccion[SubSección]))),ROW(ER23))),"")</f>
        <v/>
      </c>
      <c r="ET24" s="51" t="str">
        <f t="array" aca="1" ref="ET24" ca="1">IFERROR(INDEX(Leccion[selectorLeccion],SMALL(IF(ET$1=Leccion[SubSección],MATCH(ROW(Leccion[SubSección]),ROW(Leccion[SubSección]))),ROW(ES23))),"")</f>
        <v/>
      </c>
      <c r="EU24" s="51" t="str">
        <f t="array" aca="1" ref="EU24" ca="1">IFERROR(INDEX(Leccion[selectorLeccion],SMALL(IF(EU$1=Leccion[SubSección],MATCH(ROW(Leccion[SubSección]),ROW(Leccion[SubSección]))),ROW(ET23))),"")</f>
        <v/>
      </c>
      <c r="EV24" s="51" t="str">
        <f t="array" aca="1" ref="EV24" ca="1">IFERROR(INDEX(Leccion[selectorLeccion],SMALL(IF(EV$1=Leccion[SubSección],MATCH(ROW(Leccion[SubSección]),ROW(Leccion[SubSección]))),ROW(EU23))),"")</f>
        <v/>
      </c>
      <c r="EW24" s="51" t="str">
        <f t="array" aca="1" ref="EW24" ca="1">IFERROR(INDEX(Leccion[selectorLeccion],SMALL(IF(EW$1=Leccion[SubSección],MATCH(ROW(Leccion[SubSección]),ROW(Leccion[SubSección]))),ROW(EV23))),"")</f>
        <v/>
      </c>
      <c r="EX24" s="51" t="str">
        <f t="array" aca="1" ref="EX24" ca="1">IFERROR(INDEX(Leccion[selectorLeccion],SMALL(IF(EX$1=Leccion[SubSección],MATCH(ROW(Leccion[SubSección]),ROW(Leccion[SubSección]))),ROW(EW23))),"")</f>
        <v/>
      </c>
      <c r="EY24" s="51" t="str">
        <f t="array" aca="1" ref="EY24" ca="1">IFERROR(INDEX(Leccion[selectorLeccion],SMALL(IF(EY$1=Leccion[SubSección],MATCH(ROW(Leccion[SubSección]),ROW(Leccion[SubSección]))),ROW(EX23))),"")</f>
        <v/>
      </c>
      <c r="EZ24" s="51" t="str">
        <f t="array" aca="1" ref="EZ24" ca="1">IFERROR(INDEX(Leccion[selectorLeccion],SMALL(IF(EZ$1=Leccion[SubSección],MATCH(ROW(Leccion[SubSección]),ROW(Leccion[SubSección]))),ROW(EY23))),"")</f>
        <v/>
      </c>
    </row>
    <row r="25" spans="2:156" x14ac:dyDescent="0.3">
      <c r="B25" s="51" t="str">
        <f t="array" aca="1" ref="B25" ca="1">IFERROR(INDEX(Leccion[selectorLeccion],SMALL(IF(B$1=Leccion[SubSección],MATCH(ROW(Leccion[SubSección]),ROW(Leccion[SubSección]))),ROW(A24))),"")</f>
        <v/>
      </c>
      <c r="C25" s="51" t="str">
        <f t="array" aca="1" ref="C25" ca="1">IFERROR(INDEX(Leccion[selectorLeccion],SMALL(IF(C$1=Leccion[SubSección],MATCH(ROW(Leccion[SubSección]),ROW(Leccion[SubSección]))),ROW(B24))),"")</f>
        <v/>
      </c>
      <c r="D25" s="51" t="str">
        <f t="array" aca="1" ref="D25" ca="1">IFERROR(INDEX(Leccion[selectorLeccion],SMALL(IF(D$1=Leccion[SubSección],MATCH(ROW(Leccion[SubSección]),ROW(Leccion[SubSección]))),ROW(C24))),"")</f>
        <v/>
      </c>
      <c r="E25" s="51" t="str">
        <f t="array" aca="1" ref="E25" ca="1">IFERROR(INDEX(Leccion[selectorLeccion],SMALL(IF(E$1=Leccion[SubSección],MATCH(ROW(Leccion[SubSección]),ROW(Leccion[SubSección]))),ROW(D24))),"")</f>
        <v/>
      </c>
      <c r="F25" s="51" t="str">
        <f t="array" aca="1" ref="F25" ca="1">IFERROR(INDEX(Leccion[selectorLeccion],SMALL(IF(F$1=Leccion[SubSección],MATCH(ROW(Leccion[SubSección]),ROW(Leccion[SubSección]))),ROW(E24))),"")</f>
        <v/>
      </c>
      <c r="G25" s="51" t="str">
        <f t="array" aca="1" ref="G25" ca="1">IFERROR(INDEX(Leccion[selectorLeccion],SMALL(IF(G$1=Leccion[SubSección],MATCH(ROW(Leccion[SubSección]),ROW(Leccion[SubSección]))),ROW(F24))),"")</f>
        <v/>
      </c>
      <c r="H25" s="51" t="str">
        <f t="array" aca="1" ref="H25" ca="1">IFERROR(INDEX(Leccion[selectorLeccion],SMALL(IF(H$1=Leccion[SubSección],MATCH(ROW(Leccion[SubSección]),ROW(Leccion[SubSección]))),ROW(G24))),"")</f>
        <v/>
      </c>
      <c r="I25" s="51" t="str">
        <f t="array" aca="1" ref="I25" ca="1">IFERROR(INDEX(Leccion[selectorLeccion],SMALL(IF(I$1=Leccion[SubSección],MATCH(ROW(Leccion[SubSección]),ROW(Leccion[SubSección]))),ROW(H24))),"")</f>
        <v/>
      </c>
      <c r="J25" s="51" t="str">
        <f t="array" aca="1" ref="J25" ca="1">IFERROR(INDEX(Leccion[selectorLeccion],SMALL(IF(J$1=Leccion[SubSección],MATCH(ROW(Leccion[SubSección]),ROW(Leccion[SubSección]))),ROW(I24))),"")</f>
        <v/>
      </c>
      <c r="K25" s="51" t="str">
        <f t="array" aca="1" ref="K25" ca="1">IFERROR(INDEX(Leccion[selectorLeccion],SMALL(IF(K$1=Leccion[SubSección],MATCH(ROW(Leccion[SubSección]),ROW(Leccion[SubSección]))),ROW(J24))),"")</f>
        <v/>
      </c>
      <c r="L25" s="51" t="str">
        <f t="array" aca="1" ref="L25" ca="1">IFERROR(INDEX(Leccion[selectorLeccion],SMALL(IF(L$1=Leccion[SubSección],MATCH(ROW(Leccion[SubSección]),ROW(Leccion[SubSección]))),ROW(K24))),"")</f>
        <v/>
      </c>
      <c r="M25" s="51" t="str">
        <f t="array" aca="1" ref="M25" ca="1">IFERROR(INDEX(Leccion[selectorLeccion],SMALL(IF(M$1=Leccion[SubSección],MATCH(ROW(Leccion[SubSección]),ROW(Leccion[SubSección]))),ROW(L24))),"")</f>
        <v/>
      </c>
      <c r="N25" s="51" t="str">
        <f t="array" aca="1" ref="N25" ca="1">IFERROR(INDEX(Leccion[selectorLeccion],SMALL(IF(N$1=Leccion[SubSección],MATCH(ROW(Leccion[SubSección]),ROW(Leccion[SubSección]))),ROW(M24))),"")</f>
        <v/>
      </c>
      <c r="O25" s="51" t="str">
        <f t="array" aca="1" ref="O25" ca="1">IFERROR(INDEX(Leccion[selectorLeccion],SMALL(IF(O$1=Leccion[SubSección],MATCH(ROW(Leccion[SubSección]),ROW(Leccion[SubSección]))),ROW(N24))),"")</f>
        <v/>
      </c>
      <c r="P25" s="51" t="str">
        <f t="array" aca="1" ref="P25" ca="1">IFERROR(INDEX(Leccion[selectorLeccion],SMALL(IF(P$1=Leccion[SubSección],MATCH(ROW(Leccion[SubSección]),ROW(Leccion[SubSección]))),ROW(O24))),"")</f>
        <v/>
      </c>
      <c r="Q25" s="51" t="str">
        <f t="array" aca="1" ref="Q25" ca="1">IFERROR(INDEX(Leccion[selectorLeccion],SMALL(IF(Q$1=Leccion[SubSección],MATCH(ROW(Leccion[SubSección]),ROW(Leccion[SubSección]))),ROW(P24))),"")</f>
        <v/>
      </c>
      <c r="R25" s="51" t="str">
        <f t="array" aca="1" ref="R25" ca="1">IFERROR(INDEX(Leccion[selectorLeccion],SMALL(IF(R$1=Leccion[SubSección],MATCH(ROW(Leccion[SubSección]),ROW(Leccion[SubSección]))),ROW(Q24))),"")</f>
        <v/>
      </c>
      <c r="S25" s="51" t="str">
        <f t="array" aca="1" ref="S25" ca="1">IFERROR(INDEX(Leccion[selectorLeccion],SMALL(IF(S$1=Leccion[SubSección],MATCH(ROW(Leccion[SubSección]),ROW(Leccion[SubSección]))),ROW(R24))),"")</f>
        <v/>
      </c>
      <c r="T25" s="51" t="str">
        <f t="array" aca="1" ref="T25" ca="1">IFERROR(INDEX(Leccion[selectorLeccion],SMALL(IF(T$1=Leccion[SubSección],MATCH(ROW(Leccion[SubSección]),ROW(Leccion[SubSección]))),ROW(S24))),"")</f>
        <v/>
      </c>
      <c r="U25" s="51" t="str">
        <f t="array" aca="1" ref="U25" ca="1">IFERROR(INDEX(Leccion[selectorLeccion],SMALL(IF(U$1=Leccion[SubSección],MATCH(ROW(Leccion[SubSección]),ROW(Leccion[SubSección]))),ROW(T24))),"")</f>
        <v/>
      </c>
      <c r="V25" s="51" t="str">
        <f t="array" aca="1" ref="V25" ca="1">IFERROR(INDEX(Leccion[selectorLeccion],SMALL(IF(V$1=Leccion[SubSección],MATCH(ROW(Leccion[SubSección]),ROW(Leccion[SubSección]))),ROW(U24))),"")</f>
        <v/>
      </c>
      <c r="W25" s="51" t="str">
        <f t="array" aca="1" ref="W25" ca="1">IFERROR(INDEX(Leccion[selectorLeccion],SMALL(IF(W$1=Leccion[SubSección],MATCH(ROW(Leccion[SubSección]),ROW(Leccion[SubSección]))),ROW(V24))),"")</f>
        <v/>
      </c>
      <c r="X25" s="51" t="str">
        <f t="array" aca="1" ref="X25" ca="1">IFERROR(INDEX(Leccion[selectorLeccion],SMALL(IF(X$1=Leccion[SubSección],MATCH(ROW(Leccion[SubSección]),ROW(Leccion[SubSección]))),ROW(W24))),"")</f>
        <v/>
      </c>
      <c r="Y25" s="51" t="str">
        <f t="array" aca="1" ref="Y25" ca="1">IFERROR(INDEX(Leccion[selectorLeccion],SMALL(IF(Y$1=Leccion[SubSección],MATCH(ROW(Leccion[SubSección]),ROW(Leccion[SubSección]))),ROW(X24))),"")</f>
        <v/>
      </c>
      <c r="Z25" s="51" t="str">
        <f t="array" aca="1" ref="Z25" ca="1">IFERROR(INDEX(Leccion[selectorLeccion],SMALL(IF(Z$1=Leccion[SubSección],MATCH(ROW(Leccion[SubSección]),ROW(Leccion[SubSección]))),ROW(Y24))),"")</f>
        <v/>
      </c>
      <c r="AA25" s="51" t="str">
        <f t="array" aca="1" ref="AA25" ca="1">IFERROR(INDEX(Leccion[selectorLeccion],SMALL(IF(AA$1=Leccion[SubSección],MATCH(ROW(Leccion[SubSección]),ROW(Leccion[SubSección]))),ROW(Z24))),"")</f>
        <v/>
      </c>
      <c r="AB25" s="51" t="str">
        <f t="array" aca="1" ref="AB25" ca="1">IFERROR(INDEX(Leccion[selectorLeccion],SMALL(IF(AB$1=Leccion[SubSección],MATCH(ROW(Leccion[SubSección]),ROW(Leccion[SubSección]))),ROW(AA24))),"")</f>
        <v/>
      </c>
      <c r="AC25" s="51" t="str">
        <f t="array" aca="1" ref="AC25" ca="1">IFERROR(INDEX(Leccion[selectorLeccion],SMALL(IF(AC$1=Leccion[SubSección],MATCH(ROW(Leccion[SubSección]),ROW(Leccion[SubSección]))),ROW(AB24))),"")</f>
        <v/>
      </c>
      <c r="AD25" s="51" t="str">
        <f t="array" aca="1" ref="AD25" ca="1">IFERROR(INDEX(Leccion[selectorLeccion],SMALL(IF(AD$1=Leccion[SubSección],MATCH(ROW(Leccion[SubSección]),ROW(Leccion[SubSección]))),ROW(AC24))),"")</f>
        <v/>
      </c>
      <c r="AE25" s="51" t="str">
        <f t="array" aca="1" ref="AE25" ca="1">IFERROR(INDEX(Leccion[selectorLeccion],SMALL(IF(AE$1=Leccion[SubSección],MATCH(ROW(Leccion[SubSección]),ROW(Leccion[SubSección]))),ROW(AD24))),"")</f>
        <v/>
      </c>
      <c r="AF25" s="51" t="str">
        <f t="array" aca="1" ref="AF25" ca="1">IFERROR(INDEX(Leccion[selectorLeccion],SMALL(IF(AF$1=Leccion[SubSección],MATCH(ROW(Leccion[SubSección]),ROW(Leccion[SubSección]))),ROW(AE24))),"")</f>
        <v/>
      </c>
      <c r="AG25" s="51" t="str">
        <f t="array" aca="1" ref="AG25" ca="1">IFERROR(INDEX(Leccion[selectorLeccion],SMALL(IF(AG$1=Leccion[SubSección],MATCH(ROW(Leccion[SubSección]),ROW(Leccion[SubSección]))),ROW(AF24))),"")</f>
        <v/>
      </c>
      <c r="AH25" s="51" t="str">
        <f t="array" aca="1" ref="AH25" ca="1">IFERROR(INDEX(Leccion[selectorLeccion],SMALL(IF(AH$1=Leccion[SubSección],MATCH(ROW(Leccion[SubSección]),ROW(Leccion[SubSección]))),ROW(AG24))),"")</f>
        <v/>
      </c>
      <c r="AI25" s="51" t="str">
        <f t="array" aca="1" ref="AI25" ca="1">IFERROR(INDEX(Leccion[selectorLeccion],SMALL(IF(AI$1=Leccion[SubSección],MATCH(ROW(Leccion[SubSección]),ROW(Leccion[SubSección]))),ROW(AH24))),"")</f>
        <v/>
      </c>
      <c r="AJ25" s="51" t="str">
        <f t="array" aca="1" ref="AJ25" ca="1">IFERROR(INDEX(Leccion[selectorLeccion],SMALL(IF(AJ$1=Leccion[SubSección],MATCH(ROW(Leccion[SubSección]),ROW(Leccion[SubSección]))),ROW(AI24))),"")</f>
        <v/>
      </c>
      <c r="AK25" s="51" t="str">
        <f t="array" aca="1" ref="AK25" ca="1">IFERROR(INDEX(Leccion[selectorLeccion],SMALL(IF(AK$1=Leccion[SubSección],MATCH(ROW(Leccion[SubSección]),ROW(Leccion[SubSección]))),ROW(AJ24))),"")</f>
        <v/>
      </c>
      <c r="AL25" s="51" t="str">
        <f t="array" aca="1" ref="AL25" ca="1">IFERROR(INDEX(Leccion[selectorLeccion],SMALL(IF(AL$1=Leccion[SubSección],MATCH(ROW(Leccion[SubSección]),ROW(Leccion[SubSección]))),ROW(AK24))),"")</f>
        <v/>
      </c>
      <c r="AM25" s="51" t="str">
        <f t="array" aca="1" ref="AM25" ca="1">IFERROR(INDEX(Leccion[selectorLeccion],SMALL(IF(AM$1=Leccion[SubSección],MATCH(ROW(Leccion[SubSección]),ROW(Leccion[SubSección]))),ROW(AL24))),"")</f>
        <v/>
      </c>
      <c r="AN25" s="51" t="str">
        <f t="array" aca="1" ref="AN25" ca="1">IFERROR(INDEX(Leccion[selectorLeccion],SMALL(IF(AN$1=Leccion[SubSección],MATCH(ROW(Leccion[SubSección]),ROW(Leccion[SubSección]))),ROW(AM24))),"")</f>
        <v/>
      </c>
      <c r="AO25" s="51" t="str">
        <f t="array" aca="1" ref="AO25" ca="1">IFERROR(INDEX(Leccion[selectorLeccion],SMALL(IF(AO$1=Leccion[SubSección],MATCH(ROW(Leccion[SubSección]),ROW(Leccion[SubSección]))),ROW(AN24))),"")</f>
        <v/>
      </c>
      <c r="AP25" s="51" t="str">
        <f t="array" aca="1" ref="AP25" ca="1">IFERROR(INDEX(Leccion[selectorLeccion],SMALL(IF(AP$1=Leccion[SubSección],MATCH(ROW(Leccion[SubSección]),ROW(Leccion[SubSección]))),ROW(AO24))),"")</f>
        <v/>
      </c>
      <c r="AQ25" s="51" t="str">
        <f t="array" aca="1" ref="AQ25" ca="1">IFERROR(INDEX(Leccion[selectorLeccion],SMALL(IF(AQ$1=Leccion[SubSección],MATCH(ROW(Leccion[SubSección]),ROW(Leccion[SubSección]))),ROW(AP24))),"")</f>
        <v/>
      </c>
      <c r="AR25" s="51" t="str">
        <f t="array" aca="1" ref="AR25" ca="1">IFERROR(INDEX(Leccion[selectorLeccion],SMALL(IF(AR$1=Leccion[SubSección],MATCH(ROW(Leccion[SubSección]),ROW(Leccion[SubSección]))),ROW(AQ24))),"")</f>
        <v/>
      </c>
      <c r="AS25" s="51" t="str">
        <f t="array" aca="1" ref="AS25" ca="1">IFERROR(INDEX(Leccion[selectorLeccion],SMALL(IF(AS$1=Leccion[SubSección],MATCH(ROW(Leccion[SubSección]),ROW(Leccion[SubSección]))),ROW(AR24))),"")</f>
        <v/>
      </c>
      <c r="AT25" s="51" t="str">
        <f t="array" aca="1" ref="AT25" ca="1">IFERROR(INDEX(Leccion[selectorLeccion],SMALL(IF(AT$1=Leccion[SubSección],MATCH(ROW(Leccion[SubSección]),ROW(Leccion[SubSección]))),ROW(AS24))),"")</f>
        <v/>
      </c>
      <c r="AU25" s="51" t="str">
        <f t="array" aca="1" ref="AU25" ca="1">IFERROR(INDEX(Leccion[selectorLeccion],SMALL(IF(AU$1=Leccion[SubSección],MATCH(ROW(Leccion[SubSección]),ROW(Leccion[SubSección]))),ROW(AT24))),"")</f>
        <v/>
      </c>
      <c r="AV25" s="51" t="str">
        <f t="array" aca="1" ref="AV25" ca="1">IFERROR(INDEX(Leccion[selectorLeccion],SMALL(IF(AV$1=Leccion[SubSección],MATCH(ROW(Leccion[SubSección]),ROW(Leccion[SubSección]))),ROW(AU24))),"")</f>
        <v/>
      </c>
      <c r="AW25" s="51" t="str">
        <f t="array" aca="1" ref="AW25" ca="1">IFERROR(INDEX(Leccion[selectorLeccion],SMALL(IF(AW$1=Leccion[SubSección],MATCH(ROW(Leccion[SubSección]),ROW(Leccion[SubSección]))),ROW(AV24))),"")</f>
        <v/>
      </c>
      <c r="AX25" s="51" t="str">
        <f t="array" aca="1" ref="AX25" ca="1">IFERROR(INDEX(Leccion[selectorLeccion],SMALL(IF(AX$1=Leccion[SubSección],MATCH(ROW(Leccion[SubSección]),ROW(Leccion[SubSección]))),ROW(AW24))),"")</f>
        <v/>
      </c>
      <c r="AY25" s="51" t="str">
        <f t="array" aca="1" ref="AY25" ca="1">IFERROR(INDEX(Leccion[selectorLeccion],SMALL(IF(AY$1=Leccion[SubSección],MATCH(ROW(Leccion[SubSección]),ROW(Leccion[SubSección]))),ROW(AX24))),"")</f>
        <v/>
      </c>
      <c r="AZ25" s="51" t="str">
        <f t="array" aca="1" ref="AZ25" ca="1">IFERROR(INDEX(Leccion[selectorLeccion],SMALL(IF(AZ$1=Leccion[SubSección],MATCH(ROW(Leccion[SubSección]),ROW(Leccion[SubSección]))),ROW(AY24))),"")</f>
        <v/>
      </c>
      <c r="BA25" s="51" t="str">
        <f t="array" aca="1" ref="BA25" ca="1">IFERROR(INDEX(Leccion[selectorLeccion],SMALL(IF(BA$1=Leccion[SubSección],MATCH(ROW(Leccion[SubSección]),ROW(Leccion[SubSección]))),ROW(AZ24))),"")</f>
        <v/>
      </c>
      <c r="BB25" s="51" t="str">
        <f t="array" aca="1" ref="BB25" ca="1">IFERROR(INDEX(Leccion[selectorLeccion],SMALL(IF(BB$1=Leccion[SubSección],MATCH(ROW(Leccion[SubSección]),ROW(Leccion[SubSección]))),ROW(BA24))),"")</f>
        <v/>
      </c>
      <c r="BC25" s="51" t="str">
        <f t="array" aca="1" ref="BC25" ca="1">IFERROR(INDEX(Leccion[selectorLeccion],SMALL(IF(BC$1=Leccion[SubSección],MATCH(ROW(Leccion[SubSección]),ROW(Leccion[SubSección]))),ROW(BB24))),"")</f>
        <v/>
      </c>
      <c r="BD25" s="51" t="str">
        <f t="array" aca="1" ref="BD25" ca="1">IFERROR(INDEX(Leccion[selectorLeccion],SMALL(IF(BD$1=Leccion[SubSección],MATCH(ROW(Leccion[SubSección]),ROW(Leccion[SubSección]))),ROW(BC24))),"")</f>
        <v/>
      </c>
      <c r="BE25" s="51" t="str">
        <f t="array" aca="1" ref="BE25" ca="1">IFERROR(INDEX(Leccion[selectorLeccion],SMALL(IF(BE$1=Leccion[SubSección],MATCH(ROW(Leccion[SubSección]),ROW(Leccion[SubSección]))),ROW(BD24))),"")</f>
        <v/>
      </c>
      <c r="BF25" s="51" t="str">
        <f t="array" aca="1" ref="BF25" ca="1">IFERROR(INDEX(Leccion[selectorLeccion],SMALL(IF(BF$1=Leccion[SubSección],MATCH(ROW(Leccion[SubSección]),ROW(Leccion[SubSección]))),ROW(BE24))),"")</f>
        <v/>
      </c>
      <c r="BG25" s="51" t="str">
        <f t="array" aca="1" ref="BG25" ca="1">IFERROR(INDEX(Leccion[selectorLeccion],SMALL(IF(BG$1=Leccion[SubSección],MATCH(ROW(Leccion[SubSección]),ROW(Leccion[SubSección]))),ROW(BF24))),"")</f>
        <v/>
      </c>
      <c r="BH25" s="51" t="str">
        <f t="array" aca="1" ref="BH25" ca="1">IFERROR(INDEX(Leccion[selectorLeccion],SMALL(IF(BH$1=Leccion[SubSección],MATCH(ROW(Leccion[SubSección]),ROW(Leccion[SubSección]))),ROW(BG24))),"")</f>
        <v/>
      </c>
      <c r="BI25" s="51" t="str">
        <f t="array" aca="1" ref="BI25" ca="1">IFERROR(INDEX(Leccion[selectorLeccion],SMALL(IF(BI$1=Leccion[SubSección],MATCH(ROW(Leccion[SubSección]),ROW(Leccion[SubSección]))),ROW(BH24))),"")</f>
        <v/>
      </c>
      <c r="BJ25" s="51" t="str">
        <f t="array" aca="1" ref="BJ25" ca="1">IFERROR(INDEX(Leccion[selectorLeccion],SMALL(IF(BJ$1=Leccion[SubSección],MATCH(ROW(Leccion[SubSección]),ROW(Leccion[SubSección]))),ROW(BI24))),"")</f>
        <v/>
      </c>
      <c r="BK25" s="51" t="str">
        <f t="array" aca="1" ref="BK25" ca="1">IFERROR(INDEX(Leccion[selectorLeccion],SMALL(IF(BK$1=Leccion[SubSección],MATCH(ROW(Leccion[SubSección]),ROW(Leccion[SubSección]))),ROW(BJ24))),"")</f>
        <v/>
      </c>
      <c r="BL25" s="51" t="str">
        <f t="array" aca="1" ref="BL25" ca="1">IFERROR(INDEX(Leccion[selectorLeccion],SMALL(IF(BL$1=Leccion[SubSección],MATCH(ROW(Leccion[SubSección]),ROW(Leccion[SubSección]))),ROW(BK24))),"")</f>
        <v/>
      </c>
      <c r="BM25" s="51" t="str">
        <f t="array" aca="1" ref="BM25" ca="1">IFERROR(INDEX(Leccion[selectorLeccion],SMALL(IF(BM$1=Leccion[SubSección],MATCH(ROW(Leccion[SubSección]),ROW(Leccion[SubSección]))),ROW(BL24))),"")</f>
        <v/>
      </c>
      <c r="BN25" s="51" t="str">
        <f t="array" aca="1" ref="BN25" ca="1">IFERROR(INDEX(Leccion[selectorLeccion],SMALL(IF(BN$1=Leccion[SubSección],MATCH(ROW(Leccion[SubSección]),ROW(Leccion[SubSección]))),ROW(BM24))),"")</f>
        <v/>
      </c>
      <c r="BO25" s="51" t="str">
        <f t="array" aca="1" ref="BO25" ca="1">IFERROR(INDEX(Leccion[selectorLeccion],SMALL(IF(BO$1=Leccion[SubSección],MATCH(ROW(Leccion[SubSección]),ROW(Leccion[SubSección]))),ROW(BN24))),"")</f>
        <v/>
      </c>
      <c r="BP25" s="51" t="str">
        <f t="array" aca="1" ref="BP25" ca="1">IFERROR(INDEX(Leccion[selectorLeccion],SMALL(IF(BP$1=Leccion[SubSección],MATCH(ROW(Leccion[SubSección]),ROW(Leccion[SubSección]))),ROW(BO24))),"")</f>
        <v/>
      </c>
      <c r="BQ25" s="51" t="str">
        <f t="array" aca="1" ref="BQ25" ca="1">IFERROR(INDEX(Leccion[selectorLeccion],SMALL(IF(BQ$1=Leccion[SubSección],MATCH(ROW(Leccion[SubSección]),ROW(Leccion[SubSección]))),ROW(BP24))),"")</f>
        <v/>
      </c>
      <c r="BR25" s="51" t="str">
        <f t="array" aca="1" ref="BR25" ca="1">IFERROR(INDEX(Leccion[selectorLeccion],SMALL(IF(BR$1=Leccion[SubSección],MATCH(ROW(Leccion[SubSección]),ROW(Leccion[SubSección]))),ROW(BQ24))),"")</f>
        <v/>
      </c>
      <c r="BS25" s="51" t="str">
        <f t="array" aca="1" ref="BS25" ca="1">IFERROR(INDEX(Leccion[selectorLeccion],SMALL(IF(BS$1=Leccion[SubSección],MATCH(ROW(Leccion[SubSección]),ROW(Leccion[SubSección]))),ROW(BR24))),"")</f>
        <v/>
      </c>
      <c r="BT25" s="51" t="str">
        <f t="array" aca="1" ref="BT25" ca="1">IFERROR(INDEX(Leccion[selectorLeccion],SMALL(IF(BT$1=Leccion[SubSección],MATCH(ROW(Leccion[SubSección]),ROW(Leccion[SubSección]))),ROW(BS24))),"")</f>
        <v/>
      </c>
      <c r="BU25" s="51" t="str">
        <f t="array" aca="1" ref="BU25" ca="1">IFERROR(INDEX(Leccion[selectorLeccion],SMALL(IF(BU$1=Leccion[SubSección],MATCH(ROW(Leccion[SubSección]),ROW(Leccion[SubSección]))),ROW(BT24))),"")</f>
        <v/>
      </c>
      <c r="BV25" s="51" t="str">
        <f t="array" aca="1" ref="BV25" ca="1">IFERROR(INDEX(Leccion[selectorLeccion],SMALL(IF(BV$1=Leccion[SubSección],MATCH(ROW(Leccion[SubSección]),ROW(Leccion[SubSección]))),ROW(BU24))),"")</f>
        <v/>
      </c>
      <c r="BW25" s="51" t="str">
        <f t="array" aca="1" ref="BW25" ca="1">IFERROR(INDEX(Leccion[selectorLeccion],SMALL(IF(BW$1=Leccion[SubSección],MATCH(ROW(Leccion[SubSección]),ROW(Leccion[SubSección]))),ROW(BV24))),"")</f>
        <v/>
      </c>
      <c r="BX25" s="51" t="str">
        <f t="array" aca="1" ref="BX25" ca="1">IFERROR(INDEX(Leccion[selectorLeccion],SMALL(IF(BX$1=Leccion[SubSección],MATCH(ROW(Leccion[SubSección]),ROW(Leccion[SubSección]))),ROW(BW24))),"")</f>
        <v/>
      </c>
      <c r="BY25" s="51" t="str">
        <f t="array" aca="1" ref="BY25" ca="1">IFERROR(INDEX(Leccion[selectorLeccion],SMALL(IF(BY$1=Leccion[SubSección],MATCH(ROW(Leccion[SubSección]),ROW(Leccion[SubSección]))),ROW(BX24))),"")</f>
        <v/>
      </c>
      <c r="BZ25" s="51" t="str">
        <f t="array" aca="1" ref="BZ25" ca="1">IFERROR(INDEX(Leccion[selectorLeccion],SMALL(IF(BZ$1=Leccion[SubSección],MATCH(ROW(Leccion[SubSección]),ROW(Leccion[SubSección]))),ROW(BY24))),"")</f>
        <v/>
      </c>
      <c r="CA25" s="51" t="str">
        <f t="array" aca="1" ref="CA25" ca="1">IFERROR(INDEX(Leccion[selectorLeccion],SMALL(IF(CA$1=Leccion[SubSección],MATCH(ROW(Leccion[SubSección]),ROW(Leccion[SubSección]))),ROW(BZ24))),"")</f>
        <v/>
      </c>
      <c r="CB25" s="51" t="str">
        <f t="array" aca="1" ref="CB25" ca="1">IFERROR(INDEX(Leccion[selectorLeccion],SMALL(IF(CB$1=Leccion[SubSección],MATCH(ROW(Leccion[SubSección]),ROW(Leccion[SubSección]))),ROW(CA24))),"")</f>
        <v/>
      </c>
      <c r="CC25" s="51" t="str">
        <f t="array" aca="1" ref="CC25" ca="1">IFERROR(INDEX(Leccion[selectorLeccion],SMALL(IF(CC$1=Leccion[SubSección],MATCH(ROW(Leccion[SubSección]),ROW(Leccion[SubSección]))),ROW(CB24))),"")</f>
        <v/>
      </c>
      <c r="CD25" s="51" t="str">
        <f t="array" aca="1" ref="CD25" ca="1">IFERROR(INDEX(Leccion[selectorLeccion],SMALL(IF(CD$1=Leccion[SubSección],MATCH(ROW(Leccion[SubSección]),ROW(Leccion[SubSección]))),ROW(CC24))),"")</f>
        <v/>
      </c>
      <c r="CE25" s="51" t="str">
        <f t="array" aca="1" ref="CE25" ca="1">IFERROR(INDEX(Leccion[selectorLeccion],SMALL(IF(CE$1=Leccion[SubSección],MATCH(ROW(Leccion[SubSección]),ROW(Leccion[SubSección]))),ROW(CD24))),"")</f>
        <v/>
      </c>
      <c r="CF25" s="51" t="str">
        <f t="array" aca="1" ref="CF25" ca="1">IFERROR(INDEX(Leccion[selectorLeccion],SMALL(IF(CF$1=Leccion[SubSección],MATCH(ROW(Leccion[SubSección]),ROW(Leccion[SubSección]))),ROW(CE24))),"")</f>
        <v/>
      </c>
      <c r="CG25" s="51" t="str">
        <f t="array" aca="1" ref="CG25" ca="1">IFERROR(INDEX(Leccion[selectorLeccion],SMALL(IF(CG$1=Leccion[SubSección],MATCH(ROW(Leccion[SubSección]),ROW(Leccion[SubSección]))),ROW(CF24))),"")</f>
        <v/>
      </c>
      <c r="CH25" s="51" t="str">
        <f t="array" aca="1" ref="CH25" ca="1">IFERROR(INDEX(Leccion[selectorLeccion],SMALL(IF(CH$1=Leccion[SubSección],MATCH(ROW(Leccion[SubSección]),ROW(Leccion[SubSección]))),ROW(CG24))),"")</f>
        <v/>
      </c>
      <c r="CI25" s="51" t="str">
        <f t="array" aca="1" ref="CI25" ca="1">IFERROR(INDEX(Leccion[selectorLeccion],SMALL(IF(CI$1=Leccion[SubSección],MATCH(ROW(Leccion[SubSección]),ROW(Leccion[SubSección]))),ROW(CH24))),"")</f>
        <v/>
      </c>
      <c r="CJ25" s="51" t="str">
        <f t="array" aca="1" ref="CJ25" ca="1">IFERROR(INDEX(Leccion[selectorLeccion],SMALL(IF(CJ$1=Leccion[SubSección],MATCH(ROW(Leccion[SubSección]),ROW(Leccion[SubSección]))),ROW(CI24))),"")</f>
        <v/>
      </c>
      <c r="CK25" s="51" t="str">
        <f t="array" aca="1" ref="CK25" ca="1">IFERROR(INDEX(Leccion[selectorLeccion],SMALL(IF(CK$1=Leccion[SubSección],MATCH(ROW(Leccion[SubSección]),ROW(Leccion[SubSección]))),ROW(CJ24))),"")</f>
        <v/>
      </c>
      <c r="CL25" s="51" t="str">
        <f t="array" aca="1" ref="CL25" ca="1">IFERROR(INDEX(Leccion[selectorLeccion],SMALL(IF(CL$1=Leccion[SubSección],MATCH(ROW(Leccion[SubSección]),ROW(Leccion[SubSección]))),ROW(CK24))),"")</f>
        <v/>
      </c>
      <c r="CM25" s="51" t="str">
        <f t="array" aca="1" ref="CM25" ca="1">IFERROR(INDEX(Leccion[selectorLeccion],SMALL(IF(CM$1=Leccion[SubSección],MATCH(ROW(Leccion[SubSección]),ROW(Leccion[SubSección]))),ROW(CL24))),"")</f>
        <v/>
      </c>
      <c r="CN25" s="51" t="str">
        <f t="array" aca="1" ref="CN25" ca="1">IFERROR(INDEX(Leccion[selectorLeccion],SMALL(IF(CN$1=Leccion[SubSección],MATCH(ROW(Leccion[SubSección]),ROW(Leccion[SubSección]))),ROW(CM24))),"")</f>
        <v/>
      </c>
      <c r="CO25" s="51" t="str">
        <f t="array" aca="1" ref="CO25" ca="1">IFERROR(INDEX(Leccion[selectorLeccion],SMALL(IF(CO$1=Leccion[SubSección],MATCH(ROW(Leccion[SubSección]),ROW(Leccion[SubSección]))),ROW(CN24))),"")</f>
        <v/>
      </c>
      <c r="CP25" s="51" t="str">
        <f t="array" aca="1" ref="CP25" ca="1">IFERROR(INDEX(Leccion[selectorLeccion],SMALL(IF(CP$1=Leccion[SubSección],MATCH(ROW(Leccion[SubSección]),ROW(Leccion[SubSección]))),ROW(CO24))),"")</f>
        <v/>
      </c>
      <c r="CQ25" s="51" t="str">
        <f t="array" aca="1" ref="CQ25" ca="1">IFERROR(INDEX(Leccion[selectorLeccion],SMALL(IF(CQ$1=Leccion[SubSección],MATCH(ROW(Leccion[SubSección]),ROW(Leccion[SubSección]))),ROW(CP24))),"")</f>
        <v/>
      </c>
      <c r="CR25" s="51" t="str">
        <f t="array" aca="1" ref="CR25" ca="1">IFERROR(INDEX(Leccion[selectorLeccion],SMALL(IF(CR$1=Leccion[SubSección],MATCH(ROW(Leccion[SubSección]),ROW(Leccion[SubSección]))),ROW(CQ24))),"")</f>
        <v/>
      </c>
      <c r="CS25" s="51" t="str">
        <f t="array" aca="1" ref="CS25" ca="1">IFERROR(INDEX(Leccion[selectorLeccion],SMALL(IF(CS$1=Leccion[SubSección],MATCH(ROW(Leccion[SubSección]),ROW(Leccion[SubSección]))),ROW(CR24))),"")</f>
        <v/>
      </c>
      <c r="CT25" s="51" t="str">
        <f t="array" aca="1" ref="CT25" ca="1">IFERROR(INDEX(Leccion[selectorLeccion],SMALL(IF(CT$1=Leccion[SubSección],MATCH(ROW(Leccion[SubSección]),ROW(Leccion[SubSección]))),ROW(CS24))),"")</f>
        <v/>
      </c>
      <c r="CU25" s="51" t="str">
        <f t="array" aca="1" ref="CU25" ca="1">IFERROR(INDEX(Leccion[selectorLeccion],SMALL(IF(CU$1=Leccion[SubSección],MATCH(ROW(Leccion[SubSección]),ROW(Leccion[SubSección]))),ROW(CT24))),"")</f>
        <v/>
      </c>
      <c r="CV25" s="51" t="str">
        <f t="array" aca="1" ref="CV25" ca="1">IFERROR(INDEX(Leccion[selectorLeccion],SMALL(IF(CV$1=Leccion[SubSección],MATCH(ROW(Leccion[SubSección]),ROW(Leccion[SubSección]))),ROW(CU24))),"")</f>
        <v/>
      </c>
      <c r="CW25" s="51" t="str">
        <f t="array" aca="1" ref="CW25" ca="1">IFERROR(INDEX(Leccion[selectorLeccion],SMALL(IF(CW$1=Leccion[SubSección],MATCH(ROW(Leccion[SubSección]),ROW(Leccion[SubSección]))),ROW(CV24))),"")</f>
        <v/>
      </c>
      <c r="CX25" s="51" t="str">
        <f t="array" aca="1" ref="CX25" ca="1">IFERROR(INDEX(Leccion[selectorLeccion],SMALL(IF(CX$1=Leccion[SubSección],MATCH(ROW(Leccion[SubSección]),ROW(Leccion[SubSección]))),ROW(CW24))),"")</f>
        <v/>
      </c>
      <c r="CY25" s="51" t="str">
        <f t="array" aca="1" ref="CY25" ca="1">IFERROR(INDEX(Leccion[selectorLeccion],SMALL(IF(CY$1=Leccion[SubSección],MATCH(ROW(Leccion[SubSección]),ROW(Leccion[SubSección]))),ROW(CX24))),"")</f>
        <v/>
      </c>
      <c r="CZ25" s="51" t="str">
        <f t="array" aca="1" ref="CZ25" ca="1">IFERROR(INDEX(Leccion[selectorLeccion],SMALL(IF(CZ$1=Leccion[SubSección],MATCH(ROW(Leccion[SubSección]),ROW(Leccion[SubSección]))),ROW(CY24))),"")</f>
        <v/>
      </c>
      <c r="DA25" s="51" t="str">
        <f t="array" aca="1" ref="DA25" ca="1">IFERROR(INDEX(Leccion[selectorLeccion],SMALL(IF(DA$1=Leccion[SubSección],MATCH(ROW(Leccion[SubSección]),ROW(Leccion[SubSección]))),ROW(CZ24))),"")</f>
        <v/>
      </c>
      <c r="DB25" s="51" t="str">
        <f t="array" aca="1" ref="DB25" ca="1">IFERROR(INDEX(Leccion[selectorLeccion],SMALL(IF(DB$1=Leccion[SubSección],MATCH(ROW(Leccion[SubSección]),ROW(Leccion[SubSección]))),ROW(DA24))),"")</f>
        <v/>
      </c>
      <c r="DC25" s="51" t="str">
        <f t="array" aca="1" ref="DC25" ca="1">IFERROR(INDEX(Leccion[selectorLeccion],SMALL(IF(DC$1=Leccion[SubSección],MATCH(ROW(Leccion[SubSección]),ROW(Leccion[SubSección]))),ROW(DB24))),"")</f>
        <v/>
      </c>
      <c r="DD25" s="51" t="str">
        <f t="array" aca="1" ref="DD25" ca="1">IFERROR(INDEX(Leccion[selectorLeccion],SMALL(IF(DD$1=Leccion[SubSección],MATCH(ROW(Leccion[SubSección]),ROW(Leccion[SubSección]))),ROW(DC24))),"")</f>
        <v/>
      </c>
      <c r="DE25" s="51" t="str">
        <f t="array" aca="1" ref="DE25" ca="1">IFERROR(INDEX(Leccion[selectorLeccion],SMALL(IF(DE$1=Leccion[SubSección],MATCH(ROW(Leccion[SubSección]),ROW(Leccion[SubSección]))),ROW(DD24))),"")</f>
        <v/>
      </c>
      <c r="DF25" s="51" t="str">
        <f t="array" aca="1" ref="DF25" ca="1">IFERROR(INDEX(Leccion[selectorLeccion],SMALL(IF(DF$1=Leccion[SubSección],MATCH(ROW(Leccion[SubSección]),ROW(Leccion[SubSección]))),ROW(DE24))),"")</f>
        <v/>
      </c>
      <c r="DG25" s="51" t="str">
        <f t="array" aca="1" ref="DG25" ca="1">IFERROR(INDEX(Leccion[selectorLeccion],SMALL(IF(DG$1=Leccion[SubSección],MATCH(ROW(Leccion[SubSección]),ROW(Leccion[SubSección]))),ROW(DF24))),"")</f>
        <v/>
      </c>
      <c r="DH25" s="51" t="str">
        <f t="array" aca="1" ref="DH25" ca="1">IFERROR(INDEX(Leccion[selectorLeccion],SMALL(IF(DH$1=Leccion[SubSección],MATCH(ROW(Leccion[SubSección]),ROW(Leccion[SubSección]))),ROW(DG24))),"")</f>
        <v/>
      </c>
      <c r="DI25" s="51" t="str">
        <f t="array" aca="1" ref="DI25" ca="1">IFERROR(INDEX(Leccion[selectorLeccion],SMALL(IF(DI$1=Leccion[SubSección],MATCH(ROW(Leccion[SubSección]),ROW(Leccion[SubSección]))),ROW(DH24))),"")</f>
        <v/>
      </c>
      <c r="DJ25" s="51" t="str">
        <f t="array" aca="1" ref="DJ25" ca="1">IFERROR(INDEX(Leccion[selectorLeccion],SMALL(IF(DJ$1=Leccion[SubSección],MATCH(ROW(Leccion[SubSección]),ROW(Leccion[SubSección]))),ROW(DI24))),"")</f>
        <v/>
      </c>
      <c r="DK25" s="51" t="str">
        <f t="array" aca="1" ref="DK25" ca="1">IFERROR(INDEX(Leccion[selectorLeccion],SMALL(IF(DK$1=Leccion[SubSección],MATCH(ROW(Leccion[SubSección]),ROW(Leccion[SubSección]))),ROW(DJ24))),"")</f>
        <v/>
      </c>
      <c r="DL25" s="51" t="str">
        <f t="array" aca="1" ref="DL25" ca="1">IFERROR(INDEX(Leccion[selectorLeccion],SMALL(IF(DL$1=Leccion[SubSección],MATCH(ROW(Leccion[SubSección]),ROW(Leccion[SubSección]))),ROW(DK24))),"")</f>
        <v/>
      </c>
      <c r="DM25" s="51" t="str">
        <f t="array" aca="1" ref="DM25" ca="1">IFERROR(INDEX(Leccion[selectorLeccion],SMALL(IF(DM$1=Leccion[SubSección],MATCH(ROW(Leccion[SubSección]),ROW(Leccion[SubSección]))),ROW(DL24))),"")</f>
        <v/>
      </c>
      <c r="DN25" s="51" t="str">
        <f t="array" aca="1" ref="DN25" ca="1">IFERROR(INDEX(Leccion[selectorLeccion],SMALL(IF(DN$1=Leccion[SubSección],MATCH(ROW(Leccion[SubSección]),ROW(Leccion[SubSección]))),ROW(DM24))),"")</f>
        <v/>
      </c>
      <c r="DO25" s="51" t="str">
        <f t="array" aca="1" ref="DO25" ca="1">IFERROR(INDEX(Leccion[selectorLeccion],SMALL(IF(DO$1=Leccion[SubSección],MATCH(ROW(Leccion[SubSección]),ROW(Leccion[SubSección]))),ROW(DN24))),"")</f>
        <v/>
      </c>
      <c r="DP25" s="51" t="str">
        <f t="array" aca="1" ref="DP25" ca="1">IFERROR(INDEX(Leccion[selectorLeccion],SMALL(IF(DP$1=Leccion[SubSección],MATCH(ROW(Leccion[SubSección]),ROW(Leccion[SubSección]))),ROW(DO24))),"")</f>
        <v/>
      </c>
      <c r="DQ25" s="51" t="str">
        <f t="array" aca="1" ref="DQ25" ca="1">IFERROR(INDEX(Leccion[selectorLeccion],SMALL(IF(DQ$1=Leccion[SubSección],MATCH(ROW(Leccion[SubSección]),ROW(Leccion[SubSección]))),ROW(DP24))),"")</f>
        <v/>
      </c>
      <c r="DR25" s="51" t="str">
        <f t="array" aca="1" ref="DR25" ca="1">IFERROR(INDEX(Leccion[selectorLeccion],SMALL(IF(DR$1=Leccion[SubSección],MATCH(ROW(Leccion[SubSección]),ROW(Leccion[SubSección]))),ROW(DQ24))),"")</f>
        <v/>
      </c>
      <c r="DS25" s="51" t="str">
        <f t="array" aca="1" ref="DS25" ca="1">IFERROR(INDEX(Leccion[selectorLeccion],SMALL(IF(DS$1=Leccion[SubSección],MATCH(ROW(Leccion[SubSección]),ROW(Leccion[SubSección]))),ROW(DR24))),"")</f>
        <v/>
      </c>
      <c r="DT25" s="51" t="str">
        <f t="array" aca="1" ref="DT25" ca="1">IFERROR(INDEX(Leccion[selectorLeccion],SMALL(IF(DT$1=Leccion[SubSección],MATCH(ROW(Leccion[SubSección]),ROW(Leccion[SubSección]))),ROW(DS24))),"")</f>
        <v/>
      </c>
      <c r="DU25" s="51" t="str">
        <f t="array" aca="1" ref="DU25" ca="1">IFERROR(INDEX(Leccion[selectorLeccion],SMALL(IF(DU$1=Leccion[SubSección],MATCH(ROW(Leccion[SubSección]),ROW(Leccion[SubSección]))),ROW(DT24))),"")</f>
        <v/>
      </c>
      <c r="DV25" s="51" t="str">
        <f t="array" aca="1" ref="DV25" ca="1">IFERROR(INDEX(Leccion[selectorLeccion],SMALL(IF(DV$1=Leccion[SubSección],MATCH(ROW(Leccion[SubSección]),ROW(Leccion[SubSección]))),ROW(DU24))),"")</f>
        <v/>
      </c>
      <c r="DW25" s="51" t="str">
        <f t="array" aca="1" ref="DW25" ca="1">IFERROR(INDEX(Leccion[selectorLeccion],SMALL(IF(DW$1=Leccion[SubSección],MATCH(ROW(Leccion[SubSección]),ROW(Leccion[SubSección]))),ROW(DV24))),"")</f>
        <v/>
      </c>
      <c r="DX25" s="51" t="str">
        <f t="array" aca="1" ref="DX25" ca="1">IFERROR(INDEX(Leccion[selectorLeccion],SMALL(IF(DX$1=Leccion[SubSección],MATCH(ROW(Leccion[SubSección]),ROW(Leccion[SubSección]))),ROW(DW24))),"")</f>
        <v/>
      </c>
      <c r="DY25" s="51" t="str">
        <f t="array" aca="1" ref="DY25" ca="1">IFERROR(INDEX(Leccion[selectorLeccion],SMALL(IF(DY$1=Leccion[SubSección],MATCH(ROW(Leccion[SubSección]),ROW(Leccion[SubSección]))),ROW(DX24))),"")</f>
        <v/>
      </c>
      <c r="DZ25" s="51" t="str">
        <f t="array" aca="1" ref="DZ25" ca="1">IFERROR(INDEX(Leccion[selectorLeccion],SMALL(IF(DZ$1=Leccion[SubSección],MATCH(ROW(Leccion[SubSección]),ROW(Leccion[SubSección]))),ROW(DY24))),"")</f>
        <v/>
      </c>
      <c r="EA25" s="51" t="str">
        <f t="array" aca="1" ref="EA25" ca="1">IFERROR(INDEX(Leccion[selectorLeccion],SMALL(IF(EA$1=Leccion[SubSección],MATCH(ROW(Leccion[SubSección]),ROW(Leccion[SubSección]))),ROW(DZ24))),"")</f>
        <v/>
      </c>
      <c r="EB25" s="51" t="str">
        <f t="array" aca="1" ref="EB25" ca="1">IFERROR(INDEX(Leccion[selectorLeccion],SMALL(IF(EB$1=Leccion[SubSección],MATCH(ROW(Leccion[SubSección]),ROW(Leccion[SubSección]))),ROW(EA24))),"")</f>
        <v/>
      </c>
      <c r="EC25" s="51" t="str">
        <f t="array" aca="1" ref="EC25" ca="1">IFERROR(INDEX(Leccion[selectorLeccion],SMALL(IF(EC$1=Leccion[SubSección],MATCH(ROW(Leccion[SubSección]),ROW(Leccion[SubSección]))),ROW(EB24))),"")</f>
        <v/>
      </c>
      <c r="ED25" s="51" t="str">
        <f t="array" aca="1" ref="ED25" ca="1">IFERROR(INDEX(Leccion[selectorLeccion],SMALL(IF(ED$1=Leccion[SubSección],MATCH(ROW(Leccion[SubSección]),ROW(Leccion[SubSección]))),ROW(EC24))),"")</f>
        <v/>
      </c>
      <c r="EE25" s="51" t="str">
        <f t="array" aca="1" ref="EE25" ca="1">IFERROR(INDEX(Leccion[selectorLeccion],SMALL(IF(EE$1=Leccion[SubSección],MATCH(ROW(Leccion[SubSección]),ROW(Leccion[SubSección]))),ROW(ED24))),"")</f>
        <v/>
      </c>
      <c r="EF25" s="51" t="str">
        <f t="array" aca="1" ref="EF25" ca="1">IFERROR(INDEX(Leccion[selectorLeccion],SMALL(IF(EF$1=Leccion[SubSección],MATCH(ROW(Leccion[SubSección]),ROW(Leccion[SubSección]))),ROW(EE24))),"")</f>
        <v/>
      </c>
      <c r="EG25" s="51" t="str">
        <f t="array" aca="1" ref="EG25" ca="1">IFERROR(INDEX(Leccion[selectorLeccion],SMALL(IF(EG$1=Leccion[SubSección],MATCH(ROW(Leccion[SubSección]),ROW(Leccion[SubSección]))),ROW(EF24))),"")</f>
        <v/>
      </c>
      <c r="EH25" s="51" t="str">
        <f t="array" aca="1" ref="EH25" ca="1">IFERROR(INDEX(Leccion[selectorLeccion],SMALL(IF(EH$1=Leccion[SubSección],MATCH(ROW(Leccion[SubSección]),ROW(Leccion[SubSección]))),ROW(EG24))),"")</f>
        <v/>
      </c>
      <c r="EI25" s="51" t="str">
        <f t="array" aca="1" ref="EI25" ca="1">IFERROR(INDEX(Leccion[selectorLeccion],SMALL(IF(EI$1=Leccion[SubSección],MATCH(ROW(Leccion[SubSección]),ROW(Leccion[SubSección]))),ROW(EH24))),"")</f>
        <v/>
      </c>
      <c r="EJ25" s="51" t="str">
        <f t="array" aca="1" ref="EJ25" ca="1">IFERROR(INDEX(Leccion[selectorLeccion],SMALL(IF(EJ$1=Leccion[SubSección],MATCH(ROW(Leccion[SubSección]),ROW(Leccion[SubSección]))),ROW(EI24))),"")</f>
        <v/>
      </c>
      <c r="EK25" s="51" t="str">
        <f t="array" aca="1" ref="EK25" ca="1">IFERROR(INDEX(Leccion[selectorLeccion],SMALL(IF(EK$1=Leccion[SubSección],MATCH(ROW(Leccion[SubSección]),ROW(Leccion[SubSección]))),ROW(EJ24))),"")</f>
        <v/>
      </c>
      <c r="EL25" s="51" t="str">
        <f t="array" aca="1" ref="EL25" ca="1">IFERROR(INDEX(Leccion[selectorLeccion],SMALL(IF(EL$1=Leccion[SubSección],MATCH(ROW(Leccion[SubSección]),ROW(Leccion[SubSección]))),ROW(EK24))),"")</f>
        <v/>
      </c>
      <c r="EM25" s="51" t="str">
        <f t="array" aca="1" ref="EM25" ca="1">IFERROR(INDEX(Leccion[selectorLeccion],SMALL(IF(EM$1=Leccion[SubSección],MATCH(ROW(Leccion[SubSección]),ROW(Leccion[SubSección]))),ROW(EL24))),"")</f>
        <v/>
      </c>
      <c r="EN25" s="51" t="str">
        <f t="array" aca="1" ref="EN25" ca="1">IFERROR(INDEX(Leccion[selectorLeccion],SMALL(IF(EN$1=Leccion[SubSección],MATCH(ROW(Leccion[SubSección]),ROW(Leccion[SubSección]))),ROW(EM24))),"")</f>
        <v/>
      </c>
      <c r="EO25" s="51" t="str">
        <f t="array" aca="1" ref="EO25" ca="1">IFERROR(INDEX(Leccion[selectorLeccion],SMALL(IF(EO$1=Leccion[SubSección],MATCH(ROW(Leccion[SubSección]),ROW(Leccion[SubSección]))),ROW(EN24))),"")</f>
        <v/>
      </c>
      <c r="EP25" s="51" t="str">
        <f t="array" aca="1" ref="EP25" ca="1">IFERROR(INDEX(Leccion[selectorLeccion],SMALL(IF(EP$1=Leccion[SubSección],MATCH(ROW(Leccion[SubSección]),ROW(Leccion[SubSección]))),ROW(EO24))),"")</f>
        <v/>
      </c>
      <c r="EQ25" s="51" t="str">
        <f t="array" aca="1" ref="EQ25" ca="1">IFERROR(INDEX(Leccion[selectorLeccion],SMALL(IF(EQ$1=Leccion[SubSección],MATCH(ROW(Leccion[SubSección]),ROW(Leccion[SubSección]))),ROW(EP24))),"")</f>
        <v/>
      </c>
      <c r="ER25" s="51" t="str">
        <f t="array" aca="1" ref="ER25" ca="1">IFERROR(INDEX(Leccion[selectorLeccion],SMALL(IF(ER$1=Leccion[SubSección],MATCH(ROW(Leccion[SubSección]),ROW(Leccion[SubSección]))),ROW(EQ24))),"")</f>
        <v/>
      </c>
      <c r="ES25" s="51" t="str">
        <f t="array" aca="1" ref="ES25" ca="1">IFERROR(INDEX(Leccion[selectorLeccion],SMALL(IF(ES$1=Leccion[SubSección],MATCH(ROW(Leccion[SubSección]),ROW(Leccion[SubSección]))),ROW(ER24))),"")</f>
        <v/>
      </c>
      <c r="ET25" s="51" t="str">
        <f t="array" aca="1" ref="ET25" ca="1">IFERROR(INDEX(Leccion[selectorLeccion],SMALL(IF(ET$1=Leccion[SubSección],MATCH(ROW(Leccion[SubSección]),ROW(Leccion[SubSección]))),ROW(ES24))),"")</f>
        <v/>
      </c>
      <c r="EU25" s="51" t="str">
        <f t="array" aca="1" ref="EU25" ca="1">IFERROR(INDEX(Leccion[selectorLeccion],SMALL(IF(EU$1=Leccion[SubSección],MATCH(ROW(Leccion[SubSección]),ROW(Leccion[SubSección]))),ROW(ET24))),"")</f>
        <v/>
      </c>
      <c r="EV25" s="51" t="str">
        <f t="array" aca="1" ref="EV25" ca="1">IFERROR(INDEX(Leccion[selectorLeccion],SMALL(IF(EV$1=Leccion[SubSección],MATCH(ROW(Leccion[SubSección]),ROW(Leccion[SubSección]))),ROW(EU24))),"")</f>
        <v/>
      </c>
      <c r="EW25" s="51" t="str">
        <f t="array" aca="1" ref="EW25" ca="1">IFERROR(INDEX(Leccion[selectorLeccion],SMALL(IF(EW$1=Leccion[SubSección],MATCH(ROW(Leccion[SubSección]),ROW(Leccion[SubSección]))),ROW(EV24))),"")</f>
        <v/>
      </c>
      <c r="EX25" s="51" t="str">
        <f t="array" aca="1" ref="EX25" ca="1">IFERROR(INDEX(Leccion[selectorLeccion],SMALL(IF(EX$1=Leccion[SubSección],MATCH(ROW(Leccion[SubSección]),ROW(Leccion[SubSección]))),ROW(EW24))),"")</f>
        <v/>
      </c>
      <c r="EY25" s="51" t="str">
        <f t="array" aca="1" ref="EY25" ca="1">IFERROR(INDEX(Leccion[selectorLeccion],SMALL(IF(EY$1=Leccion[SubSección],MATCH(ROW(Leccion[SubSección]),ROW(Leccion[SubSección]))),ROW(EX24))),"")</f>
        <v/>
      </c>
      <c r="EZ25" s="51" t="str">
        <f t="array" aca="1" ref="EZ25" ca="1">IFERROR(INDEX(Leccion[selectorLeccion],SMALL(IF(EZ$1=Leccion[SubSección],MATCH(ROW(Leccion[SubSección]),ROW(Leccion[SubSección]))),ROW(EY24))),"")</f>
        <v/>
      </c>
    </row>
    <row r="26" spans="2:156" x14ac:dyDescent="0.3">
      <c r="B26" s="51" t="str">
        <f t="array" aca="1" ref="B26" ca="1">IFERROR(INDEX(Leccion[selectorLeccion],SMALL(IF(B$1=Leccion[SubSección],MATCH(ROW(Leccion[SubSección]),ROW(Leccion[SubSección]))),ROW(A25))),"")</f>
        <v/>
      </c>
      <c r="C26" s="51" t="str">
        <f t="array" aca="1" ref="C26" ca="1">IFERROR(INDEX(Leccion[selectorLeccion],SMALL(IF(C$1=Leccion[SubSección],MATCH(ROW(Leccion[SubSección]),ROW(Leccion[SubSección]))),ROW(B25))),"")</f>
        <v/>
      </c>
      <c r="D26" s="51" t="str">
        <f t="array" aca="1" ref="D26" ca="1">IFERROR(INDEX(Leccion[selectorLeccion],SMALL(IF(D$1=Leccion[SubSección],MATCH(ROW(Leccion[SubSección]),ROW(Leccion[SubSección]))),ROW(C25))),"")</f>
        <v/>
      </c>
      <c r="E26" s="51" t="str">
        <f t="array" aca="1" ref="E26" ca="1">IFERROR(INDEX(Leccion[selectorLeccion],SMALL(IF(E$1=Leccion[SubSección],MATCH(ROW(Leccion[SubSección]),ROW(Leccion[SubSección]))),ROW(D25))),"")</f>
        <v/>
      </c>
      <c r="F26" s="51" t="str">
        <f t="array" aca="1" ref="F26" ca="1">IFERROR(INDEX(Leccion[selectorLeccion],SMALL(IF(F$1=Leccion[SubSección],MATCH(ROW(Leccion[SubSección]),ROW(Leccion[SubSección]))),ROW(E25))),"")</f>
        <v/>
      </c>
      <c r="G26" s="51" t="str">
        <f t="array" aca="1" ref="G26" ca="1">IFERROR(INDEX(Leccion[selectorLeccion],SMALL(IF(G$1=Leccion[SubSección],MATCH(ROW(Leccion[SubSección]),ROW(Leccion[SubSección]))),ROW(F25))),"")</f>
        <v/>
      </c>
      <c r="H26" s="51" t="str">
        <f t="array" aca="1" ref="H26" ca="1">IFERROR(INDEX(Leccion[selectorLeccion],SMALL(IF(H$1=Leccion[SubSección],MATCH(ROW(Leccion[SubSección]),ROW(Leccion[SubSección]))),ROW(G25))),"")</f>
        <v/>
      </c>
      <c r="I26" s="51" t="str">
        <f t="array" aca="1" ref="I26" ca="1">IFERROR(INDEX(Leccion[selectorLeccion],SMALL(IF(I$1=Leccion[SubSección],MATCH(ROW(Leccion[SubSección]),ROW(Leccion[SubSección]))),ROW(H25))),"")</f>
        <v/>
      </c>
      <c r="J26" s="51" t="str">
        <f t="array" aca="1" ref="J26" ca="1">IFERROR(INDEX(Leccion[selectorLeccion],SMALL(IF(J$1=Leccion[SubSección],MATCH(ROW(Leccion[SubSección]),ROW(Leccion[SubSección]))),ROW(I25))),"")</f>
        <v/>
      </c>
      <c r="K26" s="51" t="str">
        <f t="array" aca="1" ref="K26" ca="1">IFERROR(INDEX(Leccion[selectorLeccion],SMALL(IF(K$1=Leccion[SubSección],MATCH(ROW(Leccion[SubSección]),ROW(Leccion[SubSección]))),ROW(J25))),"")</f>
        <v/>
      </c>
      <c r="L26" s="51" t="str">
        <f t="array" aca="1" ref="L26" ca="1">IFERROR(INDEX(Leccion[selectorLeccion],SMALL(IF(L$1=Leccion[SubSección],MATCH(ROW(Leccion[SubSección]),ROW(Leccion[SubSección]))),ROW(K25))),"")</f>
        <v/>
      </c>
      <c r="M26" s="51" t="str">
        <f t="array" aca="1" ref="M26" ca="1">IFERROR(INDEX(Leccion[selectorLeccion],SMALL(IF(M$1=Leccion[SubSección],MATCH(ROW(Leccion[SubSección]),ROW(Leccion[SubSección]))),ROW(L25))),"")</f>
        <v/>
      </c>
      <c r="N26" s="51" t="str">
        <f t="array" aca="1" ref="N26" ca="1">IFERROR(INDEX(Leccion[selectorLeccion],SMALL(IF(N$1=Leccion[SubSección],MATCH(ROW(Leccion[SubSección]),ROW(Leccion[SubSección]))),ROW(M25))),"")</f>
        <v/>
      </c>
      <c r="O26" s="51" t="str">
        <f t="array" aca="1" ref="O26" ca="1">IFERROR(INDEX(Leccion[selectorLeccion],SMALL(IF(O$1=Leccion[SubSección],MATCH(ROW(Leccion[SubSección]),ROW(Leccion[SubSección]))),ROW(N25))),"")</f>
        <v/>
      </c>
      <c r="P26" s="51" t="str">
        <f t="array" aca="1" ref="P26" ca="1">IFERROR(INDEX(Leccion[selectorLeccion],SMALL(IF(P$1=Leccion[SubSección],MATCH(ROW(Leccion[SubSección]),ROW(Leccion[SubSección]))),ROW(O25))),"")</f>
        <v/>
      </c>
      <c r="Q26" s="51" t="str">
        <f t="array" aca="1" ref="Q26" ca="1">IFERROR(INDEX(Leccion[selectorLeccion],SMALL(IF(Q$1=Leccion[SubSección],MATCH(ROW(Leccion[SubSección]),ROW(Leccion[SubSección]))),ROW(P25))),"")</f>
        <v/>
      </c>
      <c r="R26" s="51" t="str">
        <f t="array" aca="1" ref="R26" ca="1">IFERROR(INDEX(Leccion[selectorLeccion],SMALL(IF(R$1=Leccion[SubSección],MATCH(ROW(Leccion[SubSección]),ROW(Leccion[SubSección]))),ROW(Q25))),"")</f>
        <v/>
      </c>
      <c r="S26" s="51" t="str">
        <f t="array" aca="1" ref="S26" ca="1">IFERROR(INDEX(Leccion[selectorLeccion],SMALL(IF(S$1=Leccion[SubSección],MATCH(ROW(Leccion[SubSección]),ROW(Leccion[SubSección]))),ROW(R25))),"")</f>
        <v/>
      </c>
      <c r="T26" s="51" t="str">
        <f t="array" aca="1" ref="T26" ca="1">IFERROR(INDEX(Leccion[selectorLeccion],SMALL(IF(T$1=Leccion[SubSección],MATCH(ROW(Leccion[SubSección]),ROW(Leccion[SubSección]))),ROW(S25))),"")</f>
        <v/>
      </c>
      <c r="U26" s="51" t="str">
        <f t="array" aca="1" ref="U26" ca="1">IFERROR(INDEX(Leccion[selectorLeccion],SMALL(IF(U$1=Leccion[SubSección],MATCH(ROW(Leccion[SubSección]),ROW(Leccion[SubSección]))),ROW(T25))),"")</f>
        <v/>
      </c>
      <c r="V26" s="51" t="str">
        <f t="array" aca="1" ref="V26" ca="1">IFERROR(INDEX(Leccion[selectorLeccion],SMALL(IF(V$1=Leccion[SubSección],MATCH(ROW(Leccion[SubSección]),ROW(Leccion[SubSección]))),ROW(U25))),"")</f>
        <v/>
      </c>
      <c r="W26" s="51" t="str">
        <f t="array" aca="1" ref="W26" ca="1">IFERROR(INDEX(Leccion[selectorLeccion],SMALL(IF(W$1=Leccion[SubSección],MATCH(ROW(Leccion[SubSección]),ROW(Leccion[SubSección]))),ROW(V25))),"")</f>
        <v/>
      </c>
      <c r="X26" s="51" t="str">
        <f t="array" aca="1" ref="X26" ca="1">IFERROR(INDEX(Leccion[selectorLeccion],SMALL(IF(X$1=Leccion[SubSección],MATCH(ROW(Leccion[SubSección]),ROW(Leccion[SubSección]))),ROW(W25))),"")</f>
        <v/>
      </c>
      <c r="Y26" s="51" t="str">
        <f t="array" aca="1" ref="Y26" ca="1">IFERROR(INDEX(Leccion[selectorLeccion],SMALL(IF(Y$1=Leccion[SubSección],MATCH(ROW(Leccion[SubSección]),ROW(Leccion[SubSección]))),ROW(X25))),"")</f>
        <v/>
      </c>
      <c r="Z26" s="51" t="str">
        <f t="array" aca="1" ref="Z26" ca="1">IFERROR(INDEX(Leccion[selectorLeccion],SMALL(IF(Z$1=Leccion[SubSección],MATCH(ROW(Leccion[SubSección]),ROW(Leccion[SubSección]))),ROW(Y25))),"")</f>
        <v/>
      </c>
      <c r="AA26" s="51" t="str">
        <f t="array" aca="1" ref="AA26" ca="1">IFERROR(INDEX(Leccion[selectorLeccion],SMALL(IF(AA$1=Leccion[SubSección],MATCH(ROW(Leccion[SubSección]),ROW(Leccion[SubSección]))),ROW(Z25))),"")</f>
        <v/>
      </c>
      <c r="AB26" s="51" t="str">
        <f t="array" aca="1" ref="AB26" ca="1">IFERROR(INDEX(Leccion[selectorLeccion],SMALL(IF(AB$1=Leccion[SubSección],MATCH(ROW(Leccion[SubSección]),ROW(Leccion[SubSección]))),ROW(AA25))),"")</f>
        <v/>
      </c>
      <c r="AC26" s="51" t="str">
        <f t="array" aca="1" ref="AC26" ca="1">IFERROR(INDEX(Leccion[selectorLeccion],SMALL(IF(AC$1=Leccion[SubSección],MATCH(ROW(Leccion[SubSección]),ROW(Leccion[SubSección]))),ROW(AB25))),"")</f>
        <v/>
      </c>
      <c r="AD26" s="51" t="str">
        <f t="array" aca="1" ref="AD26" ca="1">IFERROR(INDEX(Leccion[selectorLeccion],SMALL(IF(AD$1=Leccion[SubSección],MATCH(ROW(Leccion[SubSección]),ROW(Leccion[SubSección]))),ROW(AC25))),"")</f>
        <v/>
      </c>
      <c r="AE26" s="51" t="str">
        <f t="array" aca="1" ref="AE26" ca="1">IFERROR(INDEX(Leccion[selectorLeccion],SMALL(IF(AE$1=Leccion[SubSección],MATCH(ROW(Leccion[SubSección]),ROW(Leccion[SubSección]))),ROW(AD25))),"")</f>
        <v/>
      </c>
      <c r="AF26" s="51" t="str">
        <f t="array" aca="1" ref="AF26" ca="1">IFERROR(INDEX(Leccion[selectorLeccion],SMALL(IF(AF$1=Leccion[SubSección],MATCH(ROW(Leccion[SubSección]),ROW(Leccion[SubSección]))),ROW(AE25))),"")</f>
        <v/>
      </c>
      <c r="AG26" s="51" t="str">
        <f t="array" aca="1" ref="AG26" ca="1">IFERROR(INDEX(Leccion[selectorLeccion],SMALL(IF(AG$1=Leccion[SubSección],MATCH(ROW(Leccion[SubSección]),ROW(Leccion[SubSección]))),ROW(AF25))),"")</f>
        <v/>
      </c>
      <c r="AH26" s="51" t="str">
        <f t="array" aca="1" ref="AH26" ca="1">IFERROR(INDEX(Leccion[selectorLeccion],SMALL(IF(AH$1=Leccion[SubSección],MATCH(ROW(Leccion[SubSección]),ROW(Leccion[SubSección]))),ROW(AG25))),"")</f>
        <v/>
      </c>
      <c r="AI26" s="51" t="str">
        <f t="array" aca="1" ref="AI26" ca="1">IFERROR(INDEX(Leccion[selectorLeccion],SMALL(IF(AI$1=Leccion[SubSección],MATCH(ROW(Leccion[SubSección]),ROW(Leccion[SubSección]))),ROW(AH25))),"")</f>
        <v/>
      </c>
      <c r="AJ26" s="51" t="str">
        <f t="array" aca="1" ref="AJ26" ca="1">IFERROR(INDEX(Leccion[selectorLeccion],SMALL(IF(AJ$1=Leccion[SubSección],MATCH(ROW(Leccion[SubSección]),ROW(Leccion[SubSección]))),ROW(AI25))),"")</f>
        <v/>
      </c>
      <c r="AK26" s="51" t="str">
        <f t="array" aca="1" ref="AK26" ca="1">IFERROR(INDEX(Leccion[selectorLeccion],SMALL(IF(AK$1=Leccion[SubSección],MATCH(ROW(Leccion[SubSección]),ROW(Leccion[SubSección]))),ROW(AJ25))),"")</f>
        <v/>
      </c>
      <c r="AL26" s="51" t="str">
        <f t="array" aca="1" ref="AL26" ca="1">IFERROR(INDEX(Leccion[selectorLeccion],SMALL(IF(AL$1=Leccion[SubSección],MATCH(ROW(Leccion[SubSección]),ROW(Leccion[SubSección]))),ROW(AK25))),"")</f>
        <v/>
      </c>
      <c r="AM26" s="51" t="str">
        <f t="array" aca="1" ref="AM26" ca="1">IFERROR(INDEX(Leccion[selectorLeccion],SMALL(IF(AM$1=Leccion[SubSección],MATCH(ROW(Leccion[SubSección]),ROW(Leccion[SubSección]))),ROW(AL25))),"")</f>
        <v/>
      </c>
      <c r="AN26" s="51" t="str">
        <f t="array" aca="1" ref="AN26" ca="1">IFERROR(INDEX(Leccion[selectorLeccion],SMALL(IF(AN$1=Leccion[SubSección],MATCH(ROW(Leccion[SubSección]),ROW(Leccion[SubSección]))),ROW(AM25))),"")</f>
        <v/>
      </c>
      <c r="AO26" s="51" t="str">
        <f t="array" aca="1" ref="AO26" ca="1">IFERROR(INDEX(Leccion[selectorLeccion],SMALL(IF(AO$1=Leccion[SubSección],MATCH(ROW(Leccion[SubSección]),ROW(Leccion[SubSección]))),ROW(AN25))),"")</f>
        <v/>
      </c>
      <c r="AP26" s="51" t="str">
        <f t="array" aca="1" ref="AP26" ca="1">IFERROR(INDEX(Leccion[selectorLeccion],SMALL(IF(AP$1=Leccion[SubSección],MATCH(ROW(Leccion[SubSección]),ROW(Leccion[SubSección]))),ROW(AO25))),"")</f>
        <v/>
      </c>
      <c r="AQ26" s="51" t="str">
        <f t="array" aca="1" ref="AQ26" ca="1">IFERROR(INDEX(Leccion[selectorLeccion],SMALL(IF(AQ$1=Leccion[SubSección],MATCH(ROW(Leccion[SubSección]),ROW(Leccion[SubSección]))),ROW(AP25))),"")</f>
        <v/>
      </c>
      <c r="AR26" s="51" t="str">
        <f t="array" aca="1" ref="AR26" ca="1">IFERROR(INDEX(Leccion[selectorLeccion],SMALL(IF(AR$1=Leccion[SubSección],MATCH(ROW(Leccion[SubSección]),ROW(Leccion[SubSección]))),ROW(AQ25))),"")</f>
        <v/>
      </c>
      <c r="AS26" s="51" t="str">
        <f t="array" aca="1" ref="AS26" ca="1">IFERROR(INDEX(Leccion[selectorLeccion],SMALL(IF(AS$1=Leccion[SubSección],MATCH(ROW(Leccion[SubSección]),ROW(Leccion[SubSección]))),ROW(AR25))),"")</f>
        <v/>
      </c>
      <c r="AT26" s="51" t="str">
        <f t="array" aca="1" ref="AT26" ca="1">IFERROR(INDEX(Leccion[selectorLeccion],SMALL(IF(AT$1=Leccion[SubSección],MATCH(ROW(Leccion[SubSección]),ROW(Leccion[SubSección]))),ROW(AS25))),"")</f>
        <v/>
      </c>
      <c r="AU26" s="51" t="str">
        <f t="array" aca="1" ref="AU26" ca="1">IFERROR(INDEX(Leccion[selectorLeccion],SMALL(IF(AU$1=Leccion[SubSección],MATCH(ROW(Leccion[SubSección]),ROW(Leccion[SubSección]))),ROW(AT25))),"")</f>
        <v/>
      </c>
      <c r="AV26" s="51" t="str">
        <f t="array" aca="1" ref="AV26" ca="1">IFERROR(INDEX(Leccion[selectorLeccion],SMALL(IF(AV$1=Leccion[SubSección],MATCH(ROW(Leccion[SubSección]),ROW(Leccion[SubSección]))),ROW(AU25))),"")</f>
        <v/>
      </c>
      <c r="AW26" s="51" t="str">
        <f t="array" aca="1" ref="AW26" ca="1">IFERROR(INDEX(Leccion[selectorLeccion],SMALL(IF(AW$1=Leccion[SubSección],MATCH(ROW(Leccion[SubSección]),ROW(Leccion[SubSección]))),ROW(AV25))),"")</f>
        <v/>
      </c>
      <c r="AX26" s="51" t="str">
        <f t="array" aca="1" ref="AX26" ca="1">IFERROR(INDEX(Leccion[selectorLeccion],SMALL(IF(AX$1=Leccion[SubSección],MATCH(ROW(Leccion[SubSección]),ROW(Leccion[SubSección]))),ROW(AW25))),"")</f>
        <v/>
      </c>
      <c r="AY26" s="51" t="str">
        <f t="array" aca="1" ref="AY26" ca="1">IFERROR(INDEX(Leccion[selectorLeccion],SMALL(IF(AY$1=Leccion[SubSección],MATCH(ROW(Leccion[SubSección]),ROW(Leccion[SubSección]))),ROW(AX25))),"")</f>
        <v/>
      </c>
      <c r="AZ26" s="51" t="str">
        <f t="array" aca="1" ref="AZ26" ca="1">IFERROR(INDEX(Leccion[selectorLeccion],SMALL(IF(AZ$1=Leccion[SubSección],MATCH(ROW(Leccion[SubSección]),ROW(Leccion[SubSección]))),ROW(AY25))),"")</f>
        <v/>
      </c>
      <c r="BA26" s="51" t="str">
        <f t="array" aca="1" ref="BA26" ca="1">IFERROR(INDEX(Leccion[selectorLeccion],SMALL(IF(BA$1=Leccion[SubSección],MATCH(ROW(Leccion[SubSección]),ROW(Leccion[SubSección]))),ROW(AZ25))),"")</f>
        <v/>
      </c>
      <c r="BB26" s="51" t="str">
        <f t="array" aca="1" ref="BB26" ca="1">IFERROR(INDEX(Leccion[selectorLeccion],SMALL(IF(BB$1=Leccion[SubSección],MATCH(ROW(Leccion[SubSección]),ROW(Leccion[SubSección]))),ROW(BA25))),"")</f>
        <v/>
      </c>
      <c r="BC26" s="51" t="str">
        <f t="array" aca="1" ref="BC26" ca="1">IFERROR(INDEX(Leccion[selectorLeccion],SMALL(IF(BC$1=Leccion[SubSección],MATCH(ROW(Leccion[SubSección]),ROW(Leccion[SubSección]))),ROW(BB25))),"")</f>
        <v/>
      </c>
      <c r="BD26" s="51" t="str">
        <f t="array" aca="1" ref="BD26" ca="1">IFERROR(INDEX(Leccion[selectorLeccion],SMALL(IF(BD$1=Leccion[SubSección],MATCH(ROW(Leccion[SubSección]),ROW(Leccion[SubSección]))),ROW(BC25))),"")</f>
        <v/>
      </c>
      <c r="BE26" s="51" t="str">
        <f t="array" aca="1" ref="BE26" ca="1">IFERROR(INDEX(Leccion[selectorLeccion],SMALL(IF(BE$1=Leccion[SubSección],MATCH(ROW(Leccion[SubSección]),ROW(Leccion[SubSección]))),ROW(BD25))),"")</f>
        <v/>
      </c>
      <c r="BF26" s="51" t="str">
        <f t="array" aca="1" ref="BF26" ca="1">IFERROR(INDEX(Leccion[selectorLeccion],SMALL(IF(BF$1=Leccion[SubSección],MATCH(ROW(Leccion[SubSección]),ROW(Leccion[SubSección]))),ROW(BE25))),"")</f>
        <v/>
      </c>
      <c r="BG26" s="51" t="str">
        <f t="array" aca="1" ref="BG26" ca="1">IFERROR(INDEX(Leccion[selectorLeccion],SMALL(IF(BG$1=Leccion[SubSección],MATCH(ROW(Leccion[SubSección]),ROW(Leccion[SubSección]))),ROW(BF25))),"")</f>
        <v/>
      </c>
      <c r="BH26" s="51" t="str">
        <f t="array" aca="1" ref="BH26" ca="1">IFERROR(INDEX(Leccion[selectorLeccion],SMALL(IF(BH$1=Leccion[SubSección],MATCH(ROW(Leccion[SubSección]),ROW(Leccion[SubSección]))),ROW(BG25))),"")</f>
        <v/>
      </c>
      <c r="BI26" s="51" t="str">
        <f t="array" aca="1" ref="BI26" ca="1">IFERROR(INDEX(Leccion[selectorLeccion],SMALL(IF(BI$1=Leccion[SubSección],MATCH(ROW(Leccion[SubSección]),ROW(Leccion[SubSección]))),ROW(BH25))),"")</f>
        <v/>
      </c>
      <c r="BJ26" s="51" t="str">
        <f t="array" aca="1" ref="BJ26" ca="1">IFERROR(INDEX(Leccion[selectorLeccion],SMALL(IF(BJ$1=Leccion[SubSección],MATCH(ROW(Leccion[SubSección]),ROW(Leccion[SubSección]))),ROW(BI25))),"")</f>
        <v/>
      </c>
      <c r="BK26" s="51" t="str">
        <f t="array" aca="1" ref="BK26" ca="1">IFERROR(INDEX(Leccion[selectorLeccion],SMALL(IF(BK$1=Leccion[SubSección],MATCH(ROW(Leccion[SubSección]),ROW(Leccion[SubSección]))),ROW(BJ25))),"")</f>
        <v/>
      </c>
      <c r="BL26" s="51" t="str">
        <f t="array" aca="1" ref="BL26" ca="1">IFERROR(INDEX(Leccion[selectorLeccion],SMALL(IF(BL$1=Leccion[SubSección],MATCH(ROW(Leccion[SubSección]),ROW(Leccion[SubSección]))),ROW(BK25))),"")</f>
        <v/>
      </c>
      <c r="BM26" s="51" t="str">
        <f t="array" aca="1" ref="BM26" ca="1">IFERROR(INDEX(Leccion[selectorLeccion],SMALL(IF(BM$1=Leccion[SubSección],MATCH(ROW(Leccion[SubSección]),ROW(Leccion[SubSección]))),ROW(BL25))),"")</f>
        <v/>
      </c>
      <c r="BN26" s="51" t="str">
        <f t="array" aca="1" ref="BN26" ca="1">IFERROR(INDEX(Leccion[selectorLeccion],SMALL(IF(BN$1=Leccion[SubSección],MATCH(ROW(Leccion[SubSección]),ROW(Leccion[SubSección]))),ROW(BM25))),"")</f>
        <v/>
      </c>
      <c r="BO26" s="51" t="str">
        <f t="array" aca="1" ref="BO26" ca="1">IFERROR(INDEX(Leccion[selectorLeccion],SMALL(IF(BO$1=Leccion[SubSección],MATCH(ROW(Leccion[SubSección]),ROW(Leccion[SubSección]))),ROW(BN25))),"")</f>
        <v/>
      </c>
      <c r="BP26" s="51" t="str">
        <f t="array" aca="1" ref="BP26" ca="1">IFERROR(INDEX(Leccion[selectorLeccion],SMALL(IF(BP$1=Leccion[SubSección],MATCH(ROW(Leccion[SubSección]),ROW(Leccion[SubSección]))),ROW(BO25))),"")</f>
        <v/>
      </c>
      <c r="BQ26" s="51" t="str">
        <f t="array" aca="1" ref="BQ26" ca="1">IFERROR(INDEX(Leccion[selectorLeccion],SMALL(IF(BQ$1=Leccion[SubSección],MATCH(ROW(Leccion[SubSección]),ROW(Leccion[SubSección]))),ROW(BP25))),"")</f>
        <v/>
      </c>
      <c r="BR26" s="51" t="str">
        <f t="array" aca="1" ref="BR26" ca="1">IFERROR(INDEX(Leccion[selectorLeccion],SMALL(IF(BR$1=Leccion[SubSección],MATCH(ROW(Leccion[SubSección]),ROW(Leccion[SubSección]))),ROW(BQ25))),"")</f>
        <v/>
      </c>
      <c r="BS26" s="51" t="str">
        <f t="array" aca="1" ref="BS26" ca="1">IFERROR(INDEX(Leccion[selectorLeccion],SMALL(IF(BS$1=Leccion[SubSección],MATCH(ROW(Leccion[SubSección]),ROW(Leccion[SubSección]))),ROW(BR25))),"")</f>
        <v/>
      </c>
      <c r="BT26" s="51" t="str">
        <f t="array" aca="1" ref="BT26" ca="1">IFERROR(INDEX(Leccion[selectorLeccion],SMALL(IF(BT$1=Leccion[SubSección],MATCH(ROW(Leccion[SubSección]),ROW(Leccion[SubSección]))),ROW(BS25))),"")</f>
        <v/>
      </c>
      <c r="BU26" s="51" t="str">
        <f t="array" aca="1" ref="BU26" ca="1">IFERROR(INDEX(Leccion[selectorLeccion],SMALL(IF(BU$1=Leccion[SubSección],MATCH(ROW(Leccion[SubSección]),ROW(Leccion[SubSección]))),ROW(BT25))),"")</f>
        <v/>
      </c>
      <c r="BV26" s="51" t="str">
        <f t="array" aca="1" ref="BV26" ca="1">IFERROR(INDEX(Leccion[selectorLeccion],SMALL(IF(BV$1=Leccion[SubSección],MATCH(ROW(Leccion[SubSección]),ROW(Leccion[SubSección]))),ROW(BU25))),"")</f>
        <v/>
      </c>
      <c r="BW26" s="51" t="str">
        <f t="array" aca="1" ref="BW26" ca="1">IFERROR(INDEX(Leccion[selectorLeccion],SMALL(IF(BW$1=Leccion[SubSección],MATCH(ROW(Leccion[SubSección]),ROW(Leccion[SubSección]))),ROW(BV25))),"")</f>
        <v/>
      </c>
      <c r="BX26" s="51" t="str">
        <f t="array" aca="1" ref="BX26" ca="1">IFERROR(INDEX(Leccion[selectorLeccion],SMALL(IF(BX$1=Leccion[SubSección],MATCH(ROW(Leccion[SubSección]),ROW(Leccion[SubSección]))),ROW(BW25))),"")</f>
        <v/>
      </c>
      <c r="BY26" s="51" t="str">
        <f t="array" aca="1" ref="BY26" ca="1">IFERROR(INDEX(Leccion[selectorLeccion],SMALL(IF(BY$1=Leccion[SubSección],MATCH(ROW(Leccion[SubSección]),ROW(Leccion[SubSección]))),ROW(BX25))),"")</f>
        <v/>
      </c>
      <c r="BZ26" s="51" t="str">
        <f t="array" aca="1" ref="BZ26" ca="1">IFERROR(INDEX(Leccion[selectorLeccion],SMALL(IF(BZ$1=Leccion[SubSección],MATCH(ROW(Leccion[SubSección]),ROW(Leccion[SubSección]))),ROW(BY25))),"")</f>
        <v/>
      </c>
      <c r="CA26" s="51" t="str">
        <f t="array" aca="1" ref="CA26" ca="1">IFERROR(INDEX(Leccion[selectorLeccion],SMALL(IF(CA$1=Leccion[SubSección],MATCH(ROW(Leccion[SubSección]),ROW(Leccion[SubSección]))),ROW(BZ25))),"")</f>
        <v/>
      </c>
      <c r="CB26" s="51" t="str">
        <f t="array" aca="1" ref="CB26" ca="1">IFERROR(INDEX(Leccion[selectorLeccion],SMALL(IF(CB$1=Leccion[SubSección],MATCH(ROW(Leccion[SubSección]),ROW(Leccion[SubSección]))),ROW(CA25))),"")</f>
        <v/>
      </c>
      <c r="CC26" s="51" t="str">
        <f t="array" aca="1" ref="CC26" ca="1">IFERROR(INDEX(Leccion[selectorLeccion],SMALL(IF(CC$1=Leccion[SubSección],MATCH(ROW(Leccion[SubSección]),ROW(Leccion[SubSección]))),ROW(CB25))),"")</f>
        <v/>
      </c>
      <c r="CD26" s="51" t="str">
        <f t="array" aca="1" ref="CD26" ca="1">IFERROR(INDEX(Leccion[selectorLeccion],SMALL(IF(CD$1=Leccion[SubSección],MATCH(ROW(Leccion[SubSección]),ROW(Leccion[SubSección]))),ROW(CC25))),"")</f>
        <v/>
      </c>
      <c r="CE26" s="51" t="str">
        <f t="array" aca="1" ref="CE26" ca="1">IFERROR(INDEX(Leccion[selectorLeccion],SMALL(IF(CE$1=Leccion[SubSección],MATCH(ROW(Leccion[SubSección]),ROW(Leccion[SubSección]))),ROW(CD25))),"")</f>
        <v/>
      </c>
      <c r="CF26" s="51" t="str">
        <f t="array" aca="1" ref="CF26" ca="1">IFERROR(INDEX(Leccion[selectorLeccion],SMALL(IF(CF$1=Leccion[SubSección],MATCH(ROW(Leccion[SubSección]),ROW(Leccion[SubSección]))),ROW(CE25))),"")</f>
        <v/>
      </c>
      <c r="CG26" s="51" t="str">
        <f t="array" aca="1" ref="CG26" ca="1">IFERROR(INDEX(Leccion[selectorLeccion],SMALL(IF(CG$1=Leccion[SubSección],MATCH(ROW(Leccion[SubSección]),ROW(Leccion[SubSección]))),ROW(CF25))),"")</f>
        <v/>
      </c>
      <c r="CH26" s="51" t="str">
        <f t="array" aca="1" ref="CH26" ca="1">IFERROR(INDEX(Leccion[selectorLeccion],SMALL(IF(CH$1=Leccion[SubSección],MATCH(ROW(Leccion[SubSección]),ROW(Leccion[SubSección]))),ROW(CG25))),"")</f>
        <v/>
      </c>
      <c r="CI26" s="51" t="str">
        <f t="array" aca="1" ref="CI26" ca="1">IFERROR(INDEX(Leccion[selectorLeccion],SMALL(IF(CI$1=Leccion[SubSección],MATCH(ROW(Leccion[SubSección]),ROW(Leccion[SubSección]))),ROW(CH25))),"")</f>
        <v/>
      </c>
      <c r="CJ26" s="51" t="str">
        <f t="array" aca="1" ref="CJ26" ca="1">IFERROR(INDEX(Leccion[selectorLeccion],SMALL(IF(CJ$1=Leccion[SubSección],MATCH(ROW(Leccion[SubSección]),ROW(Leccion[SubSección]))),ROW(CI25))),"")</f>
        <v/>
      </c>
      <c r="CK26" s="51" t="str">
        <f t="array" aca="1" ref="CK26" ca="1">IFERROR(INDEX(Leccion[selectorLeccion],SMALL(IF(CK$1=Leccion[SubSección],MATCH(ROW(Leccion[SubSección]),ROW(Leccion[SubSección]))),ROW(CJ25))),"")</f>
        <v/>
      </c>
      <c r="CL26" s="51" t="str">
        <f t="array" aca="1" ref="CL26" ca="1">IFERROR(INDEX(Leccion[selectorLeccion],SMALL(IF(CL$1=Leccion[SubSección],MATCH(ROW(Leccion[SubSección]),ROW(Leccion[SubSección]))),ROW(CK25))),"")</f>
        <v/>
      </c>
      <c r="CM26" s="51" t="str">
        <f t="array" aca="1" ref="CM26" ca="1">IFERROR(INDEX(Leccion[selectorLeccion],SMALL(IF(CM$1=Leccion[SubSección],MATCH(ROW(Leccion[SubSección]),ROW(Leccion[SubSección]))),ROW(CL25))),"")</f>
        <v/>
      </c>
      <c r="CN26" s="51" t="str">
        <f t="array" aca="1" ref="CN26" ca="1">IFERROR(INDEX(Leccion[selectorLeccion],SMALL(IF(CN$1=Leccion[SubSección],MATCH(ROW(Leccion[SubSección]),ROW(Leccion[SubSección]))),ROW(CM25))),"")</f>
        <v/>
      </c>
      <c r="CO26" s="51" t="str">
        <f t="array" aca="1" ref="CO26" ca="1">IFERROR(INDEX(Leccion[selectorLeccion],SMALL(IF(CO$1=Leccion[SubSección],MATCH(ROW(Leccion[SubSección]),ROW(Leccion[SubSección]))),ROW(CN25))),"")</f>
        <v/>
      </c>
      <c r="CP26" s="51" t="str">
        <f t="array" aca="1" ref="CP26" ca="1">IFERROR(INDEX(Leccion[selectorLeccion],SMALL(IF(CP$1=Leccion[SubSección],MATCH(ROW(Leccion[SubSección]),ROW(Leccion[SubSección]))),ROW(CO25))),"")</f>
        <v/>
      </c>
      <c r="CQ26" s="51" t="str">
        <f t="array" aca="1" ref="CQ26" ca="1">IFERROR(INDEX(Leccion[selectorLeccion],SMALL(IF(CQ$1=Leccion[SubSección],MATCH(ROW(Leccion[SubSección]),ROW(Leccion[SubSección]))),ROW(CP25))),"")</f>
        <v/>
      </c>
      <c r="CR26" s="51" t="str">
        <f t="array" aca="1" ref="CR26" ca="1">IFERROR(INDEX(Leccion[selectorLeccion],SMALL(IF(CR$1=Leccion[SubSección],MATCH(ROW(Leccion[SubSección]),ROW(Leccion[SubSección]))),ROW(CQ25))),"")</f>
        <v/>
      </c>
      <c r="CS26" s="51" t="str">
        <f t="array" aca="1" ref="CS26" ca="1">IFERROR(INDEX(Leccion[selectorLeccion],SMALL(IF(CS$1=Leccion[SubSección],MATCH(ROW(Leccion[SubSección]),ROW(Leccion[SubSección]))),ROW(CR25))),"")</f>
        <v/>
      </c>
      <c r="CT26" s="51" t="str">
        <f t="array" aca="1" ref="CT26" ca="1">IFERROR(INDEX(Leccion[selectorLeccion],SMALL(IF(CT$1=Leccion[SubSección],MATCH(ROW(Leccion[SubSección]),ROW(Leccion[SubSección]))),ROW(CS25))),"")</f>
        <v/>
      </c>
      <c r="CU26" s="51" t="str">
        <f t="array" aca="1" ref="CU26" ca="1">IFERROR(INDEX(Leccion[selectorLeccion],SMALL(IF(CU$1=Leccion[SubSección],MATCH(ROW(Leccion[SubSección]),ROW(Leccion[SubSección]))),ROW(CT25))),"")</f>
        <v/>
      </c>
      <c r="CV26" s="51" t="str">
        <f t="array" aca="1" ref="CV26" ca="1">IFERROR(INDEX(Leccion[selectorLeccion],SMALL(IF(CV$1=Leccion[SubSección],MATCH(ROW(Leccion[SubSección]),ROW(Leccion[SubSección]))),ROW(CU25))),"")</f>
        <v/>
      </c>
      <c r="CW26" s="51" t="str">
        <f t="array" aca="1" ref="CW26" ca="1">IFERROR(INDEX(Leccion[selectorLeccion],SMALL(IF(CW$1=Leccion[SubSección],MATCH(ROW(Leccion[SubSección]),ROW(Leccion[SubSección]))),ROW(CV25))),"")</f>
        <v/>
      </c>
      <c r="CX26" s="51" t="str">
        <f t="array" aca="1" ref="CX26" ca="1">IFERROR(INDEX(Leccion[selectorLeccion],SMALL(IF(CX$1=Leccion[SubSección],MATCH(ROW(Leccion[SubSección]),ROW(Leccion[SubSección]))),ROW(CW25))),"")</f>
        <v/>
      </c>
      <c r="CY26" s="51" t="str">
        <f t="array" aca="1" ref="CY26" ca="1">IFERROR(INDEX(Leccion[selectorLeccion],SMALL(IF(CY$1=Leccion[SubSección],MATCH(ROW(Leccion[SubSección]),ROW(Leccion[SubSección]))),ROW(CX25))),"")</f>
        <v/>
      </c>
      <c r="CZ26" s="51" t="str">
        <f t="array" aca="1" ref="CZ26" ca="1">IFERROR(INDEX(Leccion[selectorLeccion],SMALL(IF(CZ$1=Leccion[SubSección],MATCH(ROW(Leccion[SubSección]),ROW(Leccion[SubSección]))),ROW(CY25))),"")</f>
        <v/>
      </c>
      <c r="DA26" s="51" t="str">
        <f t="array" aca="1" ref="DA26" ca="1">IFERROR(INDEX(Leccion[selectorLeccion],SMALL(IF(DA$1=Leccion[SubSección],MATCH(ROW(Leccion[SubSección]),ROW(Leccion[SubSección]))),ROW(CZ25))),"")</f>
        <v/>
      </c>
      <c r="DB26" s="51" t="str">
        <f t="array" aca="1" ref="DB26" ca="1">IFERROR(INDEX(Leccion[selectorLeccion],SMALL(IF(DB$1=Leccion[SubSección],MATCH(ROW(Leccion[SubSección]),ROW(Leccion[SubSección]))),ROW(DA25))),"")</f>
        <v/>
      </c>
      <c r="DC26" s="51" t="str">
        <f t="array" aca="1" ref="DC26" ca="1">IFERROR(INDEX(Leccion[selectorLeccion],SMALL(IF(DC$1=Leccion[SubSección],MATCH(ROW(Leccion[SubSección]),ROW(Leccion[SubSección]))),ROW(DB25))),"")</f>
        <v/>
      </c>
      <c r="DD26" s="51" t="str">
        <f t="array" aca="1" ref="DD26" ca="1">IFERROR(INDEX(Leccion[selectorLeccion],SMALL(IF(DD$1=Leccion[SubSección],MATCH(ROW(Leccion[SubSección]),ROW(Leccion[SubSección]))),ROW(DC25))),"")</f>
        <v/>
      </c>
      <c r="DE26" s="51" t="str">
        <f t="array" aca="1" ref="DE26" ca="1">IFERROR(INDEX(Leccion[selectorLeccion],SMALL(IF(DE$1=Leccion[SubSección],MATCH(ROW(Leccion[SubSección]),ROW(Leccion[SubSección]))),ROW(DD25))),"")</f>
        <v/>
      </c>
      <c r="DF26" s="51" t="str">
        <f t="array" aca="1" ref="DF26" ca="1">IFERROR(INDEX(Leccion[selectorLeccion],SMALL(IF(DF$1=Leccion[SubSección],MATCH(ROW(Leccion[SubSección]),ROW(Leccion[SubSección]))),ROW(DE25))),"")</f>
        <v/>
      </c>
      <c r="DG26" s="51" t="str">
        <f t="array" aca="1" ref="DG26" ca="1">IFERROR(INDEX(Leccion[selectorLeccion],SMALL(IF(DG$1=Leccion[SubSección],MATCH(ROW(Leccion[SubSección]),ROW(Leccion[SubSección]))),ROW(DF25))),"")</f>
        <v/>
      </c>
      <c r="DH26" s="51" t="str">
        <f t="array" aca="1" ref="DH26" ca="1">IFERROR(INDEX(Leccion[selectorLeccion],SMALL(IF(DH$1=Leccion[SubSección],MATCH(ROW(Leccion[SubSección]),ROW(Leccion[SubSección]))),ROW(DG25))),"")</f>
        <v/>
      </c>
      <c r="DI26" s="51" t="str">
        <f t="array" aca="1" ref="DI26" ca="1">IFERROR(INDEX(Leccion[selectorLeccion],SMALL(IF(DI$1=Leccion[SubSección],MATCH(ROW(Leccion[SubSección]),ROW(Leccion[SubSección]))),ROW(DH25))),"")</f>
        <v/>
      </c>
      <c r="DJ26" s="51" t="str">
        <f t="array" aca="1" ref="DJ26" ca="1">IFERROR(INDEX(Leccion[selectorLeccion],SMALL(IF(DJ$1=Leccion[SubSección],MATCH(ROW(Leccion[SubSección]),ROW(Leccion[SubSección]))),ROW(DI25))),"")</f>
        <v/>
      </c>
      <c r="DK26" s="51" t="str">
        <f t="array" aca="1" ref="DK26" ca="1">IFERROR(INDEX(Leccion[selectorLeccion],SMALL(IF(DK$1=Leccion[SubSección],MATCH(ROW(Leccion[SubSección]),ROW(Leccion[SubSección]))),ROW(DJ25))),"")</f>
        <v/>
      </c>
      <c r="DL26" s="51" t="str">
        <f t="array" aca="1" ref="DL26" ca="1">IFERROR(INDEX(Leccion[selectorLeccion],SMALL(IF(DL$1=Leccion[SubSección],MATCH(ROW(Leccion[SubSección]),ROW(Leccion[SubSección]))),ROW(DK25))),"")</f>
        <v/>
      </c>
      <c r="DM26" s="51" t="str">
        <f t="array" aca="1" ref="DM26" ca="1">IFERROR(INDEX(Leccion[selectorLeccion],SMALL(IF(DM$1=Leccion[SubSección],MATCH(ROW(Leccion[SubSección]),ROW(Leccion[SubSección]))),ROW(DL25))),"")</f>
        <v/>
      </c>
      <c r="DN26" s="51" t="str">
        <f t="array" aca="1" ref="DN26" ca="1">IFERROR(INDEX(Leccion[selectorLeccion],SMALL(IF(DN$1=Leccion[SubSección],MATCH(ROW(Leccion[SubSección]),ROW(Leccion[SubSección]))),ROW(DM25))),"")</f>
        <v/>
      </c>
      <c r="DO26" s="51" t="str">
        <f t="array" aca="1" ref="DO26" ca="1">IFERROR(INDEX(Leccion[selectorLeccion],SMALL(IF(DO$1=Leccion[SubSección],MATCH(ROW(Leccion[SubSección]),ROW(Leccion[SubSección]))),ROW(DN25))),"")</f>
        <v/>
      </c>
      <c r="DP26" s="51" t="str">
        <f t="array" aca="1" ref="DP26" ca="1">IFERROR(INDEX(Leccion[selectorLeccion],SMALL(IF(DP$1=Leccion[SubSección],MATCH(ROW(Leccion[SubSección]),ROW(Leccion[SubSección]))),ROW(DO25))),"")</f>
        <v/>
      </c>
      <c r="DQ26" s="51" t="str">
        <f t="array" aca="1" ref="DQ26" ca="1">IFERROR(INDEX(Leccion[selectorLeccion],SMALL(IF(DQ$1=Leccion[SubSección],MATCH(ROW(Leccion[SubSección]),ROW(Leccion[SubSección]))),ROW(DP25))),"")</f>
        <v/>
      </c>
      <c r="DR26" s="51" t="str">
        <f t="array" aca="1" ref="DR26" ca="1">IFERROR(INDEX(Leccion[selectorLeccion],SMALL(IF(DR$1=Leccion[SubSección],MATCH(ROW(Leccion[SubSección]),ROW(Leccion[SubSección]))),ROW(DQ25))),"")</f>
        <v/>
      </c>
      <c r="DS26" s="51" t="str">
        <f t="array" aca="1" ref="DS26" ca="1">IFERROR(INDEX(Leccion[selectorLeccion],SMALL(IF(DS$1=Leccion[SubSección],MATCH(ROW(Leccion[SubSección]),ROW(Leccion[SubSección]))),ROW(DR25))),"")</f>
        <v/>
      </c>
      <c r="DT26" s="51" t="str">
        <f t="array" aca="1" ref="DT26" ca="1">IFERROR(INDEX(Leccion[selectorLeccion],SMALL(IF(DT$1=Leccion[SubSección],MATCH(ROW(Leccion[SubSección]),ROW(Leccion[SubSección]))),ROW(DS25))),"")</f>
        <v/>
      </c>
      <c r="DU26" s="51" t="str">
        <f t="array" aca="1" ref="DU26" ca="1">IFERROR(INDEX(Leccion[selectorLeccion],SMALL(IF(DU$1=Leccion[SubSección],MATCH(ROW(Leccion[SubSección]),ROW(Leccion[SubSección]))),ROW(DT25))),"")</f>
        <v/>
      </c>
      <c r="DV26" s="51" t="str">
        <f t="array" aca="1" ref="DV26" ca="1">IFERROR(INDEX(Leccion[selectorLeccion],SMALL(IF(DV$1=Leccion[SubSección],MATCH(ROW(Leccion[SubSección]),ROW(Leccion[SubSección]))),ROW(DU25))),"")</f>
        <v/>
      </c>
      <c r="DW26" s="51" t="str">
        <f t="array" aca="1" ref="DW26" ca="1">IFERROR(INDEX(Leccion[selectorLeccion],SMALL(IF(DW$1=Leccion[SubSección],MATCH(ROW(Leccion[SubSección]),ROW(Leccion[SubSección]))),ROW(DV25))),"")</f>
        <v/>
      </c>
      <c r="DX26" s="51" t="str">
        <f t="array" aca="1" ref="DX26" ca="1">IFERROR(INDEX(Leccion[selectorLeccion],SMALL(IF(DX$1=Leccion[SubSección],MATCH(ROW(Leccion[SubSección]),ROW(Leccion[SubSección]))),ROW(DW25))),"")</f>
        <v/>
      </c>
      <c r="DY26" s="51" t="str">
        <f t="array" aca="1" ref="DY26" ca="1">IFERROR(INDEX(Leccion[selectorLeccion],SMALL(IF(DY$1=Leccion[SubSección],MATCH(ROW(Leccion[SubSección]),ROW(Leccion[SubSección]))),ROW(DX25))),"")</f>
        <v/>
      </c>
      <c r="DZ26" s="51" t="str">
        <f t="array" aca="1" ref="DZ26" ca="1">IFERROR(INDEX(Leccion[selectorLeccion],SMALL(IF(DZ$1=Leccion[SubSección],MATCH(ROW(Leccion[SubSección]),ROW(Leccion[SubSección]))),ROW(DY25))),"")</f>
        <v/>
      </c>
      <c r="EA26" s="51" t="str">
        <f t="array" aca="1" ref="EA26" ca="1">IFERROR(INDEX(Leccion[selectorLeccion],SMALL(IF(EA$1=Leccion[SubSección],MATCH(ROW(Leccion[SubSección]),ROW(Leccion[SubSección]))),ROW(DZ25))),"")</f>
        <v/>
      </c>
      <c r="EB26" s="51" t="str">
        <f t="array" aca="1" ref="EB26" ca="1">IFERROR(INDEX(Leccion[selectorLeccion],SMALL(IF(EB$1=Leccion[SubSección],MATCH(ROW(Leccion[SubSección]),ROW(Leccion[SubSección]))),ROW(EA25))),"")</f>
        <v/>
      </c>
      <c r="EC26" s="51" t="str">
        <f t="array" aca="1" ref="EC26" ca="1">IFERROR(INDEX(Leccion[selectorLeccion],SMALL(IF(EC$1=Leccion[SubSección],MATCH(ROW(Leccion[SubSección]),ROW(Leccion[SubSección]))),ROW(EB25))),"")</f>
        <v/>
      </c>
      <c r="ED26" s="51" t="str">
        <f t="array" aca="1" ref="ED26" ca="1">IFERROR(INDEX(Leccion[selectorLeccion],SMALL(IF(ED$1=Leccion[SubSección],MATCH(ROW(Leccion[SubSección]),ROW(Leccion[SubSección]))),ROW(EC25))),"")</f>
        <v/>
      </c>
      <c r="EE26" s="51" t="str">
        <f t="array" aca="1" ref="EE26" ca="1">IFERROR(INDEX(Leccion[selectorLeccion],SMALL(IF(EE$1=Leccion[SubSección],MATCH(ROW(Leccion[SubSección]),ROW(Leccion[SubSección]))),ROW(ED25))),"")</f>
        <v/>
      </c>
      <c r="EF26" s="51" t="str">
        <f t="array" aca="1" ref="EF26" ca="1">IFERROR(INDEX(Leccion[selectorLeccion],SMALL(IF(EF$1=Leccion[SubSección],MATCH(ROW(Leccion[SubSección]),ROW(Leccion[SubSección]))),ROW(EE25))),"")</f>
        <v/>
      </c>
      <c r="EG26" s="51" t="str">
        <f t="array" aca="1" ref="EG26" ca="1">IFERROR(INDEX(Leccion[selectorLeccion],SMALL(IF(EG$1=Leccion[SubSección],MATCH(ROW(Leccion[SubSección]),ROW(Leccion[SubSección]))),ROW(EF25))),"")</f>
        <v/>
      </c>
      <c r="EH26" s="51" t="str">
        <f t="array" aca="1" ref="EH26" ca="1">IFERROR(INDEX(Leccion[selectorLeccion],SMALL(IF(EH$1=Leccion[SubSección],MATCH(ROW(Leccion[SubSección]),ROW(Leccion[SubSección]))),ROW(EG25))),"")</f>
        <v/>
      </c>
      <c r="EI26" s="51" t="str">
        <f t="array" aca="1" ref="EI26" ca="1">IFERROR(INDEX(Leccion[selectorLeccion],SMALL(IF(EI$1=Leccion[SubSección],MATCH(ROW(Leccion[SubSección]),ROW(Leccion[SubSección]))),ROW(EH25))),"")</f>
        <v/>
      </c>
      <c r="EJ26" s="51" t="str">
        <f t="array" aca="1" ref="EJ26" ca="1">IFERROR(INDEX(Leccion[selectorLeccion],SMALL(IF(EJ$1=Leccion[SubSección],MATCH(ROW(Leccion[SubSección]),ROW(Leccion[SubSección]))),ROW(EI25))),"")</f>
        <v/>
      </c>
      <c r="EK26" s="51" t="str">
        <f t="array" aca="1" ref="EK26" ca="1">IFERROR(INDEX(Leccion[selectorLeccion],SMALL(IF(EK$1=Leccion[SubSección],MATCH(ROW(Leccion[SubSección]),ROW(Leccion[SubSección]))),ROW(EJ25))),"")</f>
        <v/>
      </c>
      <c r="EL26" s="51" t="str">
        <f t="array" aca="1" ref="EL26" ca="1">IFERROR(INDEX(Leccion[selectorLeccion],SMALL(IF(EL$1=Leccion[SubSección],MATCH(ROW(Leccion[SubSección]),ROW(Leccion[SubSección]))),ROW(EK25))),"")</f>
        <v/>
      </c>
      <c r="EM26" s="51" t="str">
        <f t="array" aca="1" ref="EM26" ca="1">IFERROR(INDEX(Leccion[selectorLeccion],SMALL(IF(EM$1=Leccion[SubSección],MATCH(ROW(Leccion[SubSección]),ROW(Leccion[SubSección]))),ROW(EL25))),"")</f>
        <v/>
      </c>
      <c r="EN26" s="51" t="str">
        <f t="array" aca="1" ref="EN26" ca="1">IFERROR(INDEX(Leccion[selectorLeccion],SMALL(IF(EN$1=Leccion[SubSección],MATCH(ROW(Leccion[SubSección]),ROW(Leccion[SubSección]))),ROW(EM25))),"")</f>
        <v/>
      </c>
      <c r="EO26" s="51" t="str">
        <f t="array" aca="1" ref="EO26" ca="1">IFERROR(INDEX(Leccion[selectorLeccion],SMALL(IF(EO$1=Leccion[SubSección],MATCH(ROW(Leccion[SubSección]),ROW(Leccion[SubSección]))),ROW(EN25))),"")</f>
        <v/>
      </c>
      <c r="EP26" s="51" t="str">
        <f t="array" aca="1" ref="EP26" ca="1">IFERROR(INDEX(Leccion[selectorLeccion],SMALL(IF(EP$1=Leccion[SubSección],MATCH(ROW(Leccion[SubSección]),ROW(Leccion[SubSección]))),ROW(EO25))),"")</f>
        <v/>
      </c>
      <c r="EQ26" s="51" t="str">
        <f t="array" aca="1" ref="EQ26" ca="1">IFERROR(INDEX(Leccion[selectorLeccion],SMALL(IF(EQ$1=Leccion[SubSección],MATCH(ROW(Leccion[SubSección]),ROW(Leccion[SubSección]))),ROW(EP25))),"")</f>
        <v/>
      </c>
      <c r="ER26" s="51" t="str">
        <f t="array" aca="1" ref="ER26" ca="1">IFERROR(INDEX(Leccion[selectorLeccion],SMALL(IF(ER$1=Leccion[SubSección],MATCH(ROW(Leccion[SubSección]),ROW(Leccion[SubSección]))),ROW(EQ25))),"")</f>
        <v/>
      </c>
      <c r="ES26" s="51" t="str">
        <f t="array" aca="1" ref="ES26" ca="1">IFERROR(INDEX(Leccion[selectorLeccion],SMALL(IF(ES$1=Leccion[SubSección],MATCH(ROW(Leccion[SubSección]),ROW(Leccion[SubSección]))),ROW(ER25))),"")</f>
        <v/>
      </c>
      <c r="ET26" s="51" t="str">
        <f t="array" aca="1" ref="ET26" ca="1">IFERROR(INDEX(Leccion[selectorLeccion],SMALL(IF(ET$1=Leccion[SubSección],MATCH(ROW(Leccion[SubSección]),ROW(Leccion[SubSección]))),ROW(ES25))),"")</f>
        <v/>
      </c>
      <c r="EU26" s="51" t="str">
        <f t="array" aca="1" ref="EU26" ca="1">IFERROR(INDEX(Leccion[selectorLeccion],SMALL(IF(EU$1=Leccion[SubSección],MATCH(ROW(Leccion[SubSección]),ROW(Leccion[SubSección]))),ROW(ET25))),"")</f>
        <v/>
      </c>
      <c r="EV26" s="51" t="str">
        <f t="array" aca="1" ref="EV26" ca="1">IFERROR(INDEX(Leccion[selectorLeccion],SMALL(IF(EV$1=Leccion[SubSección],MATCH(ROW(Leccion[SubSección]),ROW(Leccion[SubSección]))),ROW(EU25))),"")</f>
        <v/>
      </c>
      <c r="EW26" s="51" t="str">
        <f t="array" aca="1" ref="EW26" ca="1">IFERROR(INDEX(Leccion[selectorLeccion],SMALL(IF(EW$1=Leccion[SubSección],MATCH(ROW(Leccion[SubSección]),ROW(Leccion[SubSección]))),ROW(EV25))),"")</f>
        <v/>
      </c>
      <c r="EX26" s="51" t="str">
        <f t="array" aca="1" ref="EX26" ca="1">IFERROR(INDEX(Leccion[selectorLeccion],SMALL(IF(EX$1=Leccion[SubSección],MATCH(ROW(Leccion[SubSección]),ROW(Leccion[SubSección]))),ROW(EW25))),"")</f>
        <v/>
      </c>
      <c r="EY26" s="51" t="str">
        <f t="array" aca="1" ref="EY26" ca="1">IFERROR(INDEX(Leccion[selectorLeccion],SMALL(IF(EY$1=Leccion[SubSección],MATCH(ROW(Leccion[SubSección]),ROW(Leccion[SubSección]))),ROW(EX25))),"")</f>
        <v/>
      </c>
      <c r="EZ26" s="51" t="str">
        <f t="array" aca="1" ref="EZ26" ca="1">IFERROR(INDEX(Leccion[selectorLeccion],SMALL(IF(EZ$1=Leccion[SubSección],MATCH(ROW(Leccion[SubSección]),ROW(Leccion[SubSección]))),ROW(EY25))),"")</f>
        <v/>
      </c>
    </row>
    <row r="27" spans="2:156" x14ac:dyDescent="0.3">
      <c r="B27" s="51" t="str">
        <f t="array" aca="1" ref="B27" ca="1">IFERROR(INDEX(Leccion[selectorLeccion],SMALL(IF(B$1=Leccion[SubSección],MATCH(ROW(Leccion[SubSección]),ROW(Leccion[SubSección]))),ROW(A26))),"")</f>
        <v/>
      </c>
      <c r="C27" s="51" t="str">
        <f t="array" aca="1" ref="C27" ca="1">IFERROR(INDEX(Leccion[selectorLeccion],SMALL(IF(C$1=Leccion[SubSección],MATCH(ROW(Leccion[SubSección]),ROW(Leccion[SubSección]))),ROW(B26))),"")</f>
        <v/>
      </c>
      <c r="D27" s="51" t="str">
        <f t="array" aca="1" ref="D27" ca="1">IFERROR(INDEX(Leccion[selectorLeccion],SMALL(IF(D$1=Leccion[SubSección],MATCH(ROW(Leccion[SubSección]),ROW(Leccion[SubSección]))),ROW(C26))),"")</f>
        <v/>
      </c>
      <c r="E27" s="51" t="str">
        <f t="array" aca="1" ref="E27" ca="1">IFERROR(INDEX(Leccion[selectorLeccion],SMALL(IF(E$1=Leccion[SubSección],MATCH(ROW(Leccion[SubSección]),ROW(Leccion[SubSección]))),ROW(D26))),"")</f>
        <v/>
      </c>
      <c r="F27" s="51" t="str">
        <f t="array" aca="1" ref="F27" ca="1">IFERROR(INDEX(Leccion[selectorLeccion],SMALL(IF(F$1=Leccion[SubSección],MATCH(ROW(Leccion[SubSección]),ROW(Leccion[SubSección]))),ROW(E26))),"")</f>
        <v/>
      </c>
      <c r="G27" s="51" t="str">
        <f t="array" aca="1" ref="G27" ca="1">IFERROR(INDEX(Leccion[selectorLeccion],SMALL(IF(G$1=Leccion[SubSección],MATCH(ROW(Leccion[SubSección]),ROW(Leccion[SubSección]))),ROW(F26))),"")</f>
        <v/>
      </c>
      <c r="H27" s="51" t="str">
        <f t="array" aca="1" ref="H27" ca="1">IFERROR(INDEX(Leccion[selectorLeccion],SMALL(IF(H$1=Leccion[SubSección],MATCH(ROW(Leccion[SubSección]),ROW(Leccion[SubSección]))),ROW(G26))),"")</f>
        <v/>
      </c>
      <c r="I27" s="51" t="str">
        <f t="array" aca="1" ref="I27" ca="1">IFERROR(INDEX(Leccion[selectorLeccion],SMALL(IF(I$1=Leccion[SubSección],MATCH(ROW(Leccion[SubSección]),ROW(Leccion[SubSección]))),ROW(H26))),"")</f>
        <v/>
      </c>
      <c r="J27" s="51" t="str">
        <f t="array" aca="1" ref="J27" ca="1">IFERROR(INDEX(Leccion[selectorLeccion],SMALL(IF(J$1=Leccion[SubSección],MATCH(ROW(Leccion[SubSección]),ROW(Leccion[SubSección]))),ROW(I26))),"")</f>
        <v/>
      </c>
      <c r="K27" s="51" t="str">
        <f t="array" aca="1" ref="K27" ca="1">IFERROR(INDEX(Leccion[selectorLeccion],SMALL(IF(K$1=Leccion[SubSección],MATCH(ROW(Leccion[SubSección]),ROW(Leccion[SubSección]))),ROW(J26))),"")</f>
        <v/>
      </c>
      <c r="L27" s="51" t="str">
        <f t="array" aca="1" ref="L27" ca="1">IFERROR(INDEX(Leccion[selectorLeccion],SMALL(IF(L$1=Leccion[SubSección],MATCH(ROW(Leccion[SubSección]),ROW(Leccion[SubSección]))),ROW(K26))),"")</f>
        <v/>
      </c>
      <c r="M27" s="51" t="str">
        <f t="array" aca="1" ref="M27" ca="1">IFERROR(INDEX(Leccion[selectorLeccion],SMALL(IF(M$1=Leccion[SubSección],MATCH(ROW(Leccion[SubSección]),ROW(Leccion[SubSección]))),ROW(L26))),"")</f>
        <v/>
      </c>
      <c r="N27" s="51" t="str">
        <f t="array" aca="1" ref="N27" ca="1">IFERROR(INDEX(Leccion[selectorLeccion],SMALL(IF(N$1=Leccion[SubSección],MATCH(ROW(Leccion[SubSección]),ROW(Leccion[SubSección]))),ROW(M26))),"")</f>
        <v/>
      </c>
      <c r="O27" s="51" t="str">
        <f t="array" aca="1" ref="O27" ca="1">IFERROR(INDEX(Leccion[selectorLeccion],SMALL(IF(O$1=Leccion[SubSección],MATCH(ROW(Leccion[SubSección]),ROW(Leccion[SubSección]))),ROW(N26))),"")</f>
        <v/>
      </c>
      <c r="P27" s="51" t="str">
        <f t="array" aca="1" ref="P27" ca="1">IFERROR(INDEX(Leccion[selectorLeccion],SMALL(IF(P$1=Leccion[SubSección],MATCH(ROW(Leccion[SubSección]),ROW(Leccion[SubSección]))),ROW(O26))),"")</f>
        <v/>
      </c>
      <c r="Q27" s="51" t="str">
        <f t="array" aca="1" ref="Q27" ca="1">IFERROR(INDEX(Leccion[selectorLeccion],SMALL(IF(Q$1=Leccion[SubSección],MATCH(ROW(Leccion[SubSección]),ROW(Leccion[SubSección]))),ROW(P26))),"")</f>
        <v/>
      </c>
      <c r="R27" s="51" t="str">
        <f t="array" aca="1" ref="R27" ca="1">IFERROR(INDEX(Leccion[selectorLeccion],SMALL(IF(R$1=Leccion[SubSección],MATCH(ROW(Leccion[SubSección]),ROW(Leccion[SubSección]))),ROW(Q26))),"")</f>
        <v/>
      </c>
      <c r="S27" s="51" t="str">
        <f t="array" aca="1" ref="S27" ca="1">IFERROR(INDEX(Leccion[selectorLeccion],SMALL(IF(S$1=Leccion[SubSección],MATCH(ROW(Leccion[SubSección]),ROW(Leccion[SubSección]))),ROW(R26))),"")</f>
        <v/>
      </c>
      <c r="T27" s="51" t="str">
        <f t="array" aca="1" ref="T27" ca="1">IFERROR(INDEX(Leccion[selectorLeccion],SMALL(IF(T$1=Leccion[SubSección],MATCH(ROW(Leccion[SubSección]),ROW(Leccion[SubSección]))),ROW(S26))),"")</f>
        <v/>
      </c>
      <c r="U27" s="51" t="str">
        <f t="array" aca="1" ref="U27" ca="1">IFERROR(INDEX(Leccion[selectorLeccion],SMALL(IF(U$1=Leccion[SubSección],MATCH(ROW(Leccion[SubSección]),ROW(Leccion[SubSección]))),ROW(T26))),"")</f>
        <v/>
      </c>
      <c r="V27" s="51" t="str">
        <f t="array" aca="1" ref="V27" ca="1">IFERROR(INDEX(Leccion[selectorLeccion],SMALL(IF(V$1=Leccion[SubSección],MATCH(ROW(Leccion[SubSección]),ROW(Leccion[SubSección]))),ROW(U26))),"")</f>
        <v/>
      </c>
      <c r="W27" s="51" t="str">
        <f t="array" aca="1" ref="W27" ca="1">IFERROR(INDEX(Leccion[selectorLeccion],SMALL(IF(W$1=Leccion[SubSección],MATCH(ROW(Leccion[SubSección]),ROW(Leccion[SubSección]))),ROW(V26))),"")</f>
        <v/>
      </c>
      <c r="X27" s="51" t="str">
        <f t="array" aca="1" ref="X27" ca="1">IFERROR(INDEX(Leccion[selectorLeccion],SMALL(IF(X$1=Leccion[SubSección],MATCH(ROW(Leccion[SubSección]),ROW(Leccion[SubSección]))),ROW(W26))),"")</f>
        <v/>
      </c>
      <c r="Y27" s="51" t="str">
        <f t="array" aca="1" ref="Y27" ca="1">IFERROR(INDEX(Leccion[selectorLeccion],SMALL(IF(Y$1=Leccion[SubSección],MATCH(ROW(Leccion[SubSección]),ROW(Leccion[SubSección]))),ROW(X26))),"")</f>
        <v/>
      </c>
      <c r="Z27" s="51" t="str">
        <f t="array" aca="1" ref="Z27" ca="1">IFERROR(INDEX(Leccion[selectorLeccion],SMALL(IF(Z$1=Leccion[SubSección],MATCH(ROW(Leccion[SubSección]),ROW(Leccion[SubSección]))),ROW(Y26))),"")</f>
        <v/>
      </c>
      <c r="AA27" s="51" t="str">
        <f t="array" aca="1" ref="AA27" ca="1">IFERROR(INDEX(Leccion[selectorLeccion],SMALL(IF(AA$1=Leccion[SubSección],MATCH(ROW(Leccion[SubSección]),ROW(Leccion[SubSección]))),ROW(Z26))),"")</f>
        <v/>
      </c>
      <c r="AB27" s="51" t="str">
        <f t="array" aca="1" ref="AB27" ca="1">IFERROR(INDEX(Leccion[selectorLeccion],SMALL(IF(AB$1=Leccion[SubSección],MATCH(ROW(Leccion[SubSección]),ROW(Leccion[SubSección]))),ROW(AA26))),"")</f>
        <v/>
      </c>
      <c r="AC27" s="51" t="str">
        <f t="array" aca="1" ref="AC27" ca="1">IFERROR(INDEX(Leccion[selectorLeccion],SMALL(IF(AC$1=Leccion[SubSección],MATCH(ROW(Leccion[SubSección]),ROW(Leccion[SubSección]))),ROW(AB26))),"")</f>
        <v/>
      </c>
      <c r="AD27" s="51" t="str">
        <f t="array" aca="1" ref="AD27" ca="1">IFERROR(INDEX(Leccion[selectorLeccion],SMALL(IF(AD$1=Leccion[SubSección],MATCH(ROW(Leccion[SubSección]),ROW(Leccion[SubSección]))),ROW(AC26))),"")</f>
        <v/>
      </c>
      <c r="AE27" s="51" t="str">
        <f t="array" aca="1" ref="AE27" ca="1">IFERROR(INDEX(Leccion[selectorLeccion],SMALL(IF(AE$1=Leccion[SubSección],MATCH(ROW(Leccion[SubSección]),ROW(Leccion[SubSección]))),ROW(AD26))),"")</f>
        <v/>
      </c>
      <c r="AF27" s="51" t="str">
        <f t="array" aca="1" ref="AF27" ca="1">IFERROR(INDEX(Leccion[selectorLeccion],SMALL(IF(AF$1=Leccion[SubSección],MATCH(ROW(Leccion[SubSección]),ROW(Leccion[SubSección]))),ROW(AE26))),"")</f>
        <v/>
      </c>
      <c r="AG27" s="51" t="str">
        <f t="array" aca="1" ref="AG27" ca="1">IFERROR(INDEX(Leccion[selectorLeccion],SMALL(IF(AG$1=Leccion[SubSección],MATCH(ROW(Leccion[SubSección]),ROW(Leccion[SubSección]))),ROW(AF26))),"")</f>
        <v/>
      </c>
      <c r="AH27" s="51" t="str">
        <f t="array" aca="1" ref="AH27" ca="1">IFERROR(INDEX(Leccion[selectorLeccion],SMALL(IF(AH$1=Leccion[SubSección],MATCH(ROW(Leccion[SubSección]),ROW(Leccion[SubSección]))),ROW(AG26))),"")</f>
        <v/>
      </c>
      <c r="AI27" s="51" t="str">
        <f t="array" aca="1" ref="AI27" ca="1">IFERROR(INDEX(Leccion[selectorLeccion],SMALL(IF(AI$1=Leccion[SubSección],MATCH(ROW(Leccion[SubSección]),ROW(Leccion[SubSección]))),ROW(AH26))),"")</f>
        <v/>
      </c>
      <c r="AJ27" s="51" t="str">
        <f t="array" aca="1" ref="AJ27" ca="1">IFERROR(INDEX(Leccion[selectorLeccion],SMALL(IF(AJ$1=Leccion[SubSección],MATCH(ROW(Leccion[SubSección]),ROW(Leccion[SubSección]))),ROW(AI26))),"")</f>
        <v/>
      </c>
      <c r="AK27" s="51" t="str">
        <f t="array" aca="1" ref="AK27" ca="1">IFERROR(INDEX(Leccion[selectorLeccion],SMALL(IF(AK$1=Leccion[SubSección],MATCH(ROW(Leccion[SubSección]),ROW(Leccion[SubSección]))),ROW(AJ26))),"")</f>
        <v/>
      </c>
      <c r="AL27" s="51" t="str">
        <f t="array" aca="1" ref="AL27" ca="1">IFERROR(INDEX(Leccion[selectorLeccion],SMALL(IF(AL$1=Leccion[SubSección],MATCH(ROW(Leccion[SubSección]),ROW(Leccion[SubSección]))),ROW(AK26))),"")</f>
        <v/>
      </c>
      <c r="AM27" s="51" t="str">
        <f t="array" aca="1" ref="AM27" ca="1">IFERROR(INDEX(Leccion[selectorLeccion],SMALL(IF(AM$1=Leccion[SubSección],MATCH(ROW(Leccion[SubSección]),ROW(Leccion[SubSección]))),ROW(AL26))),"")</f>
        <v/>
      </c>
      <c r="AN27" s="51" t="str">
        <f t="array" aca="1" ref="AN27" ca="1">IFERROR(INDEX(Leccion[selectorLeccion],SMALL(IF(AN$1=Leccion[SubSección],MATCH(ROW(Leccion[SubSección]),ROW(Leccion[SubSección]))),ROW(AM26))),"")</f>
        <v/>
      </c>
      <c r="AO27" s="51" t="str">
        <f t="array" aca="1" ref="AO27" ca="1">IFERROR(INDEX(Leccion[selectorLeccion],SMALL(IF(AO$1=Leccion[SubSección],MATCH(ROW(Leccion[SubSección]),ROW(Leccion[SubSección]))),ROW(AN26))),"")</f>
        <v/>
      </c>
      <c r="AP27" s="51" t="str">
        <f t="array" aca="1" ref="AP27" ca="1">IFERROR(INDEX(Leccion[selectorLeccion],SMALL(IF(AP$1=Leccion[SubSección],MATCH(ROW(Leccion[SubSección]),ROW(Leccion[SubSección]))),ROW(AO26))),"")</f>
        <v/>
      </c>
      <c r="AQ27" s="51" t="str">
        <f t="array" aca="1" ref="AQ27" ca="1">IFERROR(INDEX(Leccion[selectorLeccion],SMALL(IF(AQ$1=Leccion[SubSección],MATCH(ROW(Leccion[SubSección]),ROW(Leccion[SubSección]))),ROW(AP26))),"")</f>
        <v/>
      </c>
      <c r="AR27" s="51" t="str">
        <f t="array" aca="1" ref="AR27" ca="1">IFERROR(INDEX(Leccion[selectorLeccion],SMALL(IF(AR$1=Leccion[SubSección],MATCH(ROW(Leccion[SubSección]),ROW(Leccion[SubSección]))),ROW(AQ26))),"")</f>
        <v/>
      </c>
      <c r="AS27" s="51" t="str">
        <f t="array" aca="1" ref="AS27" ca="1">IFERROR(INDEX(Leccion[selectorLeccion],SMALL(IF(AS$1=Leccion[SubSección],MATCH(ROW(Leccion[SubSección]),ROW(Leccion[SubSección]))),ROW(AR26))),"")</f>
        <v/>
      </c>
      <c r="AT27" s="51" t="str">
        <f t="array" aca="1" ref="AT27" ca="1">IFERROR(INDEX(Leccion[selectorLeccion],SMALL(IF(AT$1=Leccion[SubSección],MATCH(ROW(Leccion[SubSección]),ROW(Leccion[SubSección]))),ROW(AS26))),"")</f>
        <v/>
      </c>
      <c r="AU27" s="51" t="str">
        <f t="array" aca="1" ref="AU27" ca="1">IFERROR(INDEX(Leccion[selectorLeccion],SMALL(IF(AU$1=Leccion[SubSección],MATCH(ROW(Leccion[SubSección]),ROW(Leccion[SubSección]))),ROW(AT26))),"")</f>
        <v/>
      </c>
      <c r="AV27" s="51" t="str">
        <f t="array" aca="1" ref="AV27" ca="1">IFERROR(INDEX(Leccion[selectorLeccion],SMALL(IF(AV$1=Leccion[SubSección],MATCH(ROW(Leccion[SubSección]),ROW(Leccion[SubSección]))),ROW(AU26))),"")</f>
        <v/>
      </c>
      <c r="AW27" s="51" t="str">
        <f t="array" aca="1" ref="AW27" ca="1">IFERROR(INDEX(Leccion[selectorLeccion],SMALL(IF(AW$1=Leccion[SubSección],MATCH(ROW(Leccion[SubSección]),ROW(Leccion[SubSección]))),ROW(AV26))),"")</f>
        <v/>
      </c>
      <c r="AX27" s="51" t="str">
        <f t="array" aca="1" ref="AX27" ca="1">IFERROR(INDEX(Leccion[selectorLeccion],SMALL(IF(AX$1=Leccion[SubSección],MATCH(ROW(Leccion[SubSección]),ROW(Leccion[SubSección]))),ROW(AW26))),"")</f>
        <v/>
      </c>
      <c r="AY27" s="51" t="str">
        <f t="array" aca="1" ref="AY27" ca="1">IFERROR(INDEX(Leccion[selectorLeccion],SMALL(IF(AY$1=Leccion[SubSección],MATCH(ROW(Leccion[SubSección]),ROW(Leccion[SubSección]))),ROW(AX26))),"")</f>
        <v/>
      </c>
      <c r="AZ27" s="51" t="str">
        <f t="array" aca="1" ref="AZ27" ca="1">IFERROR(INDEX(Leccion[selectorLeccion],SMALL(IF(AZ$1=Leccion[SubSección],MATCH(ROW(Leccion[SubSección]),ROW(Leccion[SubSección]))),ROW(AY26))),"")</f>
        <v/>
      </c>
      <c r="BA27" s="51" t="str">
        <f t="array" aca="1" ref="BA27" ca="1">IFERROR(INDEX(Leccion[selectorLeccion],SMALL(IF(BA$1=Leccion[SubSección],MATCH(ROW(Leccion[SubSección]),ROW(Leccion[SubSección]))),ROW(AZ26))),"")</f>
        <v/>
      </c>
      <c r="BB27" s="51" t="str">
        <f t="array" aca="1" ref="BB27" ca="1">IFERROR(INDEX(Leccion[selectorLeccion],SMALL(IF(BB$1=Leccion[SubSección],MATCH(ROW(Leccion[SubSección]),ROW(Leccion[SubSección]))),ROW(BA26))),"")</f>
        <v/>
      </c>
      <c r="BC27" s="51" t="str">
        <f t="array" aca="1" ref="BC27" ca="1">IFERROR(INDEX(Leccion[selectorLeccion],SMALL(IF(BC$1=Leccion[SubSección],MATCH(ROW(Leccion[SubSección]),ROW(Leccion[SubSección]))),ROW(BB26))),"")</f>
        <v/>
      </c>
      <c r="BD27" s="51" t="str">
        <f t="array" aca="1" ref="BD27" ca="1">IFERROR(INDEX(Leccion[selectorLeccion],SMALL(IF(BD$1=Leccion[SubSección],MATCH(ROW(Leccion[SubSección]),ROW(Leccion[SubSección]))),ROW(BC26))),"")</f>
        <v/>
      </c>
      <c r="BE27" s="51" t="str">
        <f t="array" aca="1" ref="BE27" ca="1">IFERROR(INDEX(Leccion[selectorLeccion],SMALL(IF(BE$1=Leccion[SubSección],MATCH(ROW(Leccion[SubSección]),ROW(Leccion[SubSección]))),ROW(BD26))),"")</f>
        <v/>
      </c>
      <c r="BF27" s="51" t="str">
        <f t="array" aca="1" ref="BF27" ca="1">IFERROR(INDEX(Leccion[selectorLeccion],SMALL(IF(BF$1=Leccion[SubSección],MATCH(ROW(Leccion[SubSección]),ROW(Leccion[SubSección]))),ROW(BE26))),"")</f>
        <v/>
      </c>
      <c r="BG27" s="51" t="str">
        <f t="array" aca="1" ref="BG27" ca="1">IFERROR(INDEX(Leccion[selectorLeccion],SMALL(IF(BG$1=Leccion[SubSección],MATCH(ROW(Leccion[SubSección]),ROW(Leccion[SubSección]))),ROW(BF26))),"")</f>
        <v/>
      </c>
      <c r="BH27" s="51" t="str">
        <f t="array" aca="1" ref="BH27" ca="1">IFERROR(INDEX(Leccion[selectorLeccion],SMALL(IF(BH$1=Leccion[SubSección],MATCH(ROW(Leccion[SubSección]),ROW(Leccion[SubSección]))),ROW(BG26))),"")</f>
        <v/>
      </c>
      <c r="BI27" s="51" t="str">
        <f t="array" aca="1" ref="BI27" ca="1">IFERROR(INDEX(Leccion[selectorLeccion],SMALL(IF(BI$1=Leccion[SubSección],MATCH(ROW(Leccion[SubSección]),ROW(Leccion[SubSección]))),ROW(BH26))),"")</f>
        <v/>
      </c>
      <c r="BJ27" s="51" t="str">
        <f t="array" aca="1" ref="BJ27" ca="1">IFERROR(INDEX(Leccion[selectorLeccion],SMALL(IF(BJ$1=Leccion[SubSección],MATCH(ROW(Leccion[SubSección]),ROW(Leccion[SubSección]))),ROW(BI26))),"")</f>
        <v/>
      </c>
      <c r="BK27" s="51" t="str">
        <f t="array" aca="1" ref="BK27" ca="1">IFERROR(INDEX(Leccion[selectorLeccion],SMALL(IF(BK$1=Leccion[SubSección],MATCH(ROW(Leccion[SubSección]),ROW(Leccion[SubSección]))),ROW(BJ26))),"")</f>
        <v/>
      </c>
      <c r="BL27" s="51" t="str">
        <f t="array" aca="1" ref="BL27" ca="1">IFERROR(INDEX(Leccion[selectorLeccion],SMALL(IF(BL$1=Leccion[SubSección],MATCH(ROW(Leccion[SubSección]),ROW(Leccion[SubSección]))),ROW(BK26))),"")</f>
        <v/>
      </c>
      <c r="BM27" s="51" t="str">
        <f t="array" aca="1" ref="BM27" ca="1">IFERROR(INDEX(Leccion[selectorLeccion],SMALL(IF(BM$1=Leccion[SubSección],MATCH(ROW(Leccion[SubSección]),ROW(Leccion[SubSección]))),ROW(BL26))),"")</f>
        <v/>
      </c>
      <c r="BN27" s="51" t="str">
        <f t="array" aca="1" ref="BN27" ca="1">IFERROR(INDEX(Leccion[selectorLeccion],SMALL(IF(BN$1=Leccion[SubSección],MATCH(ROW(Leccion[SubSección]),ROW(Leccion[SubSección]))),ROW(BM26))),"")</f>
        <v/>
      </c>
      <c r="BO27" s="51" t="str">
        <f t="array" aca="1" ref="BO27" ca="1">IFERROR(INDEX(Leccion[selectorLeccion],SMALL(IF(BO$1=Leccion[SubSección],MATCH(ROW(Leccion[SubSección]),ROW(Leccion[SubSección]))),ROW(BN26))),"")</f>
        <v/>
      </c>
      <c r="BP27" s="51" t="str">
        <f t="array" aca="1" ref="BP27" ca="1">IFERROR(INDEX(Leccion[selectorLeccion],SMALL(IF(BP$1=Leccion[SubSección],MATCH(ROW(Leccion[SubSección]),ROW(Leccion[SubSección]))),ROW(BO26))),"")</f>
        <v/>
      </c>
      <c r="BQ27" s="51" t="str">
        <f t="array" aca="1" ref="BQ27" ca="1">IFERROR(INDEX(Leccion[selectorLeccion],SMALL(IF(BQ$1=Leccion[SubSección],MATCH(ROW(Leccion[SubSección]),ROW(Leccion[SubSección]))),ROW(BP26))),"")</f>
        <v/>
      </c>
      <c r="BR27" s="51" t="str">
        <f t="array" aca="1" ref="BR27" ca="1">IFERROR(INDEX(Leccion[selectorLeccion],SMALL(IF(BR$1=Leccion[SubSección],MATCH(ROW(Leccion[SubSección]),ROW(Leccion[SubSección]))),ROW(BQ26))),"")</f>
        <v/>
      </c>
      <c r="BS27" s="51" t="str">
        <f t="array" aca="1" ref="BS27" ca="1">IFERROR(INDEX(Leccion[selectorLeccion],SMALL(IF(BS$1=Leccion[SubSección],MATCH(ROW(Leccion[SubSección]),ROW(Leccion[SubSección]))),ROW(BR26))),"")</f>
        <v/>
      </c>
      <c r="BT27" s="51" t="str">
        <f t="array" aca="1" ref="BT27" ca="1">IFERROR(INDEX(Leccion[selectorLeccion],SMALL(IF(BT$1=Leccion[SubSección],MATCH(ROW(Leccion[SubSección]),ROW(Leccion[SubSección]))),ROW(BS26))),"")</f>
        <v/>
      </c>
      <c r="BU27" s="51" t="str">
        <f t="array" aca="1" ref="BU27" ca="1">IFERROR(INDEX(Leccion[selectorLeccion],SMALL(IF(BU$1=Leccion[SubSección],MATCH(ROW(Leccion[SubSección]),ROW(Leccion[SubSección]))),ROW(BT26))),"")</f>
        <v/>
      </c>
      <c r="BV27" s="51" t="str">
        <f t="array" aca="1" ref="BV27" ca="1">IFERROR(INDEX(Leccion[selectorLeccion],SMALL(IF(BV$1=Leccion[SubSección],MATCH(ROW(Leccion[SubSección]),ROW(Leccion[SubSección]))),ROW(BU26))),"")</f>
        <v/>
      </c>
      <c r="BW27" s="51" t="str">
        <f t="array" aca="1" ref="BW27" ca="1">IFERROR(INDEX(Leccion[selectorLeccion],SMALL(IF(BW$1=Leccion[SubSección],MATCH(ROW(Leccion[SubSección]),ROW(Leccion[SubSección]))),ROW(BV26))),"")</f>
        <v/>
      </c>
      <c r="BX27" s="51" t="str">
        <f t="array" aca="1" ref="BX27" ca="1">IFERROR(INDEX(Leccion[selectorLeccion],SMALL(IF(BX$1=Leccion[SubSección],MATCH(ROW(Leccion[SubSección]),ROW(Leccion[SubSección]))),ROW(BW26))),"")</f>
        <v/>
      </c>
      <c r="BY27" s="51" t="str">
        <f t="array" aca="1" ref="BY27" ca="1">IFERROR(INDEX(Leccion[selectorLeccion],SMALL(IF(BY$1=Leccion[SubSección],MATCH(ROW(Leccion[SubSección]),ROW(Leccion[SubSección]))),ROW(BX26))),"")</f>
        <v/>
      </c>
      <c r="BZ27" s="51" t="str">
        <f t="array" aca="1" ref="BZ27" ca="1">IFERROR(INDEX(Leccion[selectorLeccion],SMALL(IF(BZ$1=Leccion[SubSección],MATCH(ROW(Leccion[SubSección]),ROW(Leccion[SubSección]))),ROW(BY26))),"")</f>
        <v/>
      </c>
      <c r="CA27" s="51" t="str">
        <f t="array" aca="1" ref="CA27" ca="1">IFERROR(INDEX(Leccion[selectorLeccion],SMALL(IF(CA$1=Leccion[SubSección],MATCH(ROW(Leccion[SubSección]),ROW(Leccion[SubSección]))),ROW(BZ26))),"")</f>
        <v/>
      </c>
      <c r="CB27" s="51" t="str">
        <f t="array" aca="1" ref="CB27" ca="1">IFERROR(INDEX(Leccion[selectorLeccion],SMALL(IF(CB$1=Leccion[SubSección],MATCH(ROW(Leccion[SubSección]),ROW(Leccion[SubSección]))),ROW(CA26))),"")</f>
        <v/>
      </c>
      <c r="CC27" s="51" t="str">
        <f t="array" aca="1" ref="CC27" ca="1">IFERROR(INDEX(Leccion[selectorLeccion],SMALL(IF(CC$1=Leccion[SubSección],MATCH(ROW(Leccion[SubSección]),ROW(Leccion[SubSección]))),ROW(CB26))),"")</f>
        <v/>
      </c>
      <c r="CD27" s="51" t="str">
        <f t="array" aca="1" ref="CD27" ca="1">IFERROR(INDEX(Leccion[selectorLeccion],SMALL(IF(CD$1=Leccion[SubSección],MATCH(ROW(Leccion[SubSección]),ROW(Leccion[SubSección]))),ROW(CC26))),"")</f>
        <v/>
      </c>
      <c r="CE27" s="51" t="str">
        <f t="array" aca="1" ref="CE27" ca="1">IFERROR(INDEX(Leccion[selectorLeccion],SMALL(IF(CE$1=Leccion[SubSección],MATCH(ROW(Leccion[SubSección]),ROW(Leccion[SubSección]))),ROW(CD26))),"")</f>
        <v/>
      </c>
      <c r="CF27" s="51" t="str">
        <f t="array" aca="1" ref="CF27" ca="1">IFERROR(INDEX(Leccion[selectorLeccion],SMALL(IF(CF$1=Leccion[SubSección],MATCH(ROW(Leccion[SubSección]),ROW(Leccion[SubSección]))),ROW(CE26))),"")</f>
        <v/>
      </c>
      <c r="CG27" s="51" t="str">
        <f t="array" aca="1" ref="CG27" ca="1">IFERROR(INDEX(Leccion[selectorLeccion],SMALL(IF(CG$1=Leccion[SubSección],MATCH(ROW(Leccion[SubSección]),ROW(Leccion[SubSección]))),ROW(CF26))),"")</f>
        <v/>
      </c>
      <c r="CH27" s="51" t="str">
        <f t="array" aca="1" ref="CH27" ca="1">IFERROR(INDEX(Leccion[selectorLeccion],SMALL(IF(CH$1=Leccion[SubSección],MATCH(ROW(Leccion[SubSección]),ROW(Leccion[SubSección]))),ROW(CG26))),"")</f>
        <v/>
      </c>
      <c r="CI27" s="51" t="str">
        <f t="array" aca="1" ref="CI27" ca="1">IFERROR(INDEX(Leccion[selectorLeccion],SMALL(IF(CI$1=Leccion[SubSección],MATCH(ROW(Leccion[SubSección]),ROW(Leccion[SubSección]))),ROW(CH26))),"")</f>
        <v/>
      </c>
      <c r="CJ27" s="51" t="str">
        <f t="array" aca="1" ref="CJ27" ca="1">IFERROR(INDEX(Leccion[selectorLeccion],SMALL(IF(CJ$1=Leccion[SubSección],MATCH(ROW(Leccion[SubSección]),ROW(Leccion[SubSección]))),ROW(CI26))),"")</f>
        <v/>
      </c>
      <c r="CK27" s="51" t="str">
        <f t="array" aca="1" ref="CK27" ca="1">IFERROR(INDEX(Leccion[selectorLeccion],SMALL(IF(CK$1=Leccion[SubSección],MATCH(ROW(Leccion[SubSección]),ROW(Leccion[SubSección]))),ROW(CJ26))),"")</f>
        <v/>
      </c>
      <c r="CL27" s="51" t="str">
        <f t="array" aca="1" ref="CL27" ca="1">IFERROR(INDEX(Leccion[selectorLeccion],SMALL(IF(CL$1=Leccion[SubSección],MATCH(ROW(Leccion[SubSección]),ROW(Leccion[SubSección]))),ROW(CK26))),"")</f>
        <v/>
      </c>
      <c r="CM27" s="51" t="str">
        <f t="array" aca="1" ref="CM27" ca="1">IFERROR(INDEX(Leccion[selectorLeccion],SMALL(IF(CM$1=Leccion[SubSección],MATCH(ROW(Leccion[SubSección]),ROW(Leccion[SubSección]))),ROW(CL26))),"")</f>
        <v/>
      </c>
      <c r="CN27" s="51" t="str">
        <f t="array" aca="1" ref="CN27" ca="1">IFERROR(INDEX(Leccion[selectorLeccion],SMALL(IF(CN$1=Leccion[SubSección],MATCH(ROW(Leccion[SubSección]),ROW(Leccion[SubSección]))),ROW(CM26))),"")</f>
        <v/>
      </c>
      <c r="CO27" s="51" t="str">
        <f t="array" aca="1" ref="CO27" ca="1">IFERROR(INDEX(Leccion[selectorLeccion],SMALL(IF(CO$1=Leccion[SubSección],MATCH(ROW(Leccion[SubSección]),ROW(Leccion[SubSección]))),ROW(CN26))),"")</f>
        <v/>
      </c>
      <c r="CP27" s="51" t="str">
        <f t="array" aca="1" ref="CP27" ca="1">IFERROR(INDEX(Leccion[selectorLeccion],SMALL(IF(CP$1=Leccion[SubSección],MATCH(ROW(Leccion[SubSección]),ROW(Leccion[SubSección]))),ROW(CO26))),"")</f>
        <v/>
      </c>
      <c r="CQ27" s="51" t="str">
        <f t="array" aca="1" ref="CQ27" ca="1">IFERROR(INDEX(Leccion[selectorLeccion],SMALL(IF(CQ$1=Leccion[SubSección],MATCH(ROW(Leccion[SubSección]),ROW(Leccion[SubSección]))),ROW(CP26))),"")</f>
        <v/>
      </c>
      <c r="CR27" s="51" t="str">
        <f t="array" aca="1" ref="CR27" ca="1">IFERROR(INDEX(Leccion[selectorLeccion],SMALL(IF(CR$1=Leccion[SubSección],MATCH(ROW(Leccion[SubSección]),ROW(Leccion[SubSección]))),ROW(CQ26))),"")</f>
        <v/>
      </c>
      <c r="CS27" s="51" t="str">
        <f t="array" aca="1" ref="CS27" ca="1">IFERROR(INDEX(Leccion[selectorLeccion],SMALL(IF(CS$1=Leccion[SubSección],MATCH(ROW(Leccion[SubSección]),ROW(Leccion[SubSección]))),ROW(CR26))),"")</f>
        <v/>
      </c>
      <c r="CT27" s="51" t="str">
        <f t="array" aca="1" ref="CT27" ca="1">IFERROR(INDEX(Leccion[selectorLeccion],SMALL(IF(CT$1=Leccion[SubSección],MATCH(ROW(Leccion[SubSección]),ROW(Leccion[SubSección]))),ROW(CS26))),"")</f>
        <v/>
      </c>
      <c r="CU27" s="51" t="str">
        <f t="array" aca="1" ref="CU27" ca="1">IFERROR(INDEX(Leccion[selectorLeccion],SMALL(IF(CU$1=Leccion[SubSección],MATCH(ROW(Leccion[SubSección]),ROW(Leccion[SubSección]))),ROW(CT26))),"")</f>
        <v/>
      </c>
      <c r="CV27" s="51" t="str">
        <f t="array" aca="1" ref="CV27" ca="1">IFERROR(INDEX(Leccion[selectorLeccion],SMALL(IF(CV$1=Leccion[SubSección],MATCH(ROW(Leccion[SubSección]),ROW(Leccion[SubSección]))),ROW(CU26))),"")</f>
        <v/>
      </c>
      <c r="CW27" s="51" t="str">
        <f t="array" aca="1" ref="CW27" ca="1">IFERROR(INDEX(Leccion[selectorLeccion],SMALL(IF(CW$1=Leccion[SubSección],MATCH(ROW(Leccion[SubSección]),ROW(Leccion[SubSección]))),ROW(CV26))),"")</f>
        <v/>
      </c>
      <c r="CX27" s="51" t="str">
        <f t="array" aca="1" ref="CX27" ca="1">IFERROR(INDEX(Leccion[selectorLeccion],SMALL(IF(CX$1=Leccion[SubSección],MATCH(ROW(Leccion[SubSección]),ROW(Leccion[SubSección]))),ROW(CW26))),"")</f>
        <v/>
      </c>
      <c r="CY27" s="51" t="str">
        <f t="array" aca="1" ref="CY27" ca="1">IFERROR(INDEX(Leccion[selectorLeccion],SMALL(IF(CY$1=Leccion[SubSección],MATCH(ROW(Leccion[SubSección]),ROW(Leccion[SubSección]))),ROW(CX26))),"")</f>
        <v/>
      </c>
      <c r="CZ27" s="51" t="str">
        <f t="array" aca="1" ref="CZ27" ca="1">IFERROR(INDEX(Leccion[selectorLeccion],SMALL(IF(CZ$1=Leccion[SubSección],MATCH(ROW(Leccion[SubSección]),ROW(Leccion[SubSección]))),ROW(CY26))),"")</f>
        <v/>
      </c>
      <c r="DA27" s="51" t="str">
        <f t="array" aca="1" ref="DA27" ca="1">IFERROR(INDEX(Leccion[selectorLeccion],SMALL(IF(DA$1=Leccion[SubSección],MATCH(ROW(Leccion[SubSección]),ROW(Leccion[SubSección]))),ROW(CZ26))),"")</f>
        <v/>
      </c>
      <c r="DB27" s="51" t="str">
        <f t="array" aca="1" ref="DB27" ca="1">IFERROR(INDEX(Leccion[selectorLeccion],SMALL(IF(DB$1=Leccion[SubSección],MATCH(ROW(Leccion[SubSección]),ROW(Leccion[SubSección]))),ROW(DA26))),"")</f>
        <v/>
      </c>
      <c r="DC27" s="51" t="str">
        <f t="array" aca="1" ref="DC27" ca="1">IFERROR(INDEX(Leccion[selectorLeccion],SMALL(IF(DC$1=Leccion[SubSección],MATCH(ROW(Leccion[SubSección]),ROW(Leccion[SubSección]))),ROW(DB26))),"")</f>
        <v/>
      </c>
      <c r="DD27" s="51" t="str">
        <f t="array" aca="1" ref="DD27" ca="1">IFERROR(INDEX(Leccion[selectorLeccion],SMALL(IF(DD$1=Leccion[SubSección],MATCH(ROW(Leccion[SubSección]),ROW(Leccion[SubSección]))),ROW(DC26))),"")</f>
        <v/>
      </c>
      <c r="DE27" s="51" t="str">
        <f t="array" aca="1" ref="DE27" ca="1">IFERROR(INDEX(Leccion[selectorLeccion],SMALL(IF(DE$1=Leccion[SubSección],MATCH(ROW(Leccion[SubSección]),ROW(Leccion[SubSección]))),ROW(DD26))),"")</f>
        <v/>
      </c>
      <c r="DF27" s="51" t="str">
        <f t="array" aca="1" ref="DF27" ca="1">IFERROR(INDEX(Leccion[selectorLeccion],SMALL(IF(DF$1=Leccion[SubSección],MATCH(ROW(Leccion[SubSección]),ROW(Leccion[SubSección]))),ROW(DE26))),"")</f>
        <v/>
      </c>
      <c r="DG27" s="51" t="str">
        <f t="array" aca="1" ref="DG27" ca="1">IFERROR(INDEX(Leccion[selectorLeccion],SMALL(IF(DG$1=Leccion[SubSección],MATCH(ROW(Leccion[SubSección]),ROW(Leccion[SubSección]))),ROW(DF26))),"")</f>
        <v/>
      </c>
      <c r="DH27" s="51" t="str">
        <f t="array" aca="1" ref="DH27" ca="1">IFERROR(INDEX(Leccion[selectorLeccion],SMALL(IF(DH$1=Leccion[SubSección],MATCH(ROW(Leccion[SubSección]),ROW(Leccion[SubSección]))),ROW(DG26))),"")</f>
        <v/>
      </c>
      <c r="DI27" s="51" t="str">
        <f t="array" aca="1" ref="DI27" ca="1">IFERROR(INDEX(Leccion[selectorLeccion],SMALL(IF(DI$1=Leccion[SubSección],MATCH(ROW(Leccion[SubSección]),ROW(Leccion[SubSección]))),ROW(DH26))),"")</f>
        <v/>
      </c>
      <c r="DJ27" s="51" t="str">
        <f t="array" aca="1" ref="DJ27" ca="1">IFERROR(INDEX(Leccion[selectorLeccion],SMALL(IF(DJ$1=Leccion[SubSección],MATCH(ROW(Leccion[SubSección]),ROW(Leccion[SubSección]))),ROW(DI26))),"")</f>
        <v/>
      </c>
      <c r="DK27" s="51" t="str">
        <f t="array" aca="1" ref="DK27" ca="1">IFERROR(INDEX(Leccion[selectorLeccion],SMALL(IF(DK$1=Leccion[SubSección],MATCH(ROW(Leccion[SubSección]),ROW(Leccion[SubSección]))),ROW(DJ26))),"")</f>
        <v/>
      </c>
      <c r="DL27" s="51" t="str">
        <f t="array" aca="1" ref="DL27" ca="1">IFERROR(INDEX(Leccion[selectorLeccion],SMALL(IF(DL$1=Leccion[SubSección],MATCH(ROW(Leccion[SubSección]),ROW(Leccion[SubSección]))),ROW(DK26))),"")</f>
        <v/>
      </c>
      <c r="DM27" s="51" t="str">
        <f t="array" aca="1" ref="DM27" ca="1">IFERROR(INDEX(Leccion[selectorLeccion],SMALL(IF(DM$1=Leccion[SubSección],MATCH(ROW(Leccion[SubSección]),ROW(Leccion[SubSección]))),ROW(DL26))),"")</f>
        <v/>
      </c>
      <c r="DN27" s="51" t="str">
        <f t="array" aca="1" ref="DN27" ca="1">IFERROR(INDEX(Leccion[selectorLeccion],SMALL(IF(DN$1=Leccion[SubSección],MATCH(ROW(Leccion[SubSección]),ROW(Leccion[SubSección]))),ROW(DM26))),"")</f>
        <v/>
      </c>
      <c r="DO27" s="51" t="str">
        <f t="array" aca="1" ref="DO27" ca="1">IFERROR(INDEX(Leccion[selectorLeccion],SMALL(IF(DO$1=Leccion[SubSección],MATCH(ROW(Leccion[SubSección]),ROW(Leccion[SubSección]))),ROW(DN26))),"")</f>
        <v/>
      </c>
      <c r="DP27" s="51" t="str">
        <f t="array" aca="1" ref="DP27" ca="1">IFERROR(INDEX(Leccion[selectorLeccion],SMALL(IF(DP$1=Leccion[SubSección],MATCH(ROW(Leccion[SubSección]),ROW(Leccion[SubSección]))),ROW(DO26))),"")</f>
        <v/>
      </c>
      <c r="DQ27" s="51" t="str">
        <f t="array" aca="1" ref="DQ27" ca="1">IFERROR(INDEX(Leccion[selectorLeccion],SMALL(IF(DQ$1=Leccion[SubSección],MATCH(ROW(Leccion[SubSección]),ROW(Leccion[SubSección]))),ROW(DP26))),"")</f>
        <v/>
      </c>
      <c r="DR27" s="51" t="str">
        <f t="array" aca="1" ref="DR27" ca="1">IFERROR(INDEX(Leccion[selectorLeccion],SMALL(IF(DR$1=Leccion[SubSección],MATCH(ROW(Leccion[SubSección]),ROW(Leccion[SubSección]))),ROW(DQ26))),"")</f>
        <v/>
      </c>
      <c r="DS27" s="51" t="str">
        <f t="array" aca="1" ref="DS27" ca="1">IFERROR(INDEX(Leccion[selectorLeccion],SMALL(IF(DS$1=Leccion[SubSección],MATCH(ROW(Leccion[SubSección]),ROW(Leccion[SubSección]))),ROW(DR26))),"")</f>
        <v/>
      </c>
      <c r="DT27" s="51" t="str">
        <f t="array" aca="1" ref="DT27" ca="1">IFERROR(INDEX(Leccion[selectorLeccion],SMALL(IF(DT$1=Leccion[SubSección],MATCH(ROW(Leccion[SubSección]),ROW(Leccion[SubSección]))),ROW(DS26))),"")</f>
        <v/>
      </c>
      <c r="DU27" s="51" t="str">
        <f t="array" aca="1" ref="DU27" ca="1">IFERROR(INDEX(Leccion[selectorLeccion],SMALL(IF(DU$1=Leccion[SubSección],MATCH(ROW(Leccion[SubSección]),ROW(Leccion[SubSección]))),ROW(DT26))),"")</f>
        <v/>
      </c>
      <c r="DV27" s="51" t="str">
        <f t="array" aca="1" ref="DV27" ca="1">IFERROR(INDEX(Leccion[selectorLeccion],SMALL(IF(DV$1=Leccion[SubSección],MATCH(ROW(Leccion[SubSección]),ROW(Leccion[SubSección]))),ROW(DU26))),"")</f>
        <v/>
      </c>
      <c r="DW27" s="51" t="str">
        <f t="array" aca="1" ref="DW27" ca="1">IFERROR(INDEX(Leccion[selectorLeccion],SMALL(IF(DW$1=Leccion[SubSección],MATCH(ROW(Leccion[SubSección]),ROW(Leccion[SubSección]))),ROW(DV26))),"")</f>
        <v/>
      </c>
      <c r="DX27" s="51" t="str">
        <f t="array" aca="1" ref="DX27" ca="1">IFERROR(INDEX(Leccion[selectorLeccion],SMALL(IF(DX$1=Leccion[SubSección],MATCH(ROW(Leccion[SubSección]),ROW(Leccion[SubSección]))),ROW(DW26))),"")</f>
        <v/>
      </c>
      <c r="DY27" s="51" t="str">
        <f t="array" aca="1" ref="DY27" ca="1">IFERROR(INDEX(Leccion[selectorLeccion],SMALL(IF(DY$1=Leccion[SubSección],MATCH(ROW(Leccion[SubSección]),ROW(Leccion[SubSección]))),ROW(DX26))),"")</f>
        <v/>
      </c>
      <c r="DZ27" s="51" t="str">
        <f t="array" aca="1" ref="DZ27" ca="1">IFERROR(INDEX(Leccion[selectorLeccion],SMALL(IF(DZ$1=Leccion[SubSección],MATCH(ROW(Leccion[SubSección]),ROW(Leccion[SubSección]))),ROW(DY26))),"")</f>
        <v/>
      </c>
      <c r="EA27" s="51" t="str">
        <f t="array" aca="1" ref="EA27" ca="1">IFERROR(INDEX(Leccion[selectorLeccion],SMALL(IF(EA$1=Leccion[SubSección],MATCH(ROW(Leccion[SubSección]),ROW(Leccion[SubSección]))),ROW(DZ26))),"")</f>
        <v/>
      </c>
      <c r="EB27" s="51" t="str">
        <f t="array" aca="1" ref="EB27" ca="1">IFERROR(INDEX(Leccion[selectorLeccion],SMALL(IF(EB$1=Leccion[SubSección],MATCH(ROW(Leccion[SubSección]),ROW(Leccion[SubSección]))),ROW(EA26))),"")</f>
        <v/>
      </c>
      <c r="EC27" s="51" t="str">
        <f t="array" aca="1" ref="EC27" ca="1">IFERROR(INDEX(Leccion[selectorLeccion],SMALL(IF(EC$1=Leccion[SubSección],MATCH(ROW(Leccion[SubSección]),ROW(Leccion[SubSección]))),ROW(EB26))),"")</f>
        <v/>
      </c>
      <c r="ED27" s="51" t="str">
        <f t="array" aca="1" ref="ED27" ca="1">IFERROR(INDEX(Leccion[selectorLeccion],SMALL(IF(ED$1=Leccion[SubSección],MATCH(ROW(Leccion[SubSección]),ROW(Leccion[SubSección]))),ROW(EC26))),"")</f>
        <v/>
      </c>
      <c r="EE27" s="51" t="str">
        <f t="array" aca="1" ref="EE27" ca="1">IFERROR(INDEX(Leccion[selectorLeccion],SMALL(IF(EE$1=Leccion[SubSección],MATCH(ROW(Leccion[SubSección]),ROW(Leccion[SubSección]))),ROW(ED26))),"")</f>
        <v/>
      </c>
      <c r="EF27" s="51" t="str">
        <f t="array" aca="1" ref="EF27" ca="1">IFERROR(INDEX(Leccion[selectorLeccion],SMALL(IF(EF$1=Leccion[SubSección],MATCH(ROW(Leccion[SubSección]),ROW(Leccion[SubSección]))),ROW(EE26))),"")</f>
        <v/>
      </c>
      <c r="EG27" s="51" t="str">
        <f t="array" aca="1" ref="EG27" ca="1">IFERROR(INDEX(Leccion[selectorLeccion],SMALL(IF(EG$1=Leccion[SubSección],MATCH(ROW(Leccion[SubSección]),ROW(Leccion[SubSección]))),ROW(EF26))),"")</f>
        <v/>
      </c>
      <c r="EH27" s="51" t="str">
        <f t="array" aca="1" ref="EH27" ca="1">IFERROR(INDEX(Leccion[selectorLeccion],SMALL(IF(EH$1=Leccion[SubSección],MATCH(ROW(Leccion[SubSección]),ROW(Leccion[SubSección]))),ROW(EG26))),"")</f>
        <v/>
      </c>
      <c r="EI27" s="51" t="str">
        <f t="array" aca="1" ref="EI27" ca="1">IFERROR(INDEX(Leccion[selectorLeccion],SMALL(IF(EI$1=Leccion[SubSección],MATCH(ROW(Leccion[SubSección]),ROW(Leccion[SubSección]))),ROW(EH26))),"")</f>
        <v/>
      </c>
      <c r="EJ27" s="51" t="str">
        <f t="array" aca="1" ref="EJ27" ca="1">IFERROR(INDEX(Leccion[selectorLeccion],SMALL(IF(EJ$1=Leccion[SubSección],MATCH(ROW(Leccion[SubSección]),ROW(Leccion[SubSección]))),ROW(EI26))),"")</f>
        <v/>
      </c>
      <c r="EK27" s="51" t="str">
        <f t="array" aca="1" ref="EK27" ca="1">IFERROR(INDEX(Leccion[selectorLeccion],SMALL(IF(EK$1=Leccion[SubSección],MATCH(ROW(Leccion[SubSección]),ROW(Leccion[SubSección]))),ROW(EJ26))),"")</f>
        <v/>
      </c>
      <c r="EL27" s="51" t="str">
        <f t="array" aca="1" ref="EL27" ca="1">IFERROR(INDEX(Leccion[selectorLeccion],SMALL(IF(EL$1=Leccion[SubSección],MATCH(ROW(Leccion[SubSección]),ROW(Leccion[SubSección]))),ROW(EK26))),"")</f>
        <v/>
      </c>
      <c r="EM27" s="51" t="str">
        <f t="array" aca="1" ref="EM27" ca="1">IFERROR(INDEX(Leccion[selectorLeccion],SMALL(IF(EM$1=Leccion[SubSección],MATCH(ROW(Leccion[SubSección]),ROW(Leccion[SubSección]))),ROW(EL26))),"")</f>
        <v/>
      </c>
      <c r="EN27" s="51" t="str">
        <f t="array" aca="1" ref="EN27" ca="1">IFERROR(INDEX(Leccion[selectorLeccion],SMALL(IF(EN$1=Leccion[SubSección],MATCH(ROW(Leccion[SubSección]),ROW(Leccion[SubSección]))),ROW(EM26))),"")</f>
        <v/>
      </c>
      <c r="EO27" s="51" t="str">
        <f t="array" aca="1" ref="EO27" ca="1">IFERROR(INDEX(Leccion[selectorLeccion],SMALL(IF(EO$1=Leccion[SubSección],MATCH(ROW(Leccion[SubSección]),ROW(Leccion[SubSección]))),ROW(EN26))),"")</f>
        <v/>
      </c>
      <c r="EP27" s="51" t="str">
        <f t="array" aca="1" ref="EP27" ca="1">IFERROR(INDEX(Leccion[selectorLeccion],SMALL(IF(EP$1=Leccion[SubSección],MATCH(ROW(Leccion[SubSección]),ROW(Leccion[SubSección]))),ROW(EO26))),"")</f>
        <v/>
      </c>
      <c r="EQ27" s="51" t="str">
        <f t="array" aca="1" ref="EQ27" ca="1">IFERROR(INDEX(Leccion[selectorLeccion],SMALL(IF(EQ$1=Leccion[SubSección],MATCH(ROW(Leccion[SubSección]),ROW(Leccion[SubSección]))),ROW(EP26))),"")</f>
        <v/>
      </c>
      <c r="ER27" s="51" t="str">
        <f t="array" aca="1" ref="ER27" ca="1">IFERROR(INDEX(Leccion[selectorLeccion],SMALL(IF(ER$1=Leccion[SubSección],MATCH(ROW(Leccion[SubSección]),ROW(Leccion[SubSección]))),ROW(EQ26))),"")</f>
        <v/>
      </c>
      <c r="ES27" s="51" t="str">
        <f t="array" aca="1" ref="ES27" ca="1">IFERROR(INDEX(Leccion[selectorLeccion],SMALL(IF(ES$1=Leccion[SubSección],MATCH(ROW(Leccion[SubSección]),ROW(Leccion[SubSección]))),ROW(ER26))),"")</f>
        <v/>
      </c>
      <c r="ET27" s="51" t="str">
        <f t="array" aca="1" ref="ET27" ca="1">IFERROR(INDEX(Leccion[selectorLeccion],SMALL(IF(ET$1=Leccion[SubSección],MATCH(ROW(Leccion[SubSección]),ROW(Leccion[SubSección]))),ROW(ES26))),"")</f>
        <v/>
      </c>
      <c r="EU27" s="51" t="str">
        <f t="array" aca="1" ref="EU27" ca="1">IFERROR(INDEX(Leccion[selectorLeccion],SMALL(IF(EU$1=Leccion[SubSección],MATCH(ROW(Leccion[SubSección]),ROW(Leccion[SubSección]))),ROW(ET26))),"")</f>
        <v/>
      </c>
      <c r="EV27" s="51" t="str">
        <f t="array" aca="1" ref="EV27" ca="1">IFERROR(INDEX(Leccion[selectorLeccion],SMALL(IF(EV$1=Leccion[SubSección],MATCH(ROW(Leccion[SubSección]),ROW(Leccion[SubSección]))),ROW(EU26))),"")</f>
        <v/>
      </c>
      <c r="EW27" s="51" t="str">
        <f t="array" aca="1" ref="EW27" ca="1">IFERROR(INDEX(Leccion[selectorLeccion],SMALL(IF(EW$1=Leccion[SubSección],MATCH(ROW(Leccion[SubSección]),ROW(Leccion[SubSección]))),ROW(EV26))),"")</f>
        <v/>
      </c>
      <c r="EX27" s="51" t="str">
        <f t="array" aca="1" ref="EX27" ca="1">IFERROR(INDEX(Leccion[selectorLeccion],SMALL(IF(EX$1=Leccion[SubSección],MATCH(ROW(Leccion[SubSección]),ROW(Leccion[SubSección]))),ROW(EW26))),"")</f>
        <v/>
      </c>
      <c r="EY27" s="51" t="str">
        <f t="array" aca="1" ref="EY27" ca="1">IFERROR(INDEX(Leccion[selectorLeccion],SMALL(IF(EY$1=Leccion[SubSección],MATCH(ROW(Leccion[SubSección]),ROW(Leccion[SubSección]))),ROW(EX26))),"")</f>
        <v/>
      </c>
      <c r="EZ27" s="51" t="str">
        <f t="array" aca="1" ref="EZ27" ca="1">IFERROR(INDEX(Leccion[selectorLeccion],SMALL(IF(EZ$1=Leccion[SubSección],MATCH(ROW(Leccion[SubSección]),ROW(Leccion[SubSección]))),ROW(EY26))),"")</f>
        <v/>
      </c>
    </row>
    <row r="28" spans="2:156" x14ac:dyDescent="0.3">
      <c r="B28" s="51" t="str">
        <f t="array" aca="1" ref="B28" ca="1">IFERROR(INDEX(Leccion[selectorLeccion],SMALL(IF(B$1=Leccion[SubSección],MATCH(ROW(Leccion[SubSección]),ROW(Leccion[SubSección]))),ROW(A27))),"")</f>
        <v/>
      </c>
      <c r="C28" s="51" t="str">
        <f t="array" aca="1" ref="C28" ca="1">IFERROR(INDEX(Leccion[selectorLeccion],SMALL(IF(C$1=Leccion[SubSección],MATCH(ROW(Leccion[SubSección]),ROW(Leccion[SubSección]))),ROW(B27))),"")</f>
        <v/>
      </c>
      <c r="D28" s="51" t="str">
        <f t="array" aca="1" ref="D28" ca="1">IFERROR(INDEX(Leccion[selectorLeccion],SMALL(IF(D$1=Leccion[SubSección],MATCH(ROW(Leccion[SubSección]),ROW(Leccion[SubSección]))),ROW(C27))),"")</f>
        <v/>
      </c>
      <c r="E28" s="51" t="str">
        <f t="array" aca="1" ref="E28" ca="1">IFERROR(INDEX(Leccion[selectorLeccion],SMALL(IF(E$1=Leccion[SubSección],MATCH(ROW(Leccion[SubSección]),ROW(Leccion[SubSección]))),ROW(D27))),"")</f>
        <v/>
      </c>
      <c r="F28" s="51" t="str">
        <f t="array" aca="1" ref="F28" ca="1">IFERROR(INDEX(Leccion[selectorLeccion],SMALL(IF(F$1=Leccion[SubSección],MATCH(ROW(Leccion[SubSección]),ROW(Leccion[SubSección]))),ROW(E27))),"")</f>
        <v/>
      </c>
      <c r="G28" s="51" t="str">
        <f t="array" aca="1" ref="G28" ca="1">IFERROR(INDEX(Leccion[selectorLeccion],SMALL(IF(G$1=Leccion[SubSección],MATCH(ROW(Leccion[SubSección]),ROW(Leccion[SubSección]))),ROW(F27))),"")</f>
        <v/>
      </c>
      <c r="H28" s="51" t="str">
        <f t="array" aca="1" ref="H28" ca="1">IFERROR(INDEX(Leccion[selectorLeccion],SMALL(IF(H$1=Leccion[SubSección],MATCH(ROW(Leccion[SubSección]),ROW(Leccion[SubSección]))),ROW(G27))),"")</f>
        <v/>
      </c>
      <c r="I28" s="51" t="str">
        <f t="array" aca="1" ref="I28" ca="1">IFERROR(INDEX(Leccion[selectorLeccion],SMALL(IF(I$1=Leccion[SubSección],MATCH(ROW(Leccion[SubSección]),ROW(Leccion[SubSección]))),ROW(H27))),"")</f>
        <v/>
      </c>
      <c r="J28" s="51" t="str">
        <f t="array" aca="1" ref="J28" ca="1">IFERROR(INDEX(Leccion[selectorLeccion],SMALL(IF(J$1=Leccion[SubSección],MATCH(ROW(Leccion[SubSección]),ROW(Leccion[SubSección]))),ROW(I27))),"")</f>
        <v/>
      </c>
      <c r="K28" s="51" t="str">
        <f t="array" aca="1" ref="K28" ca="1">IFERROR(INDEX(Leccion[selectorLeccion],SMALL(IF(K$1=Leccion[SubSección],MATCH(ROW(Leccion[SubSección]),ROW(Leccion[SubSección]))),ROW(J27))),"")</f>
        <v/>
      </c>
      <c r="L28" s="51" t="str">
        <f t="array" aca="1" ref="L28" ca="1">IFERROR(INDEX(Leccion[selectorLeccion],SMALL(IF(L$1=Leccion[SubSección],MATCH(ROW(Leccion[SubSección]),ROW(Leccion[SubSección]))),ROW(K27))),"")</f>
        <v/>
      </c>
      <c r="M28" s="51" t="str">
        <f t="array" aca="1" ref="M28" ca="1">IFERROR(INDEX(Leccion[selectorLeccion],SMALL(IF(M$1=Leccion[SubSección],MATCH(ROW(Leccion[SubSección]),ROW(Leccion[SubSección]))),ROW(L27))),"")</f>
        <v/>
      </c>
      <c r="N28" s="51" t="str">
        <f t="array" aca="1" ref="N28" ca="1">IFERROR(INDEX(Leccion[selectorLeccion],SMALL(IF(N$1=Leccion[SubSección],MATCH(ROW(Leccion[SubSección]),ROW(Leccion[SubSección]))),ROW(M27))),"")</f>
        <v/>
      </c>
      <c r="O28" s="51" t="str">
        <f t="array" aca="1" ref="O28" ca="1">IFERROR(INDEX(Leccion[selectorLeccion],SMALL(IF(O$1=Leccion[SubSección],MATCH(ROW(Leccion[SubSección]),ROW(Leccion[SubSección]))),ROW(N27))),"")</f>
        <v/>
      </c>
      <c r="P28" s="51" t="str">
        <f t="array" aca="1" ref="P28" ca="1">IFERROR(INDEX(Leccion[selectorLeccion],SMALL(IF(P$1=Leccion[SubSección],MATCH(ROW(Leccion[SubSección]),ROW(Leccion[SubSección]))),ROW(O27))),"")</f>
        <v/>
      </c>
      <c r="Q28" s="51" t="str">
        <f t="array" aca="1" ref="Q28" ca="1">IFERROR(INDEX(Leccion[selectorLeccion],SMALL(IF(Q$1=Leccion[SubSección],MATCH(ROW(Leccion[SubSección]),ROW(Leccion[SubSección]))),ROW(P27))),"")</f>
        <v/>
      </c>
      <c r="R28" s="51" t="str">
        <f t="array" aca="1" ref="R28" ca="1">IFERROR(INDEX(Leccion[selectorLeccion],SMALL(IF(R$1=Leccion[SubSección],MATCH(ROW(Leccion[SubSección]),ROW(Leccion[SubSección]))),ROW(Q27))),"")</f>
        <v/>
      </c>
      <c r="S28" s="51" t="str">
        <f t="array" aca="1" ref="S28" ca="1">IFERROR(INDEX(Leccion[selectorLeccion],SMALL(IF(S$1=Leccion[SubSección],MATCH(ROW(Leccion[SubSección]),ROW(Leccion[SubSección]))),ROW(R27))),"")</f>
        <v/>
      </c>
      <c r="T28" s="51" t="str">
        <f t="array" aca="1" ref="T28" ca="1">IFERROR(INDEX(Leccion[selectorLeccion],SMALL(IF(T$1=Leccion[SubSección],MATCH(ROW(Leccion[SubSección]),ROW(Leccion[SubSección]))),ROW(S27))),"")</f>
        <v/>
      </c>
      <c r="U28" s="51" t="str">
        <f t="array" aca="1" ref="U28" ca="1">IFERROR(INDEX(Leccion[selectorLeccion],SMALL(IF(U$1=Leccion[SubSección],MATCH(ROW(Leccion[SubSección]),ROW(Leccion[SubSección]))),ROW(T27))),"")</f>
        <v/>
      </c>
      <c r="V28" s="51" t="str">
        <f t="array" aca="1" ref="V28" ca="1">IFERROR(INDEX(Leccion[selectorLeccion],SMALL(IF(V$1=Leccion[SubSección],MATCH(ROW(Leccion[SubSección]),ROW(Leccion[SubSección]))),ROW(U27))),"")</f>
        <v/>
      </c>
      <c r="W28" s="51" t="str">
        <f t="array" aca="1" ref="W28" ca="1">IFERROR(INDEX(Leccion[selectorLeccion],SMALL(IF(W$1=Leccion[SubSección],MATCH(ROW(Leccion[SubSección]),ROW(Leccion[SubSección]))),ROW(V27))),"")</f>
        <v/>
      </c>
      <c r="X28" s="51" t="str">
        <f t="array" aca="1" ref="X28" ca="1">IFERROR(INDEX(Leccion[selectorLeccion],SMALL(IF(X$1=Leccion[SubSección],MATCH(ROW(Leccion[SubSección]),ROW(Leccion[SubSección]))),ROW(W27))),"")</f>
        <v/>
      </c>
      <c r="Y28" s="51" t="str">
        <f t="array" aca="1" ref="Y28" ca="1">IFERROR(INDEX(Leccion[selectorLeccion],SMALL(IF(Y$1=Leccion[SubSección],MATCH(ROW(Leccion[SubSección]),ROW(Leccion[SubSección]))),ROW(X27))),"")</f>
        <v/>
      </c>
      <c r="Z28" s="51" t="str">
        <f t="array" aca="1" ref="Z28" ca="1">IFERROR(INDEX(Leccion[selectorLeccion],SMALL(IF(Z$1=Leccion[SubSección],MATCH(ROW(Leccion[SubSección]),ROW(Leccion[SubSección]))),ROW(Y27))),"")</f>
        <v/>
      </c>
      <c r="AA28" s="51" t="str">
        <f t="array" aca="1" ref="AA28" ca="1">IFERROR(INDEX(Leccion[selectorLeccion],SMALL(IF(AA$1=Leccion[SubSección],MATCH(ROW(Leccion[SubSección]),ROW(Leccion[SubSección]))),ROW(Z27))),"")</f>
        <v/>
      </c>
      <c r="AB28" s="51" t="str">
        <f t="array" aca="1" ref="AB28" ca="1">IFERROR(INDEX(Leccion[selectorLeccion],SMALL(IF(AB$1=Leccion[SubSección],MATCH(ROW(Leccion[SubSección]),ROW(Leccion[SubSección]))),ROW(AA27))),"")</f>
        <v/>
      </c>
      <c r="AC28" s="51" t="str">
        <f t="array" aca="1" ref="AC28" ca="1">IFERROR(INDEX(Leccion[selectorLeccion],SMALL(IF(AC$1=Leccion[SubSección],MATCH(ROW(Leccion[SubSección]),ROW(Leccion[SubSección]))),ROW(AB27))),"")</f>
        <v/>
      </c>
      <c r="AD28" s="51" t="str">
        <f t="array" aca="1" ref="AD28" ca="1">IFERROR(INDEX(Leccion[selectorLeccion],SMALL(IF(AD$1=Leccion[SubSección],MATCH(ROW(Leccion[SubSección]),ROW(Leccion[SubSección]))),ROW(AC27))),"")</f>
        <v/>
      </c>
      <c r="AE28" s="51" t="str">
        <f t="array" aca="1" ref="AE28" ca="1">IFERROR(INDEX(Leccion[selectorLeccion],SMALL(IF(AE$1=Leccion[SubSección],MATCH(ROW(Leccion[SubSección]),ROW(Leccion[SubSección]))),ROW(AD27))),"")</f>
        <v/>
      </c>
      <c r="AF28" s="51" t="str">
        <f t="array" aca="1" ref="AF28" ca="1">IFERROR(INDEX(Leccion[selectorLeccion],SMALL(IF(AF$1=Leccion[SubSección],MATCH(ROW(Leccion[SubSección]),ROW(Leccion[SubSección]))),ROW(AE27))),"")</f>
        <v/>
      </c>
      <c r="AG28" s="51" t="str">
        <f t="array" aca="1" ref="AG28" ca="1">IFERROR(INDEX(Leccion[selectorLeccion],SMALL(IF(AG$1=Leccion[SubSección],MATCH(ROW(Leccion[SubSección]),ROW(Leccion[SubSección]))),ROW(AF27))),"")</f>
        <v/>
      </c>
      <c r="AH28" s="51" t="str">
        <f t="array" aca="1" ref="AH28" ca="1">IFERROR(INDEX(Leccion[selectorLeccion],SMALL(IF(AH$1=Leccion[SubSección],MATCH(ROW(Leccion[SubSección]),ROW(Leccion[SubSección]))),ROW(AG27))),"")</f>
        <v/>
      </c>
      <c r="AI28" s="51" t="str">
        <f t="array" aca="1" ref="AI28" ca="1">IFERROR(INDEX(Leccion[selectorLeccion],SMALL(IF(AI$1=Leccion[SubSección],MATCH(ROW(Leccion[SubSección]),ROW(Leccion[SubSección]))),ROW(AH27))),"")</f>
        <v/>
      </c>
      <c r="AJ28" s="51" t="str">
        <f t="array" aca="1" ref="AJ28" ca="1">IFERROR(INDEX(Leccion[selectorLeccion],SMALL(IF(AJ$1=Leccion[SubSección],MATCH(ROW(Leccion[SubSección]),ROW(Leccion[SubSección]))),ROW(AI27))),"")</f>
        <v/>
      </c>
      <c r="AK28" s="51" t="str">
        <f t="array" aca="1" ref="AK28" ca="1">IFERROR(INDEX(Leccion[selectorLeccion],SMALL(IF(AK$1=Leccion[SubSección],MATCH(ROW(Leccion[SubSección]),ROW(Leccion[SubSección]))),ROW(AJ27))),"")</f>
        <v/>
      </c>
      <c r="AL28" s="51" t="str">
        <f t="array" aca="1" ref="AL28" ca="1">IFERROR(INDEX(Leccion[selectorLeccion],SMALL(IF(AL$1=Leccion[SubSección],MATCH(ROW(Leccion[SubSección]),ROW(Leccion[SubSección]))),ROW(AK27))),"")</f>
        <v/>
      </c>
      <c r="AM28" s="51" t="str">
        <f t="array" aca="1" ref="AM28" ca="1">IFERROR(INDEX(Leccion[selectorLeccion],SMALL(IF(AM$1=Leccion[SubSección],MATCH(ROW(Leccion[SubSección]),ROW(Leccion[SubSección]))),ROW(AL27))),"")</f>
        <v/>
      </c>
      <c r="AN28" s="51" t="str">
        <f t="array" aca="1" ref="AN28" ca="1">IFERROR(INDEX(Leccion[selectorLeccion],SMALL(IF(AN$1=Leccion[SubSección],MATCH(ROW(Leccion[SubSección]),ROW(Leccion[SubSección]))),ROW(AM27))),"")</f>
        <v/>
      </c>
      <c r="AO28" s="51" t="str">
        <f t="array" aca="1" ref="AO28" ca="1">IFERROR(INDEX(Leccion[selectorLeccion],SMALL(IF(AO$1=Leccion[SubSección],MATCH(ROW(Leccion[SubSección]),ROW(Leccion[SubSección]))),ROW(AN27))),"")</f>
        <v/>
      </c>
      <c r="AP28" s="51" t="str">
        <f t="array" aca="1" ref="AP28" ca="1">IFERROR(INDEX(Leccion[selectorLeccion],SMALL(IF(AP$1=Leccion[SubSección],MATCH(ROW(Leccion[SubSección]),ROW(Leccion[SubSección]))),ROW(AO27))),"")</f>
        <v/>
      </c>
      <c r="AQ28" s="51" t="str">
        <f t="array" aca="1" ref="AQ28" ca="1">IFERROR(INDEX(Leccion[selectorLeccion],SMALL(IF(AQ$1=Leccion[SubSección],MATCH(ROW(Leccion[SubSección]),ROW(Leccion[SubSección]))),ROW(AP27))),"")</f>
        <v/>
      </c>
      <c r="AR28" s="51" t="str">
        <f t="array" aca="1" ref="AR28" ca="1">IFERROR(INDEX(Leccion[selectorLeccion],SMALL(IF(AR$1=Leccion[SubSección],MATCH(ROW(Leccion[SubSección]),ROW(Leccion[SubSección]))),ROW(AQ27))),"")</f>
        <v/>
      </c>
      <c r="AS28" s="51" t="str">
        <f t="array" aca="1" ref="AS28" ca="1">IFERROR(INDEX(Leccion[selectorLeccion],SMALL(IF(AS$1=Leccion[SubSección],MATCH(ROW(Leccion[SubSección]),ROW(Leccion[SubSección]))),ROW(AR27))),"")</f>
        <v/>
      </c>
      <c r="AT28" s="51" t="str">
        <f t="array" aca="1" ref="AT28" ca="1">IFERROR(INDEX(Leccion[selectorLeccion],SMALL(IF(AT$1=Leccion[SubSección],MATCH(ROW(Leccion[SubSección]),ROW(Leccion[SubSección]))),ROW(AS27))),"")</f>
        <v/>
      </c>
      <c r="AU28" s="51" t="str">
        <f t="array" aca="1" ref="AU28" ca="1">IFERROR(INDEX(Leccion[selectorLeccion],SMALL(IF(AU$1=Leccion[SubSección],MATCH(ROW(Leccion[SubSección]),ROW(Leccion[SubSección]))),ROW(AT27))),"")</f>
        <v/>
      </c>
      <c r="AV28" s="51" t="str">
        <f t="array" aca="1" ref="AV28" ca="1">IFERROR(INDEX(Leccion[selectorLeccion],SMALL(IF(AV$1=Leccion[SubSección],MATCH(ROW(Leccion[SubSección]),ROW(Leccion[SubSección]))),ROW(AU27))),"")</f>
        <v/>
      </c>
      <c r="AW28" s="51" t="str">
        <f t="array" aca="1" ref="AW28" ca="1">IFERROR(INDEX(Leccion[selectorLeccion],SMALL(IF(AW$1=Leccion[SubSección],MATCH(ROW(Leccion[SubSección]),ROW(Leccion[SubSección]))),ROW(AV27))),"")</f>
        <v/>
      </c>
      <c r="AX28" s="51" t="str">
        <f t="array" aca="1" ref="AX28" ca="1">IFERROR(INDEX(Leccion[selectorLeccion],SMALL(IF(AX$1=Leccion[SubSección],MATCH(ROW(Leccion[SubSección]),ROW(Leccion[SubSección]))),ROW(AW27))),"")</f>
        <v/>
      </c>
      <c r="AY28" s="51" t="str">
        <f t="array" aca="1" ref="AY28" ca="1">IFERROR(INDEX(Leccion[selectorLeccion],SMALL(IF(AY$1=Leccion[SubSección],MATCH(ROW(Leccion[SubSección]),ROW(Leccion[SubSección]))),ROW(AX27))),"")</f>
        <v/>
      </c>
      <c r="AZ28" s="51" t="str">
        <f t="array" aca="1" ref="AZ28" ca="1">IFERROR(INDEX(Leccion[selectorLeccion],SMALL(IF(AZ$1=Leccion[SubSección],MATCH(ROW(Leccion[SubSección]),ROW(Leccion[SubSección]))),ROW(AY27))),"")</f>
        <v/>
      </c>
      <c r="BA28" s="51" t="str">
        <f t="array" aca="1" ref="BA28" ca="1">IFERROR(INDEX(Leccion[selectorLeccion],SMALL(IF(BA$1=Leccion[SubSección],MATCH(ROW(Leccion[SubSección]),ROW(Leccion[SubSección]))),ROW(AZ27))),"")</f>
        <v/>
      </c>
      <c r="BB28" s="51" t="str">
        <f t="array" aca="1" ref="BB28" ca="1">IFERROR(INDEX(Leccion[selectorLeccion],SMALL(IF(BB$1=Leccion[SubSección],MATCH(ROW(Leccion[SubSección]),ROW(Leccion[SubSección]))),ROW(BA27))),"")</f>
        <v/>
      </c>
      <c r="BC28" s="51" t="str">
        <f t="array" aca="1" ref="BC28" ca="1">IFERROR(INDEX(Leccion[selectorLeccion],SMALL(IF(BC$1=Leccion[SubSección],MATCH(ROW(Leccion[SubSección]),ROW(Leccion[SubSección]))),ROW(BB27))),"")</f>
        <v/>
      </c>
      <c r="BD28" s="51" t="str">
        <f t="array" aca="1" ref="BD28" ca="1">IFERROR(INDEX(Leccion[selectorLeccion],SMALL(IF(BD$1=Leccion[SubSección],MATCH(ROW(Leccion[SubSección]),ROW(Leccion[SubSección]))),ROW(BC27))),"")</f>
        <v/>
      </c>
      <c r="BE28" s="51" t="str">
        <f t="array" aca="1" ref="BE28" ca="1">IFERROR(INDEX(Leccion[selectorLeccion],SMALL(IF(BE$1=Leccion[SubSección],MATCH(ROW(Leccion[SubSección]),ROW(Leccion[SubSección]))),ROW(BD27))),"")</f>
        <v/>
      </c>
      <c r="BF28" s="51" t="str">
        <f t="array" aca="1" ref="BF28" ca="1">IFERROR(INDEX(Leccion[selectorLeccion],SMALL(IF(BF$1=Leccion[SubSección],MATCH(ROW(Leccion[SubSección]),ROW(Leccion[SubSección]))),ROW(BE27))),"")</f>
        <v/>
      </c>
      <c r="BG28" s="51" t="str">
        <f t="array" aca="1" ref="BG28" ca="1">IFERROR(INDEX(Leccion[selectorLeccion],SMALL(IF(BG$1=Leccion[SubSección],MATCH(ROW(Leccion[SubSección]),ROW(Leccion[SubSección]))),ROW(BF27))),"")</f>
        <v/>
      </c>
      <c r="BH28" s="51" t="str">
        <f t="array" aca="1" ref="BH28" ca="1">IFERROR(INDEX(Leccion[selectorLeccion],SMALL(IF(BH$1=Leccion[SubSección],MATCH(ROW(Leccion[SubSección]),ROW(Leccion[SubSección]))),ROW(BG27))),"")</f>
        <v/>
      </c>
      <c r="BI28" s="51" t="str">
        <f t="array" aca="1" ref="BI28" ca="1">IFERROR(INDEX(Leccion[selectorLeccion],SMALL(IF(BI$1=Leccion[SubSección],MATCH(ROW(Leccion[SubSección]),ROW(Leccion[SubSección]))),ROW(BH27))),"")</f>
        <v/>
      </c>
      <c r="BJ28" s="51" t="str">
        <f t="array" aca="1" ref="BJ28" ca="1">IFERROR(INDEX(Leccion[selectorLeccion],SMALL(IF(BJ$1=Leccion[SubSección],MATCH(ROW(Leccion[SubSección]),ROW(Leccion[SubSección]))),ROW(BI27))),"")</f>
        <v/>
      </c>
      <c r="BK28" s="51" t="str">
        <f t="array" aca="1" ref="BK28" ca="1">IFERROR(INDEX(Leccion[selectorLeccion],SMALL(IF(BK$1=Leccion[SubSección],MATCH(ROW(Leccion[SubSección]),ROW(Leccion[SubSección]))),ROW(BJ27))),"")</f>
        <v/>
      </c>
      <c r="BL28" s="51" t="str">
        <f t="array" aca="1" ref="BL28" ca="1">IFERROR(INDEX(Leccion[selectorLeccion],SMALL(IF(BL$1=Leccion[SubSección],MATCH(ROW(Leccion[SubSección]),ROW(Leccion[SubSección]))),ROW(BK27))),"")</f>
        <v/>
      </c>
      <c r="BM28" s="51" t="str">
        <f t="array" aca="1" ref="BM28" ca="1">IFERROR(INDEX(Leccion[selectorLeccion],SMALL(IF(BM$1=Leccion[SubSección],MATCH(ROW(Leccion[SubSección]),ROW(Leccion[SubSección]))),ROW(BL27))),"")</f>
        <v/>
      </c>
      <c r="BN28" s="51" t="str">
        <f t="array" aca="1" ref="BN28" ca="1">IFERROR(INDEX(Leccion[selectorLeccion],SMALL(IF(BN$1=Leccion[SubSección],MATCH(ROW(Leccion[SubSección]),ROW(Leccion[SubSección]))),ROW(BM27))),"")</f>
        <v/>
      </c>
      <c r="BO28" s="51" t="str">
        <f t="array" aca="1" ref="BO28" ca="1">IFERROR(INDEX(Leccion[selectorLeccion],SMALL(IF(BO$1=Leccion[SubSección],MATCH(ROW(Leccion[SubSección]),ROW(Leccion[SubSección]))),ROW(BN27))),"")</f>
        <v/>
      </c>
      <c r="BP28" s="51" t="str">
        <f t="array" aca="1" ref="BP28" ca="1">IFERROR(INDEX(Leccion[selectorLeccion],SMALL(IF(BP$1=Leccion[SubSección],MATCH(ROW(Leccion[SubSección]),ROW(Leccion[SubSección]))),ROW(BO27))),"")</f>
        <v/>
      </c>
      <c r="BQ28" s="51" t="str">
        <f t="array" aca="1" ref="BQ28" ca="1">IFERROR(INDEX(Leccion[selectorLeccion],SMALL(IF(BQ$1=Leccion[SubSección],MATCH(ROW(Leccion[SubSección]),ROW(Leccion[SubSección]))),ROW(BP27))),"")</f>
        <v/>
      </c>
      <c r="BR28" s="51" t="str">
        <f t="array" aca="1" ref="BR28" ca="1">IFERROR(INDEX(Leccion[selectorLeccion],SMALL(IF(BR$1=Leccion[SubSección],MATCH(ROW(Leccion[SubSección]),ROW(Leccion[SubSección]))),ROW(BQ27))),"")</f>
        <v/>
      </c>
      <c r="BS28" s="51" t="str">
        <f t="array" aca="1" ref="BS28" ca="1">IFERROR(INDEX(Leccion[selectorLeccion],SMALL(IF(BS$1=Leccion[SubSección],MATCH(ROW(Leccion[SubSección]),ROW(Leccion[SubSección]))),ROW(BR27))),"")</f>
        <v/>
      </c>
      <c r="BT28" s="51" t="str">
        <f t="array" aca="1" ref="BT28" ca="1">IFERROR(INDEX(Leccion[selectorLeccion],SMALL(IF(BT$1=Leccion[SubSección],MATCH(ROW(Leccion[SubSección]),ROW(Leccion[SubSección]))),ROW(BS27))),"")</f>
        <v/>
      </c>
      <c r="BU28" s="51" t="str">
        <f t="array" aca="1" ref="BU28" ca="1">IFERROR(INDEX(Leccion[selectorLeccion],SMALL(IF(BU$1=Leccion[SubSección],MATCH(ROW(Leccion[SubSección]),ROW(Leccion[SubSección]))),ROW(BT27))),"")</f>
        <v/>
      </c>
      <c r="BV28" s="51" t="str">
        <f t="array" aca="1" ref="BV28" ca="1">IFERROR(INDEX(Leccion[selectorLeccion],SMALL(IF(BV$1=Leccion[SubSección],MATCH(ROW(Leccion[SubSección]),ROW(Leccion[SubSección]))),ROW(BU27))),"")</f>
        <v/>
      </c>
      <c r="BW28" s="51" t="str">
        <f t="array" aca="1" ref="BW28" ca="1">IFERROR(INDEX(Leccion[selectorLeccion],SMALL(IF(BW$1=Leccion[SubSección],MATCH(ROW(Leccion[SubSección]),ROW(Leccion[SubSección]))),ROW(BV27))),"")</f>
        <v/>
      </c>
      <c r="BX28" s="51" t="str">
        <f t="array" aca="1" ref="BX28" ca="1">IFERROR(INDEX(Leccion[selectorLeccion],SMALL(IF(BX$1=Leccion[SubSección],MATCH(ROW(Leccion[SubSección]),ROW(Leccion[SubSección]))),ROW(BW27))),"")</f>
        <v/>
      </c>
      <c r="BY28" s="51" t="str">
        <f t="array" aca="1" ref="BY28" ca="1">IFERROR(INDEX(Leccion[selectorLeccion],SMALL(IF(BY$1=Leccion[SubSección],MATCH(ROW(Leccion[SubSección]),ROW(Leccion[SubSección]))),ROW(BX27))),"")</f>
        <v/>
      </c>
      <c r="BZ28" s="51" t="str">
        <f t="array" aca="1" ref="BZ28" ca="1">IFERROR(INDEX(Leccion[selectorLeccion],SMALL(IF(BZ$1=Leccion[SubSección],MATCH(ROW(Leccion[SubSección]),ROW(Leccion[SubSección]))),ROW(BY27))),"")</f>
        <v/>
      </c>
      <c r="CA28" s="51" t="str">
        <f t="array" aca="1" ref="CA28" ca="1">IFERROR(INDEX(Leccion[selectorLeccion],SMALL(IF(CA$1=Leccion[SubSección],MATCH(ROW(Leccion[SubSección]),ROW(Leccion[SubSección]))),ROW(BZ27))),"")</f>
        <v/>
      </c>
      <c r="CB28" s="51" t="str">
        <f t="array" aca="1" ref="CB28" ca="1">IFERROR(INDEX(Leccion[selectorLeccion],SMALL(IF(CB$1=Leccion[SubSección],MATCH(ROW(Leccion[SubSección]),ROW(Leccion[SubSección]))),ROW(CA27))),"")</f>
        <v/>
      </c>
      <c r="CC28" s="51" t="str">
        <f t="array" aca="1" ref="CC28" ca="1">IFERROR(INDEX(Leccion[selectorLeccion],SMALL(IF(CC$1=Leccion[SubSección],MATCH(ROW(Leccion[SubSección]),ROW(Leccion[SubSección]))),ROW(CB27))),"")</f>
        <v/>
      </c>
      <c r="CD28" s="51" t="str">
        <f t="array" aca="1" ref="CD28" ca="1">IFERROR(INDEX(Leccion[selectorLeccion],SMALL(IF(CD$1=Leccion[SubSección],MATCH(ROW(Leccion[SubSección]),ROW(Leccion[SubSección]))),ROW(CC27))),"")</f>
        <v/>
      </c>
      <c r="CE28" s="51" t="str">
        <f t="array" aca="1" ref="CE28" ca="1">IFERROR(INDEX(Leccion[selectorLeccion],SMALL(IF(CE$1=Leccion[SubSección],MATCH(ROW(Leccion[SubSección]),ROW(Leccion[SubSección]))),ROW(CD27))),"")</f>
        <v/>
      </c>
      <c r="CF28" s="51" t="str">
        <f t="array" aca="1" ref="CF28" ca="1">IFERROR(INDEX(Leccion[selectorLeccion],SMALL(IF(CF$1=Leccion[SubSección],MATCH(ROW(Leccion[SubSección]),ROW(Leccion[SubSección]))),ROW(CE27))),"")</f>
        <v/>
      </c>
      <c r="CG28" s="51" t="str">
        <f t="array" aca="1" ref="CG28" ca="1">IFERROR(INDEX(Leccion[selectorLeccion],SMALL(IF(CG$1=Leccion[SubSección],MATCH(ROW(Leccion[SubSección]),ROW(Leccion[SubSección]))),ROW(CF27))),"")</f>
        <v/>
      </c>
      <c r="CH28" s="51" t="str">
        <f t="array" aca="1" ref="CH28" ca="1">IFERROR(INDEX(Leccion[selectorLeccion],SMALL(IF(CH$1=Leccion[SubSección],MATCH(ROW(Leccion[SubSección]),ROW(Leccion[SubSección]))),ROW(CG27))),"")</f>
        <v/>
      </c>
      <c r="CI28" s="51" t="str">
        <f t="array" aca="1" ref="CI28" ca="1">IFERROR(INDEX(Leccion[selectorLeccion],SMALL(IF(CI$1=Leccion[SubSección],MATCH(ROW(Leccion[SubSección]),ROW(Leccion[SubSección]))),ROW(CH27))),"")</f>
        <v/>
      </c>
      <c r="CJ28" s="51" t="str">
        <f t="array" aca="1" ref="CJ28" ca="1">IFERROR(INDEX(Leccion[selectorLeccion],SMALL(IF(CJ$1=Leccion[SubSección],MATCH(ROW(Leccion[SubSección]),ROW(Leccion[SubSección]))),ROW(CI27))),"")</f>
        <v/>
      </c>
      <c r="CK28" s="51" t="str">
        <f t="array" aca="1" ref="CK28" ca="1">IFERROR(INDEX(Leccion[selectorLeccion],SMALL(IF(CK$1=Leccion[SubSección],MATCH(ROW(Leccion[SubSección]),ROW(Leccion[SubSección]))),ROW(CJ27))),"")</f>
        <v/>
      </c>
      <c r="CL28" s="51" t="str">
        <f t="array" aca="1" ref="CL28" ca="1">IFERROR(INDEX(Leccion[selectorLeccion],SMALL(IF(CL$1=Leccion[SubSección],MATCH(ROW(Leccion[SubSección]),ROW(Leccion[SubSección]))),ROW(CK27))),"")</f>
        <v/>
      </c>
      <c r="CM28" s="51" t="str">
        <f t="array" aca="1" ref="CM28" ca="1">IFERROR(INDEX(Leccion[selectorLeccion],SMALL(IF(CM$1=Leccion[SubSección],MATCH(ROW(Leccion[SubSección]),ROW(Leccion[SubSección]))),ROW(CL27))),"")</f>
        <v/>
      </c>
      <c r="CN28" s="51" t="str">
        <f t="array" aca="1" ref="CN28" ca="1">IFERROR(INDEX(Leccion[selectorLeccion],SMALL(IF(CN$1=Leccion[SubSección],MATCH(ROW(Leccion[SubSección]),ROW(Leccion[SubSección]))),ROW(CM27))),"")</f>
        <v/>
      </c>
      <c r="CO28" s="51" t="str">
        <f t="array" aca="1" ref="CO28" ca="1">IFERROR(INDEX(Leccion[selectorLeccion],SMALL(IF(CO$1=Leccion[SubSección],MATCH(ROW(Leccion[SubSección]),ROW(Leccion[SubSección]))),ROW(CN27))),"")</f>
        <v/>
      </c>
      <c r="CP28" s="51" t="str">
        <f t="array" aca="1" ref="CP28" ca="1">IFERROR(INDEX(Leccion[selectorLeccion],SMALL(IF(CP$1=Leccion[SubSección],MATCH(ROW(Leccion[SubSección]),ROW(Leccion[SubSección]))),ROW(CO27))),"")</f>
        <v/>
      </c>
      <c r="CQ28" s="51" t="str">
        <f t="array" aca="1" ref="CQ28" ca="1">IFERROR(INDEX(Leccion[selectorLeccion],SMALL(IF(CQ$1=Leccion[SubSección],MATCH(ROW(Leccion[SubSección]),ROW(Leccion[SubSección]))),ROW(CP27))),"")</f>
        <v/>
      </c>
      <c r="CR28" s="51" t="str">
        <f t="array" aca="1" ref="CR28" ca="1">IFERROR(INDEX(Leccion[selectorLeccion],SMALL(IF(CR$1=Leccion[SubSección],MATCH(ROW(Leccion[SubSección]),ROW(Leccion[SubSección]))),ROW(CQ27))),"")</f>
        <v/>
      </c>
      <c r="CS28" s="51" t="str">
        <f t="array" aca="1" ref="CS28" ca="1">IFERROR(INDEX(Leccion[selectorLeccion],SMALL(IF(CS$1=Leccion[SubSección],MATCH(ROW(Leccion[SubSección]),ROW(Leccion[SubSección]))),ROW(CR27))),"")</f>
        <v/>
      </c>
      <c r="CT28" s="51" t="str">
        <f t="array" aca="1" ref="CT28" ca="1">IFERROR(INDEX(Leccion[selectorLeccion],SMALL(IF(CT$1=Leccion[SubSección],MATCH(ROW(Leccion[SubSección]),ROW(Leccion[SubSección]))),ROW(CS27))),"")</f>
        <v/>
      </c>
      <c r="CU28" s="51" t="str">
        <f t="array" aca="1" ref="CU28" ca="1">IFERROR(INDEX(Leccion[selectorLeccion],SMALL(IF(CU$1=Leccion[SubSección],MATCH(ROW(Leccion[SubSección]),ROW(Leccion[SubSección]))),ROW(CT27))),"")</f>
        <v/>
      </c>
      <c r="CV28" s="51" t="str">
        <f t="array" aca="1" ref="CV28" ca="1">IFERROR(INDEX(Leccion[selectorLeccion],SMALL(IF(CV$1=Leccion[SubSección],MATCH(ROW(Leccion[SubSección]),ROW(Leccion[SubSección]))),ROW(CU27))),"")</f>
        <v/>
      </c>
      <c r="CW28" s="51" t="str">
        <f t="array" aca="1" ref="CW28" ca="1">IFERROR(INDEX(Leccion[selectorLeccion],SMALL(IF(CW$1=Leccion[SubSección],MATCH(ROW(Leccion[SubSección]),ROW(Leccion[SubSección]))),ROW(CV27))),"")</f>
        <v/>
      </c>
      <c r="CX28" s="51" t="str">
        <f t="array" aca="1" ref="CX28" ca="1">IFERROR(INDEX(Leccion[selectorLeccion],SMALL(IF(CX$1=Leccion[SubSección],MATCH(ROW(Leccion[SubSección]),ROW(Leccion[SubSección]))),ROW(CW27))),"")</f>
        <v/>
      </c>
      <c r="CY28" s="51" t="str">
        <f t="array" aca="1" ref="CY28" ca="1">IFERROR(INDEX(Leccion[selectorLeccion],SMALL(IF(CY$1=Leccion[SubSección],MATCH(ROW(Leccion[SubSección]),ROW(Leccion[SubSección]))),ROW(CX27))),"")</f>
        <v/>
      </c>
      <c r="CZ28" s="51" t="str">
        <f t="array" aca="1" ref="CZ28" ca="1">IFERROR(INDEX(Leccion[selectorLeccion],SMALL(IF(CZ$1=Leccion[SubSección],MATCH(ROW(Leccion[SubSección]),ROW(Leccion[SubSección]))),ROW(CY27))),"")</f>
        <v/>
      </c>
      <c r="DA28" s="51" t="str">
        <f t="array" aca="1" ref="DA28" ca="1">IFERROR(INDEX(Leccion[selectorLeccion],SMALL(IF(DA$1=Leccion[SubSección],MATCH(ROW(Leccion[SubSección]),ROW(Leccion[SubSección]))),ROW(CZ27))),"")</f>
        <v/>
      </c>
      <c r="DB28" s="51" t="str">
        <f t="array" aca="1" ref="DB28" ca="1">IFERROR(INDEX(Leccion[selectorLeccion],SMALL(IF(DB$1=Leccion[SubSección],MATCH(ROW(Leccion[SubSección]),ROW(Leccion[SubSección]))),ROW(DA27))),"")</f>
        <v/>
      </c>
      <c r="DC28" s="51" t="str">
        <f t="array" aca="1" ref="DC28" ca="1">IFERROR(INDEX(Leccion[selectorLeccion],SMALL(IF(DC$1=Leccion[SubSección],MATCH(ROW(Leccion[SubSección]),ROW(Leccion[SubSección]))),ROW(DB27))),"")</f>
        <v/>
      </c>
      <c r="DD28" s="51" t="str">
        <f t="array" aca="1" ref="DD28" ca="1">IFERROR(INDEX(Leccion[selectorLeccion],SMALL(IF(DD$1=Leccion[SubSección],MATCH(ROW(Leccion[SubSección]),ROW(Leccion[SubSección]))),ROW(DC27))),"")</f>
        <v/>
      </c>
      <c r="DE28" s="51" t="str">
        <f t="array" aca="1" ref="DE28" ca="1">IFERROR(INDEX(Leccion[selectorLeccion],SMALL(IF(DE$1=Leccion[SubSección],MATCH(ROW(Leccion[SubSección]),ROW(Leccion[SubSección]))),ROW(DD27))),"")</f>
        <v/>
      </c>
      <c r="DF28" s="51" t="str">
        <f t="array" aca="1" ref="DF28" ca="1">IFERROR(INDEX(Leccion[selectorLeccion],SMALL(IF(DF$1=Leccion[SubSección],MATCH(ROW(Leccion[SubSección]),ROW(Leccion[SubSección]))),ROW(DE27))),"")</f>
        <v/>
      </c>
      <c r="DG28" s="51" t="str">
        <f t="array" aca="1" ref="DG28" ca="1">IFERROR(INDEX(Leccion[selectorLeccion],SMALL(IF(DG$1=Leccion[SubSección],MATCH(ROW(Leccion[SubSección]),ROW(Leccion[SubSección]))),ROW(DF27))),"")</f>
        <v/>
      </c>
      <c r="DH28" s="51" t="str">
        <f t="array" aca="1" ref="DH28" ca="1">IFERROR(INDEX(Leccion[selectorLeccion],SMALL(IF(DH$1=Leccion[SubSección],MATCH(ROW(Leccion[SubSección]),ROW(Leccion[SubSección]))),ROW(DG27))),"")</f>
        <v/>
      </c>
      <c r="DI28" s="51" t="str">
        <f t="array" aca="1" ref="DI28" ca="1">IFERROR(INDEX(Leccion[selectorLeccion],SMALL(IF(DI$1=Leccion[SubSección],MATCH(ROW(Leccion[SubSección]),ROW(Leccion[SubSección]))),ROW(DH27))),"")</f>
        <v/>
      </c>
      <c r="DJ28" s="51" t="str">
        <f t="array" aca="1" ref="DJ28" ca="1">IFERROR(INDEX(Leccion[selectorLeccion],SMALL(IF(DJ$1=Leccion[SubSección],MATCH(ROW(Leccion[SubSección]),ROW(Leccion[SubSección]))),ROW(DI27))),"")</f>
        <v/>
      </c>
      <c r="DK28" s="51" t="str">
        <f t="array" aca="1" ref="DK28" ca="1">IFERROR(INDEX(Leccion[selectorLeccion],SMALL(IF(DK$1=Leccion[SubSección],MATCH(ROW(Leccion[SubSección]),ROW(Leccion[SubSección]))),ROW(DJ27))),"")</f>
        <v/>
      </c>
      <c r="DL28" s="51" t="str">
        <f t="array" aca="1" ref="DL28" ca="1">IFERROR(INDEX(Leccion[selectorLeccion],SMALL(IF(DL$1=Leccion[SubSección],MATCH(ROW(Leccion[SubSección]),ROW(Leccion[SubSección]))),ROW(DK27))),"")</f>
        <v/>
      </c>
      <c r="DM28" s="51" t="str">
        <f t="array" aca="1" ref="DM28" ca="1">IFERROR(INDEX(Leccion[selectorLeccion],SMALL(IF(DM$1=Leccion[SubSección],MATCH(ROW(Leccion[SubSección]),ROW(Leccion[SubSección]))),ROW(DL27))),"")</f>
        <v/>
      </c>
      <c r="DN28" s="51" t="str">
        <f t="array" aca="1" ref="DN28" ca="1">IFERROR(INDEX(Leccion[selectorLeccion],SMALL(IF(DN$1=Leccion[SubSección],MATCH(ROW(Leccion[SubSección]),ROW(Leccion[SubSección]))),ROW(DM27))),"")</f>
        <v/>
      </c>
      <c r="DO28" s="51" t="str">
        <f t="array" aca="1" ref="DO28" ca="1">IFERROR(INDEX(Leccion[selectorLeccion],SMALL(IF(DO$1=Leccion[SubSección],MATCH(ROW(Leccion[SubSección]),ROW(Leccion[SubSección]))),ROW(DN27))),"")</f>
        <v/>
      </c>
      <c r="DP28" s="51" t="str">
        <f t="array" aca="1" ref="DP28" ca="1">IFERROR(INDEX(Leccion[selectorLeccion],SMALL(IF(DP$1=Leccion[SubSección],MATCH(ROW(Leccion[SubSección]),ROW(Leccion[SubSección]))),ROW(DO27))),"")</f>
        <v/>
      </c>
      <c r="DQ28" s="51" t="str">
        <f t="array" aca="1" ref="DQ28" ca="1">IFERROR(INDEX(Leccion[selectorLeccion],SMALL(IF(DQ$1=Leccion[SubSección],MATCH(ROW(Leccion[SubSección]),ROW(Leccion[SubSección]))),ROW(DP27))),"")</f>
        <v/>
      </c>
      <c r="DR28" s="51" t="str">
        <f t="array" aca="1" ref="DR28" ca="1">IFERROR(INDEX(Leccion[selectorLeccion],SMALL(IF(DR$1=Leccion[SubSección],MATCH(ROW(Leccion[SubSección]),ROW(Leccion[SubSección]))),ROW(DQ27))),"")</f>
        <v/>
      </c>
      <c r="DS28" s="51" t="str">
        <f t="array" aca="1" ref="DS28" ca="1">IFERROR(INDEX(Leccion[selectorLeccion],SMALL(IF(DS$1=Leccion[SubSección],MATCH(ROW(Leccion[SubSección]),ROW(Leccion[SubSección]))),ROW(DR27))),"")</f>
        <v/>
      </c>
      <c r="DT28" s="51" t="str">
        <f t="array" aca="1" ref="DT28" ca="1">IFERROR(INDEX(Leccion[selectorLeccion],SMALL(IF(DT$1=Leccion[SubSección],MATCH(ROW(Leccion[SubSección]),ROW(Leccion[SubSección]))),ROW(DS27))),"")</f>
        <v/>
      </c>
      <c r="DU28" s="51" t="str">
        <f t="array" aca="1" ref="DU28" ca="1">IFERROR(INDEX(Leccion[selectorLeccion],SMALL(IF(DU$1=Leccion[SubSección],MATCH(ROW(Leccion[SubSección]),ROW(Leccion[SubSección]))),ROW(DT27))),"")</f>
        <v/>
      </c>
      <c r="DV28" s="51" t="str">
        <f t="array" aca="1" ref="DV28" ca="1">IFERROR(INDEX(Leccion[selectorLeccion],SMALL(IF(DV$1=Leccion[SubSección],MATCH(ROW(Leccion[SubSección]),ROW(Leccion[SubSección]))),ROW(DU27))),"")</f>
        <v/>
      </c>
      <c r="DW28" s="51" t="str">
        <f t="array" aca="1" ref="DW28" ca="1">IFERROR(INDEX(Leccion[selectorLeccion],SMALL(IF(DW$1=Leccion[SubSección],MATCH(ROW(Leccion[SubSección]),ROW(Leccion[SubSección]))),ROW(DV27))),"")</f>
        <v/>
      </c>
      <c r="DX28" s="51" t="str">
        <f t="array" aca="1" ref="DX28" ca="1">IFERROR(INDEX(Leccion[selectorLeccion],SMALL(IF(DX$1=Leccion[SubSección],MATCH(ROW(Leccion[SubSección]),ROW(Leccion[SubSección]))),ROW(DW27))),"")</f>
        <v/>
      </c>
      <c r="DY28" s="51" t="str">
        <f t="array" aca="1" ref="DY28" ca="1">IFERROR(INDEX(Leccion[selectorLeccion],SMALL(IF(DY$1=Leccion[SubSección],MATCH(ROW(Leccion[SubSección]),ROW(Leccion[SubSección]))),ROW(DX27))),"")</f>
        <v/>
      </c>
      <c r="DZ28" s="51" t="str">
        <f t="array" aca="1" ref="DZ28" ca="1">IFERROR(INDEX(Leccion[selectorLeccion],SMALL(IF(DZ$1=Leccion[SubSección],MATCH(ROW(Leccion[SubSección]),ROW(Leccion[SubSección]))),ROW(DY27))),"")</f>
        <v/>
      </c>
      <c r="EA28" s="51" t="str">
        <f t="array" aca="1" ref="EA28" ca="1">IFERROR(INDEX(Leccion[selectorLeccion],SMALL(IF(EA$1=Leccion[SubSección],MATCH(ROW(Leccion[SubSección]),ROW(Leccion[SubSección]))),ROW(DZ27))),"")</f>
        <v/>
      </c>
      <c r="EB28" s="51" t="str">
        <f t="array" aca="1" ref="EB28" ca="1">IFERROR(INDEX(Leccion[selectorLeccion],SMALL(IF(EB$1=Leccion[SubSección],MATCH(ROW(Leccion[SubSección]),ROW(Leccion[SubSección]))),ROW(EA27))),"")</f>
        <v/>
      </c>
      <c r="EC28" s="51" t="str">
        <f t="array" aca="1" ref="EC28" ca="1">IFERROR(INDEX(Leccion[selectorLeccion],SMALL(IF(EC$1=Leccion[SubSección],MATCH(ROW(Leccion[SubSección]),ROW(Leccion[SubSección]))),ROW(EB27))),"")</f>
        <v/>
      </c>
      <c r="ED28" s="51" t="str">
        <f t="array" aca="1" ref="ED28" ca="1">IFERROR(INDEX(Leccion[selectorLeccion],SMALL(IF(ED$1=Leccion[SubSección],MATCH(ROW(Leccion[SubSección]),ROW(Leccion[SubSección]))),ROW(EC27))),"")</f>
        <v/>
      </c>
      <c r="EE28" s="51" t="str">
        <f t="array" aca="1" ref="EE28" ca="1">IFERROR(INDEX(Leccion[selectorLeccion],SMALL(IF(EE$1=Leccion[SubSección],MATCH(ROW(Leccion[SubSección]),ROW(Leccion[SubSección]))),ROW(ED27))),"")</f>
        <v/>
      </c>
      <c r="EF28" s="51" t="str">
        <f t="array" aca="1" ref="EF28" ca="1">IFERROR(INDEX(Leccion[selectorLeccion],SMALL(IF(EF$1=Leccion[SubSección],MATCH(ROW(Leccion[SubSección]),ROW(Leccion[SubSección]))),ROW(EE27))),"")</f>
        <v/>
      </c>
      <c r="EG28" s="51" t="str">
        <f t="array" aca="1" ref="EG28" ca="1">IFERROR(INDEX(Leccion[selectorLeccion],SMALL(IF(EG$1=Leccion[SubSección],MATCH(ROW(Leccion[SubSección]),ROW(Leccion[SubSección]))),ROW(EF27))),"")</f>
        <v/>
      </c>
      <c r="EH28" s="51" t="str">
        <f t="array" aca="1" ref="EH28" ca="1">IFERROR(INDEX(Leccion[selectorLeccion],SMALL(IF(EH$1=Leccion[SubSección],MATCH(ROW(Leccion[SubSección]),ROW(Leccion[SubSección]))),ROW(EG27))),"")</f>
        <v/>
      </c>
      <c r="EI28" s="51" t="str">
        <f t="array" aca="1" ref="EI28" ca="1">IFERROR(INDEX(Leccion[selectorLeccion],SMALL(IF(EI$1=Leccion[SubSección],MATCH(ROW(Leccion[SubSección]),ROW(Leccion[SubSección]))),ROW(EH27))),"")</f>
        <v/>
      </c>
      <c r="EJ28" s="51" t="str">
        <f t="array" aca="1" ref="EJ28" ca="1">IFERROR(INDEX(Leccion[selectorLeccion],SMALL(IF(EJ$1=Leccion[SubSección],MATCH(ROW(Leccion[SubSección]),ROW(Leccion[SubSección]))),ROW(EI27))),"")</f>
        <v/>
      </c>
      <c r="EK28" s="51" t="str">
        <f t="array" aca="1" ref="EK28" ca="1">IFERROR(INDEX(Leccion[selectorLeccion],SMALL(IF(EK$1=Leccion[SubSección],MATCH(ROW(Leccion[SubSección]),ROW(Leccion[SubSección]))),ROW(EJ27))),"")</f>
        <v/>
      </c>
      <c r="EL28" s="51" t="str">
        <f t="array" aca="1" ref="EL28" ca="1">IFERROR(INDEX(Leccion[selectorLeccion],SMALL(IF(EL$1=Leccion[SubSección],MATCH(ROW(Leccion[SubSección]),ROW(Leccion[SubSección]))),ROW(EK27))),"")</f>
        <v/>
      </c>
      <c r="EM28" s="51" t="str">
        <f t="array" aca="1" ref="EM28" ca="1">IFERROR(INDEX(Leccion[selectorLeccion],SMALL(IF(EM$1=Leccion[SubSección],MATCH(ROW(Leccion[SubSección]),ROW(Leccion[SubSección]))),ROW(EL27))),"")</f>
        <v/>
      </c>
      <c r="EN28" s="51" t="str">
        <f t="array" aca="1" ref="EN28" ca="1">IFERROR(INDEX(Leccion[selectorLeccion],SMALL(IF(EN$1=Leccion[SubSección],MATCH(ROW(Leccion[SubSección]),ROW(Leccion[SubSección]))),ROW(EM27))),"")</f>
        <v/>
      </c>
      <c r="EO28" s="51" t="str">
        <f t="array" aca="1" ref="EO28" ca="1">IFERROR(INDEX(Leccion[selectorLeccion],SMALL(IF(EO$1=Leccion[SubSección],MATCH(ROW(Leccion[SubSección]),ROW(Leccion[SubSección]))),ROW(EN27))),"")</f>
        <v/>
      </c>
      <c r="EP28" s="51" t="str">
        <f t="array" aca="1" ref="EP28" ca="1">IFERROR(INDEX(Leccion[selectorLeccion],SMALL(IF(EP$1=Leccion[SubSección],MATCH(ROW(Leccion[SubSección]),ROW(Leccion[SubSección]))),ROW(EO27))),"")</f>
        <v/>
      </c>
      <c r="EQ28" s="51" t="str">
        <f t="array" aca="1" ref="EQ28" ca="1">IFERROR(INDEX(Leccion[selectorLeccion],SMALL(IF(EQ$1=Leccion[SubSección],MATCH(ROW(Leccion[SubSección]),ROW(Leccion[SubSección]))),ROW(EP27))),"")</f>
        <v/>
      </c>
      <c r="ER28" s="51" t="str">
        <f t="array" aca="1" ref="ER28" ca="1">IFERROR(INDEX(Leccion[selectorLeccion],SMALL(IF(ER$1=Leccion[SubSección],MATCH(ROW(Leccion[SubSección]),ROW(Leccion[SubSección]))),ROW(EQ27))),"")</f>
        <v/>
      </c>
      <c r="ES28" s="51" t="str">
        <f t="array" aca="1" ref="ES28" ca="1">IFERROR(INDEX(Leccion[selectorLeccion],SMALL(IF(ES$1=Leccion[SubSección],MATCH(ROW(Leccion[SubSección]),ROW(Leccion[SubSección]))),ROW(ER27))),"")</f>
        <v/>
      </c>
      <c r="ET28" s="51" t="str">
        <f t="array" aca="1" ref="ET28" ca="1">IFERROR(INDEX(Leccion[selectorLeccion],SMALL(IF(ET$1=Leccion[SubSección],MATCH(ROW(Leccion[SubSección]),ROW(Leccion[SubSección]))),ROW(ES27))),"")</f>
        <v/>
      </c>
      <c r="EU28" s="51" t="str">
        <f t="array" aca="1" ref="EU28" ca="1">IFERROR(INDEX(Leccion[selectorLeccion],SMALL(IF(EU$1=Leccion[SubSección],MATCH(ROW(Leccion[SubSección]),ROW(Leccion[SubSección]))),ROW(ET27))),"")</f>
        <v/>
      </c>
      <c r="EV28" s="51" t="str">
        <f t="array" aca="1" ref="EV28" ca="1">IFERROR(INDEX(Leccion[selectorLeccion],SMALL(IF(EV$1=Leccion[SubSección],MATCH(ROW(Leccion[SubSección]),ROW(Leccion[SubSección]))),ROW(EU27))),"")</f>
        <v/>
      </c>
      <c r="EW28" s="51" t="str">
        <f t="array" aca="1" ref="EW28" ca="1">IFERROR(INDEX(Leccion[selectorLeccion],SMALL(IF(EW$1=Leccion[SubSección],MATCH(ROW(Leccion[SubSección]),ROW(Leccion[SubSección]))),ROW(EV27))),"")</f>
        <v/>
      </c>
      <c r="EX28" s="51" t="str">
        <f t="array" aca="1" ref="EX28" ca="1">IFERROR(INDEX(Leccion[selectorLeccion],SMALL(IF(EX$1=Leccion[SubSección],MATCH(ROW(Leccion[SubSección]),ROW(Leccion[SubSección]))),ROW(EW27))),"")</f>
        <v/>
      </c>
      <c r="EY28" s="51" t="str">
        <f t="array" aca="1" ref="EY28" ca="1">IFERROR(INDEX(Leccion[selectorLeccion],SMALL(IF(EY$1=Leccion[SubSección],MATCH(ROW(Leccion[SubSección]),ROW(Leccion[SubSección]))),ROW(EX27))),"")</f>
        <v/>
      </c>
      <c r="EZ28" s="51" t="str">
        <f t="array" aca="1" ref="EZ28" ca="1">IFERROR(INDEX(Leccion[selectorLeccion],SMALL(IF(EZ$1=Leccion[SubSección],MATCH(ROW(Leccion[SubSección]),ROW(Leccion[SubSección]))),ROW(EY27))),"")</f>
        <v/>
      </c>
    </row>
    <row r="29" spans="2:156" x14ac:dyDescent="0.3">
      <c r="B29" s="51" t="str">
        <f t="array" aca="1" ref="B29" ca="1">IFERROR(INDEX(Leccion[selectorLeccion],SMALL(IF(B$1=Leccion[SubSección],MATCH(ROW(Leccion[SubSección]),ROW(Leccion[SubSección]))),ROW(A28))),"")</f>
        <v/>
      </c>
      <c r="C29" s="51" t="str">
        <f t="array" aca="1" ref="C29" ca="1">IFERROR(INDEX(Leccion[selectorLeccion],SMALL(IF(C$1=Leccion[SubSección],MATCH(ROW(Leccion[SubSección]),ROW(Leccion[SubSección]))),ROW(B28))),"")</f>
        <v/>
      </c>
      <c r="D29" s="51" t="str">
        <f t="array" aca="1" ref="D29" ca="1">IFERROR(INDEX(Leccion[selectorLeccion],SMALL(IF(D$1=Leccion[SubSección],MATCH(ROW(Leccion[SubSección]),ROW(Leccion[SubSección]))),ROW(C28))),"")</f>
        <v/>
      </c>
      <c r="E29" s="51" t="str">
        <f t="array" aca="1" ref="E29" ca="1">IFERROR(INDEX(Leccion[selectorLeccion],SMALL(IF(E$1=Leccion[SubSección],MATCH(ROW(Leccion[SubSección]),ROW(Leccion[SubSección]))),ROW(D28))),"")</f>
        <v/>
      </c>
      <c r="F29" s="51" t="str">
        <f t="array" aca="1" ref="F29" ca="1">IFERROR(INDEX(Leccion[selectorLeccion],SMALL(IF(F$1=Leccion[SubSección],MATCH(ROW(Leccion[SubSección]),ROW(Leccion[SubSección]))),ROW(E28))),"")</f>
        <v/>
      </c>
      <c r="G29" s="51" t="str">
        <f t="array" aca="1" ref="G29" ca="1">IFERROR(INDEX(Leccion[selectorLeccion],SMALL(IF(G$1=Leccion[SubSección],MATCH(ROW(Leccion[SubSección]),ROW(Leccion[SubSección]))),ROW(F28))),"")</f>
        <v/>
      </c>
      <c r="H29" s="51" t="str">
        <f t="array" aca="1" ref="H29" ca="1">IFERROR(INDEX(Leccion[selectorLeccion],SMALL(IF(H$1=Leccion[SubSección],MATCH(ROW(Leccion[SubSección]),ROW(Leccion[SubSección]))),ROW(G28))),"")</f>
        <v/>
      </c>
      <c r="I29" s="51" t="str">
        <f t="array" aca="1" ref="I29" ca="1">IFERROR(INDEX(Leccion[selectorLeccion],SMALL(IF(I$1=Leccion[SubSección],MATCH(ROW(Leccion[SubSección]),ROW(Leccion[SubSección]))),ROW(H28))),"")</f>
        <v/>
      </c>
      <c r="J29" s="51" t="str">
        <f t="array" aca="1" ref="J29" ca="1">IFERROR(INDEX(Leccion[selectorLeccion],SMALL(IF(J$1=Leccion[SubSección],MATCH(ROW(Leccion[SubSección]),ROW(Leccion[SubSección]))),ROW(I28))),"")</f>
        <v/>
      </c>
      <c r="K29" s="51" t="str">
        <f t="array" aca="1" ref="K29" ca="1">IFERROR(INDEX(Leccion[selectorLeccion],SMALL(IF(K$1=Leccion[SubSección],MATCH(ROW(Leccion[SubSección]),ROW(Leccion[SubSección]))),ROW(J28))),"")</f>
        <v/>
      </c>
      <c r="L29" s="51" t="str">
        <f t="array" aca="1" ref="L29" ca="1">IFERROR(INDEX(Leccion[selectorLeccion],SMALL(IF(L$1=Leccion[SubSección],MATCH(ROW(Leccion[SubSección]),ROW(Leccion[SubSección]))),ROW(K28))),"")</f>
        <v/>
      </c>
      <c r="M29" s="51" t="str">
        <f t="array" aca="1" ref="M29" ca="1">IFERROR(INDEX(Leccion[selectorLeccion],SMALL(IF(M$1=Leccion[SubSección],MATCH(ROW(Leccion[SubSección]),ROW(Leccion[SubSección]))),ROW(L28))),"")</f>
        <v/>
      </c>
      <c r="N29" s="51" t="str">
        <f t="array" aca="1" ref="N29" ca="1">IFERROR(INDEX(Leccion[selectorLeccion],SMALL(IF(N$1=Leccion[SubSección],MATCH(ROW(Leccion[SubSección]),ROW(Leccion[SubSección]))),ROW(M28))),"")</f>
        <v/>
      </c>
      <c r="O29" s="51" t="str">
        <f t="array" aca="1" ref="O29" ca="1">IFERROR(INDEX(Leccion[selectorLeccion],SMALL(IF(O$1=Leccion[SubSección],MATCH(ROW(Leccion[SubSección]),ROW(Leccion[SubSección]))),ROW(N28))),"")</f>
        <v/>
      </c>
      <c r="P29" s="51" t="str">
        <f t="array" aca="1" ref="P29" ca="1">IFERROR(INDEX(Leccion[selectorLeccion],SMALL(IF(P$1=Leccion[SubSección],MATCH(ROW(Leccion[SubSección]),ROW(Leccion[SubSección]))),ROW(O28))),"")</f>
        <v/>
      </c>
      <c r="Q29" s="51" t="str">
        <f t="array" aca="1" ref="Q29" ca="1">IFERROR(INDEX(Leccion[selectorLeccion],SMALL(IF(Q$1=Leccion[SubSección],MATCH(ROW(Leccion[SubSección]),ROW(Leccion[SubSección]))),ROW(P28))),"")</f>
        <v/>
      </c>
      <c r="R29" s="51" t="str">
        <f t="array" aca="1" ref="R29" ca="1">IFERROR(INDEX(Leccion[selectorLeccion],SMALL(IF(R$1=Leccion[SubSección],MATCH(ROW(Leccion[SubSección]),ROW(Leccion[SubSección]))),ROW(Q28))),"")</f>
        <v/>
      </c>
      <c r="S29" s="51" t="str">
        <f t="array" aca="1" ref="S29" ca="1">IFERROR(INDEX(Leccion[selectorLeccion],SMALL(IF(S$1=Leccion[SubSección],MATCH(ROW(Leccion[SubSección]),ROW(Leccion[SubSección]))),ROW(R28))),"")</f>
        <v/>
      </c>
      <c r="T29" s="51" t="str">
        <f t="array" aca="1" ref="T29" ca="1">IFERROR(INDEX(Leccion[selectorLeccion],SMALL(IF(T$1=Leccion[SubSección],MATCH(ROW(Leccion[SubSección]),ROW(Leccion[SubSección]))),ROW(S28))),"")</f>
        <v/>
      </c>
      <c r="U29" s="51" t="str">
        <f t="array" aca="1" ref="U29" ca="1">IFERROR(INDEX(Leccion[selectorLeccion],SMALL(IF(U$1=Leccion[SubSección],MATCH(ROW(Leccion[SubSección]),ROW(Leccion[SubSección]))),ROW(T28))),"")</f>
        <v/>
      </c>
      <c r="V29" s="51" t="str">
        <f t="array" aca="1" ref="V29" ca="1">IFERROR(INDEX(Leccion[selectorLeccion],SMALL(IF(V$1=Leccion[SubSección],MATCH(ROW(Leccion[SubSección]),ROW(Leccion[SubSección]))),ROW(U28))),"")</f>
        <v/>
      </c>
      <c r="W29" s="51" t="str">
        <f t="array" aca="1" ref="W29" ca="1">IFERROR(INDEX(Leccion[selectorLeccion],SMALL(IF(W$1=Leccion[SubSección],MATCH(ROW(Leccion[SubSección]),ROW(Leccion[SubSección]))),ROW(V28))),"")</f>
        <v/>
      </c>
      <c r="X29" s="51" t="str">
        <f t="array" aca="1" ref="X29" ca="1">IFERROR(INDEX(Leccion[selectorLeccion],SMALL(IF(X$1=Leccion[SubSección],MATCH(ROW(Leccion[SubSección]),ROW(Leccion[SubSección]))),ROW(W28))),"")</f>
        <v/>
      </c>
      <c r="Y29" s="51" t="str">
        <f t="array" aca="1" ref="Y29" ca="1">IFERROR(INDEX(Leccion[selectorLeccion],SMALL(IF(Y$1=Leccion[SubSección],MATCH(ROW(Leccion[SubSección]),ROW(Leccion[SubSección]))),ROW(X28))),"")</f>
        <v/>
      </c>
      <c r="Z29" s="51" t="str">
        <f t="array" aca="1" ref="Z29" ca="1">IFERROR(INDEX(Leccion[selectorLeccion],SMALL(IF(Z$1=Leccion[SubSección],MATCH(ROW(Leccion[SubSección]),ROW(Leccion[SubSección]))),ROW(Y28))),"")</f>
        <v/>
      </c>
      <c r="AA29" s="51" t="str">
        <f t="array" aca="1" ref="AA29" ca="1">IFERROR(INDEX(Leccion[selectorLeccion],SMALL(IF(AA$1=Leccion[SubSección],MATCH(ROW(Leccion[SubSección]),ROW(Leccion[SubSección]))),ROW(Z28))),"")</f>
        <v/>
      </c>
      <c r="AB29" s="51" t="str">
        <f t="array" aca="1" ref="AB29" ca="1">IFERROR(INDEX(Leccion[selectorLeccion],SMALL(IF(AB$1=Leccion[SubSección],MATCH(ROW(Leccion[SubSección]),ROW(Leccion[SubSección]))),ROW(AA28))),"")</f>
        <v/>
      </c>
      <c r="AC29" s="51" t="str">
        <f t="array" aca="1" ref="AC29" ca="1">IFERROR(INDEX(Leccion[selectorLeccion],SMALL(IF(AC$1=Leccion[SubSección],MATCH(ROW(Leccion[SubSección]),ROW(Leccion[SubSección]))),ROW(AB28))),"")</f>
        <v/>
      </c>
      <c r="AD29" s="51" t="str">
        <f t="array" aca="1" ref="AD29" ca="1">IFERROR(INDEX(Leccion[selectorLeccion],SMALL(IF(AD$1=Leccion[SubSección],MATCH(ROW(Leccion[SubSección]),ROW(Leccion[SubSección]))),ROW(AC28))),"")</f>
        <v/>
      </c>
      <c r="AE29" s="51" t="str">
        <f t="array" aca="1" ref="AE29" ca="1">IFERROR(INDEX(Leccion[selectorLeccion],SMALL(IF(AE$1=Leccion[SubSección],MATCH(ROW(Leccion[SubSección]),ROW(Leccion[SubSección]))),ROW(AD28))),"")</f>
        <v/>
      </c>
      <c r="AF29" s="51" t="str">
        <f t="array" aca="1" ref="AF29" ca="1">IFERROR(INDEX(Leccion[selectorLeccion],SMALL(IF(AF$1=Leccion[SubSección],MATCH(ROW(Leccion[SubSección]),ROW(Leccion[SubSección]))),ROW(AE28))),"")</f>
        <v/>
      </c>
      <c r="AG29" s="51" t="str">
        <f t="array" aca="1" ref="AG29" ca="1">IFERROR(INDEX(Leccion[selectorLeccion],SMALL(IF(AG$1=Leccion[SubSección],MATCH(ROW(Leccion[SubSección]),ROW(Leccion[SubSección]))),ROW(AF28))),"")</f>
        <v/>
      </c>
      <c r="AH29" s="51" t="str">
        <f t="array" aca="1" ref="AH29" ca="1">IFERROR(INDEX(Leccion[selectorLeccion],SMALL(IF(AH$1=Leccion[SubSección],MATCH(ROW(Leccion[SubSección]),ROW(Leccion[SubSección]))),ROW(AG28))),"")</f>
        <v/>
      </c>
      <c r="AI29" s="51" t="str">
        <f t="array" aca="1" ref="AI29" ca="1">IFERROR(INDEX(Leccion[selectorLeccion],SMALL(IF(AI$1=Leccion[SubSección],MATCH(ROW(Leccion[SubSección]),ROW(Leccion[SubSección]))),ROW(AH28))),"")</f>
        <v/>
      </c>
      <c r="AJ29" s="51" t="str">
        <f t="array" aca="1" ref="AJ29" ca="1">IFERROR(INDEX(Leccion[selectorLeccion],SMALL(IF(AJ$1=Leccion[SubSección],MATCH(ROW(Leccion[SubSección]),ROW(Leccion[SubSección]))),ROW(AI28))),"")</f>
        <v/>
      </c>
      <c r="AK29" s="51" t="str">
        <f t="array" aca="1" ref="AK29" ca="1">IFERROR(INDEX(Leccion[selectorLeccion],SMALL(IF(AK$1=Leccion[SubSección],MATCH(ROW(Leccion[SubSección]),ROW(Leccion[SubSección]))),ROW(AJ28))),"")</f>
        <v/>
      </c>
      <c r="AL29" s="51" t="str">
        <f t="array" aca="1" ref="AL29" ca="1">IFERROR(INDEX(Leccion[selectorLeccion],SMALL(IF(AL$1=Leccion[SubSección],MATCH(ROW(Leccion[SubSección]),ROW(Leccion[SubSección]))),ROW(AK28))),"")</f>
        <v/>
      </c>
      <c r="AM29" s="51" t="str">
        <f t="array" aca="1" ref="AM29" ca="1">IFERROR(INDEX(Leccion[selectorLeccion],SMALL(IF(AM$1=Leccion[SubSección],MATCH(ROW(Leccion[SubSección]),ROW(Leccion[SubSección]))),ROW(AL28))),"")</f>
        <v/>
      </c>
      <c r="AN29" s="51" t="str">
        <f t="array" aca="1" ref="AN29" ca="1">IFERROR(INDEX(Leccion[selectorLeccion],SMALL(IF(AN$1=Leccion[SubSección],MATCH(ROW(Leccion[SubSección]),ROW(Leccion[SubSección]))),ROW(AM28))),"")</f>
        <v/>
      </c>
      <c r="AO29" s="51" t="str">
        <f t="array" aca="1" ref="AO29" ca="1">IFERROR(INDEX(Leccion[selectorLeccion],SMALL(IF(AO$1=Leccion[SubSección],MATCH(ROW(Leccion[SubSección]),ROW(Leccion[SubSección]))),ROW(AN28))),"")</f>
        <v/>
      </c>
      <c r="AP29" s="51" t="str">
        <f t="array" aca="1" ref="AP29" ca="1">IFERROR(INDEX(Leccion[selectorLeccion],SMALL(IF(AP$1=Leccion[SubSección],MATCH(ROW(Leccion[SubSección]),ROW(Leccion[SubSección]))),ROW(AO28))),"")</f>
        <v/>
      </c>
      <c r="AQ29" s="51" t="str">
        <f t="array" aca="1" ref="AQ29" ca="1">IFERROR(INDEX(Leccion[selectorLeccion],SMALL(IF(AQ$1=Leccion[SubSección],MATCH(ROW(Leccion[SubSección]),ROW(Leccion[SubSección]))),ROW(AP28))),"")</f>
        <v/>
      </c>
      <c r="AR29" s="51" t="str">
        <f t="array" aca="1" ref="AR29" ca="1">IFERROR(INDEX(Leccion[selectorLeccion],SMALL(IF(AR$1=Leccion[SubSección],MATCH(ROW(Leccion[SubSección]),ROW(Leccion[SubSección]))),ROW(AQ28))),"")</f>
        <v/>
      </c>
      <c r="AS29" s="51" t="str">
        <f t="array" aca="1" ref="AS29" ca="1">IFERROR(INDEX(Leccion[selectorLeccion],SMALL(IF(AS$1=Leccion[SubSección],MATCH(ROW(Leccion[SubSección]),ROW(Leccion[SubSección]))),ROW(AR28))),"")</f>
        <v/>
      </c>
      <c r="AT29" s="51" t="str">
        <f t="array" aca="1" ref="AT29" ca="1">IFERROR(INDEX(Leccion[selectorLeccion],SMALL(IF(AT$1=Leccion[SubSección],MATCH(ROW(Leccion[SubSección]),ROW(Leccion[SubSección]))),ROW(AS28))),"")</f>
        <v/>
      </c>
      <c r="AU29" s="51" t="str">
        <f t="array" aca="1" ref="AU29" ca="1">IFERROR(INDEX(Leccion[selectorLeccion],SMALL(IF(AU$1=Leccion[SubSección],MATCH(ROW(Leccion[SubSección]),ROW(Leccion[SubSección]))),ROW(AT28))),"")</f>
        <v/>
      </c>
      <c r="AV29" s="51" t="str">
        <f t="array" aca="1" ref="AV29" ca="1">IFERROR(INDEX(Leccion[selectorLeccion],SMALL(IF(AV$1=Leccion[SubSección],MATCH(ROW(Leccion[SubSección]),ROW(Leccion[SubSección]))),ROW(AU28))),"")</f>
        <v/>
      </c>
      <c r="AW29" s="51" t="str">
        <f t="array" aca="1" ref="AW29" ca="1">IFERROR(INDEX(Leccion[selectorLeccion],SMALL(IF(AW$1=Leccion[SubSección],MATCH(ROW(Leccion[SubSección]),ROW(Leccion[SubSección]))),ROW(AV28))),"")</f>
        <v/>
      </c>
      <c r="AX29" s="51" t="str">
        <f t="array" aca="1" ref="AX29" ca="1">IFERROR(INDEX(Leccion[selectorLeccion],SMALL(IF(AX$1=Leccion[SubSección],MATCH(ROW(Leccion[SubSección]),ROW(Leccion[SubSección]))),ROW(AW28))),"")</f>
        <v/>
      </c>
      <c r="AY29" s="51" t="str">
        <f t="array" aca="1" ref="AY29" ca="1">IFERROR(INDEX(Leccion[selectorLeccion],SMALL(IF(AY$1=Leccion[SubSección],MATCH(ROW(Leccion[SubSección]),ROW(Leccion[SubSección]))),ROW(AX28))),"")</f>
        <v/>
      </c>
      <c r="AZ29" s="51" t="str">
        <f t="array" aca="1" ref="AZ29" ca="1">IFERROR(INDEX(Leccion[selectorLeccion],SMALL(IF(AZ$1=Leccion[SubSección],MATCH(ROW(Leccion[SubSección]),ROW(Leccion[SubSección]))),ROW(AY28))),"")</f>
        <v/>
      </c>
      <c r="BA29" s="51" t="str">
        <f t="array" aca="1" ref="BA29" ca="1">IFERROR(INDEX(Leccion[selectorLeccion],SMALL(IF(BA$1=Leccion[SubSección],MATCH(ROW(Leccion[SubSección]),ROW(Leccion[SubSección]))),ROW(AZ28))),"")</f>
        <v/>
      </c>
      <c r="BB29" s="51" t="str">
        <f t="array" aca="1" ref="BB29" ca="1">IFERROR(INDEX(Leccion[selectorLeccion],SMALL(IF(BB$1=Leccion[SubSección],MATCH(ROW(Leccion[SubSección]),ROW(Leccion[SubSección]))),ROW(BA28))),"")</f>
        <v/>
      </c>
      <c r="BC29" s="51" t="str">
        <f t="array" aca="1" ref="BC29" ca="1">IFERROR(INDEX(Leccion[selectorLeccion],SMALL(IF(BC$1=Leccion[SubSección],MATCH(ROW(Leccion[SubSección]),ROW(Leccion[SubSección]))),ROW(BB28))),"")</f>
        <v/>
      </c>
      <c r="BD29" s="51" t="str">
        <f t="array" aca="1" ref="BD29" ca="1">IFERROR(INDEX(Leccion[selectorLeccion],SMALL(IF(BD$1=Leccion[SubSección],MATCH(ROW(Leccion[SubSección]),ROW(Leccion[SubSección]))),ROW(BC28))),"")</f>
        <v/>
      </c>
      <c r="BE29" s="51" t="str">
        <f t="array" aca="1" ref="BE29" ca="1">IFERROR(INDEX(Leccion[selectorLeccion],SMALL(IF(BE$1=Leccion[SubSección],MATCH(ROW(Leccion[SubSección]),ROW(Leccion[SubSección]))),ROW(BD28))),"")</f>
        <v/>
      </c>
      <c r="BF29" s="51" t="str">
        <f t="array" aca="1" ref="BF29" ca="1">IFERROR(INDEX(Leccion[selectorLeccion],SMALL(IF(BF$1=Leccion[SubSección],MATCH(ROW(Leccion[SubSección]),ROW(Leccion[SubSección]))),ROW(BE28))),"")</f>
        <v/>
      </c>
      <c r="BG29" s="51" t="str">
        <f t="array" aca="1" ref="BG29" ca="1">IFERROR(INDEX(Leccion[selectorLeccion],SMALL(IF(BG$1=Leccion[SubSección],MATCH(ROW(Leccion[SubSección]),ROW(Leccion[SubSección]))),ROW(BF28))),"")</f>
        <v/>
      </c>
      <c r="BH29" s="51" t="str">
        <f t="array" aca="1" ref="BH29" ca="1">IFERROR(INDEX(Leccion[selectorLeccion],SMALL(IF(BH$1=Leccion[SubSección],MATCH(ROW(Leccion[SubSección]),ROW(Leccion[SubSección]))),ROW(BG28))),"")</f>
        <v/>
      </c>
      <c r="BI29" s="51" t="str">
        <f t="array" aca="1" ref="BI29" ca="1">IFERROR(INDEX(Leccion[selectorLeccion],SMALL(IF(BI$1=Leccion[SubSección],MATCH(ROW(Leccion[SubSección]),ROW(Leccion[SubSección]))),ROW(BH28))),"")</f>
        <v/>
      </c>
      <c r="BJ29" s="51" t="str">
        <f t="array" aca="1" ref="BJ29" ca="1">IFERROR(INDEX(Leccion[selectorLeccion],SMALL(IF(BJ$1=Leccion[SubSección],MATCH(ROW(Leccion[SubSección]),ROW(Leccion[SubSección]))),ROW(BI28))),"")</f>
        <v/>
      </c>
      <c r="BK29" s="51" t="str">
        <f t="array" aca="1" ref="BK29" ca="1">IFERROR(INDEX(Leccion[selectorLeccion],SMALL(IF(BK$1=Leccion[SubSección],MATCH(ROW(Leccion[SubSección]),ROW(Leccion[SubSección]))),ROW(BJ28))),"")</f>
        <v/>
      </c>
      <c r="BL29" s="51" t="str">
        <f t="array" aca="1" ref="BL29" ca="1">IFERROR(INDEX(Leccion[selectorLeccion],SMALL(IF(BL$1=Leccion[SubSección],MATCH(ROW(Leccion[SubSección]),ROW(Leccion[SubSección]))),ROW(BK28))),"")</f>
        <v/>
      </c>
      <c r="BM29" s="51" t="str">
        <f t="array" aca="1" ref="BM29" ca="1">IFERROR(INDEX(Leccion[selectorLeccion],SMALL(IF(BM$1=Leccion[SubSección],MATCH(ROW(Leccion[SubSección]),ROW(Leccion[SubSección]))),ROW(BL28))),"")</f>
        <v/>
      </c>
      <c r="BN29" s="51" t="str">
        <f t="array" aca="1" ref="BN29" ca="1">IFERROR(INDEX(Leccion[selectorLeccion],SMALL(IF(BN$1=Leccion[SubSección],MATCH(ROW(Leccion[SubSección]),ROW(Leccion[SubSección]))),ROW(BM28))),"")</f>
        <v/>
      </c>
      <c r="BO29" s="51" t="str">
        <f t="array" aca="1" ref="BO29" ca="1">IFERROR(INDEX(Leccion[selectorLeccion],SMALL(IF(BO$1=Leccion[SubSección],MATCH(ROW(Leccion[SubSección]),ROW(Leccion[SubSección]))),ROW(BN28))),"")</f>
        <v/>
      </c>
      <c r="BP29" s="51" t="str">
        <f t="array" aca="1" ref="BP29" ca="1">IFERROR(INDEX(Leccion[selectorLeccion],SMALL(IF(BP$1=Leccion[SubSección],MATCH(ROW(Leccion[SubSección]),ROW(Leccion[SubSección]))),ROW(BO28))),"")</f>
        <v/>
      </c>
      <c r="BQ29" s="51" t="str">
        <f t="array" aca="1" ref="BQ29" ca="1">IFERROR(INDEX(Leccion[selectorLeccion],SMALL(IF(BQ$1=Leccion[SubSección],MATCH(ROW(Leccion[SubSección]),ROW(Leccion[SubSección]))),ROW(BP28))),"")</f>
        <v/>
      </c>
      <c r="BR29" s="51" t="str">
        <f t="array" aca="1" ref="BR29" ca="1">IFERROR(INDEX(Leccion[selectorLeccion],SMALL(IF(BR$1=Leccion[SubSección],MATCH(ROW(Leccion[SubSección]),ROW(Leccion[SubSección]))),ROW(BQ28))),"")</f>
        <v/>
      </c>
      <c r="BS29" s="51" t="str">
        <f t="array" aca="1" ref="BS29" ca="1">IFERROR(INDEX(Leccion[selectorLeccion],SMALL(IF(BS$1=Leccion[SubSección],MATCH(ROW(Leccion[SubSección]),ROW(Leccion[SubSección]))),ROW(BR28))),"")</f>
        <v/>
      </c>
      <c r="BT29" s="51" t="str">
        <f t="array" aca="1" ref="BT29" ca="1">IFERROR(INDEX(Leccion[selectorLeccion],SMALL(IF(BT$1=Leccion[SubSección],MATCH(ROW(Leccion[SubSección]),ROW(Leccion[SubSección]))),ROW(BS28))),"")</f>
        <v/>
      </c>
      <c r="BU29" s="51" t="str">
        <f t="array" aca="1" ref="BU29" ca="1">IFERROR(INDEX(Leccion[selectorLeccion],SMALL(IF(BU$1=Leccion[SubSección],MATCH(ROW(Leccion[SubSección]),ROW(Leccion[SubSección]))),ROW(BT28))),"")</f>
        <v/>
      </c>
      <c r="BV29" s="51" t="str">
        <f t="array" aca="1" ref="BV29" ca="1">IFERROR(INDEX(Leccion[selectorLeccion],SMALL(IF(BV$1=Leccion[SubSección],MATCH(ROW(Leccion[SubSección]),ROW(Leccion[SubSección]))),ROW(BU28))),"")</f>
        <v/>
      </c>
      <c r="BW29" s="51" t="str">
        <f t="array" aca="1" ref="BW29" ca="1">IFERROR(INDEX(Leccion[selectorLeccion],SMALL(IF(BW$1=Leccion[SubSección],MATCH(ROW(Leccion[SubSección]),ROW(Leccion[SubSección]))),ROW(BV28))),"")</f>
        <v/>
      </c>
      <c r="BX29" s="51" t="str">
        <f t="array" aca="1" ref="BX29" ca="1">IFERROR(INDEX(Leccion[selectorLeccion],SMALL(IF(BX$1=Leccion[SubSección],MATCH(ROW(Leccion[SubSección]),ROW(Leccion[SubSección]))),ROW(BW28))),"")</f>
        <v/>
      </c>
      <c r="BY29" s="51" t="str">
        <f t="array" aca="1" ref="BY29" ca="1">IFERROR(INDEX(Leccion[selectorLeccion],SMALL(IF(BY$1=Leccion[SubSección],MATCH(ROW(Leccion[SubSección]),ROW(Leccion[SubSección]))),ROW(BX28))),"")</f>
        <v/>
      </c>
      <c r="BZ29" s="51" t="str">
        <f t="array" aca="1" ref="BZ29" ca="1">IFERROR(INDEX(Leccion[selectorLeccion],SMALL(IF(BZ$1=Leccion[SubSección],MATCH(ROW(Leccion[SubSección]),ROW(Leccion[SubSección]))),ROW(BY28))),"")</f>
        <v/>
      </c>
      <c r="CA29" s="51" t="str">
        <f t="array" aca="1" ref="CA29" ca="1">IFERROR(INDEX(Leccion[selectorLeccion],SMALL(IF(CA$1=Leccion[SubSección],MATCH(ROW(Leccion[SubSección]),ROW(Leccion[SubSección]))),ROW(BZ28))),"")</f>
        <v/>
      </c>
      <c r="CB29" s="51" t="str">
        <f t="array" aca="1" ref="CB29" ca="1">IFERROR(INDEX(Leccion[selectorLeccion],SMALL(IF(CB$1=Leccion[SubSección],MATCH(ROW(Leccion[SubSección]),ROW(Leccion[SubSección]))),ROW(CA28))),"")</f>
        <v/>
      </c>
      <c r="CC29" s="51" t="str">
        <f t="array" aca="1" ref="CC29" ca="1">IFERROR(INDEX(Leccion[selectorLeccion],SMALL(IF(CC$1=Leccion[SubSección],MATCH(ROW(Leccion[SubSección]),ROW(Leccion[SubSección]))),ROW(CB28))),"")</f>
        <v/>
      </c>
      <c r="CD29" s="51" t="str">
        <f t="array" aca="1" ref="CD29" ca="1">IFERROR(INDEX(Leccion[selectorLeccion],SMALL(IF(CD$1=Leccion[SubSección],MATCH(ROW(Leccion[SubSección]),ROW(Leccion[SubSección]))),ROW(CC28))),"")</f>
        <v/>
      </c>
      <c r="CE29" s="51" t="str">
        <f t="array" aca="1" ref="CE29" ca="1">IFERROR(INDEX(Leccion[selectorLeccion],SMALL(IF(CE$1=Leccion[SubSección],MATCH(ROW(Leccion[SubSección]),ROW(Leccion[SubSección]))),ROW(CD28))),"")</f>
        <v/>
      </c>
      <c r="CF29" s="51" t="str">
        <f t="array" aca="1" ref="CF29" ca="1">IFERROR(INDEX(Leccion[selectorLeccion],SMALL(IF(CF$1=Leccion[SubSección],MATCH(ROW(Leccion[SubSección]),ROW(Leccion[SubSección]))),ROW(CE28))),"")</f>
        <v/>
      </c>
      <c r="CG29" s="51" t="str">
        <f t="array" aca="1" ref="CG29" ca="1">IFERROR(INDEX(Leccion[selectorLeccion],SMALL(IF(CG$1=Leccion[SubSección],MATCH(ROW(Leccion[SubSección]),ROW(Leccion[SubSección]))),ROW(CF28))),"")</f>
        <v/>
      </c>
      <c r="CH29" s="51" t="str">
        <f t="array" aca="1" ref="CH29" ca="1">IFERROR(INDEX(Leccion[selectorLeccion],SMALL(IF(CH$1=Leccion[SubSección],MATCH(ROW(Leccion[SubSección]),ROW(Leccion[SubSección]))),ROW(CG28))),"")</f>
        <v/>
      </c>
      <c r="CI29" s="51" t="str">
        <f t="array" aca="1" ref="CI29" ca="1">IFERROR(INDEX(Leccion[selectorLeccion],SMALL(IF(CI$1=Leccion[SubSección],MATCH(ROW(Leccion[SubSección]),ROW(Leccion[SubSección]))),ROW(CH28))),"")</f>
        <v/>
      </c>
      <c r="CJ29" s="51" t="str">
        <f t="array" aca="1" ref="CJ29" ca="1">IFERROR(INDEX(Leccion[selectorLeccion],SMALL(IF(CJ$1=Leccion[SubSección],MATCH(ROW(Leccion[SubSección]),ROW(Leccion[SubSección]))),ROW(CI28))),"")</f>
        <v/>
      </c>
      <c r="CK29" s="51" t="str">
        <f t="array" aca="1" ref="CK29" ca="1">IFERROR(INDEX(Leccion[selectorLeccion],SMALL(IF(CK$1=Leccion[SubSección],MATCH(ROW(Leccion[SubSección]),ROW(Leccion[SubSección]))),ROW(CJ28))),"")</f>
        <v/>
      </c>
      <c r="CL29" s="51" t="str">
        <f t="array" aca="1" ref="CL29" ca="1">IFERROR(INDEX(Leccion[selectorLeccion],SMALL(IF(CL$1=Leccion[SubSección],MATCH(ROW(Leccion[SubSección]),ROW(Leccion[SubSección]))),ROW(CK28))),"")</f>
        <v/>
      </c>
      <c r="CM29" s="51" t="str">
        <f t="array" aca="1" ref="CM29" ca="1">IFERROR(INDEX(Leccion[selectorLeccion],SMALL(IF(CM$1=Leccion[SubSección],MATCH(ROW(Leccion[SubSección]),ROW(Leccion[SubSección]))),ROW(CL28))),"")</f>
        <v/>
      </c>
      <c r="CN29" s="51" t="str">
        <f t="array" aca="1" ref="CN29" ca="1">IFERROR(INDEX(Leccion[selectorLeccion],SMALL(IF(CN$1=Leccion[SubSección],MATCH(ROW(Leccion[SubSección]),ROW(Leccion[SubSección]))),ROW(CM28))),"")</f>
        <v/>
      </c>
      <c r="CO29" s="51" t="str">
        <f t="array" aca="1" ref="CO29" ca="1">IFERROR(INDEX(Leccion[selectorLeccion],SMALL(IF(CO$1=Leccion[SubSección],MATCH(ROW(Leccion[SubSección]),ROW(Leccion[SubSección]))),ROW(CN28))),"")</f>
        <v/>
      </c>
      <c r="CP29" s="51" t="str">
        <f t="array" aca="1" ref="CP29" ca="1">IFERROR(INDEX(Leccion[selectorLeccion],SMALL(IF(CP$1=Leccion[SubSección],MATCH(ROW(Leccion[SubSección]),ROW(Leccion[SubSección]))),ROW(CO28))),"")</f>
        <v/>
      </c>
      <c r="CQ29" s="51" t="str">
        <f t="array" aca="1" ref="CQ29" ca="1">IFERROR(INDEX(Leccion[selectorLeccion],SMALL(IF(CQ$1=Leccion[SubSección],MATCH(ROW(Leccion[SubSección]),ROW(Leccion[SubSección]))),ROW(CP28))),"")</f>
        <v/>
      </c>
      <c r="CR29" s="51" t="str">
        <f t="array" aca="1" ref="CR29" ca="1">IFERROR(INDEX(Leccion[selectorLeccion],SMALL(IF(CR$1=Leccion[SubSección],MATCH(ROW(Leccion[SubSección]),ROW(Leccion[SubSección]))),ROW(CQ28))),"")</f>
        <v/>
      </c>
      <c r="CS29" s="51" t="str">
        <f t="array" aca="1" ref="CS29" ca="1">IFERROR(INDEX(Leccion[selectorLeccion],SMALL(IF(CS$1=Leccion[SubSección],MATCH(ROW(Leccion[SubSección]),ROW(Leccion[SubSección]))),ROW(CR28))),"")</f>
        <v/>
      </c>
      <c r="CT29" s="51" t="str">
        <f t="array" aca="1" ref="CT29" ca="1">IFERROR(INDEX(Leccion[selectorLeccion],SMALL(IF(CT$1=Leccion[SubSección],MATCH(ROW(Leccion[SubSección]),ROW(Leccion[SubSección]))),ROW(CS28))),"")</f>
        <v/>
      </c>
      <c r="CU29" s="51" t="str">
        <f t="array" aca="1" ref="CU29" ca="1">IFERROR(INDEX(Leccion[selectorLeccion],SMALL(IF(CU$1=Leccion[SubSección],MATCH(ROW(Leccion[SubSección]),ROW(Leccion[SubSección]))),ROW(CT28))),"")</f>
        <v/>
      </c>
      <c r="CV29" s="51" t="str">
        <f t="array" aca="1" ref="CV29" ca="1">IFERROR(INDEX(Leccion[selectorLeccion],SMALL(IF(CV$1=Leccion[SubSección],MATCH(ROW(Leccion[SubSección]),ROW(Leccion[SubSección]))),ROW(CU28))),"")</f>
        <v/>
      </c>
      <c r="CW29" s="51" t="str">
        <f t="array" aca="1" ref="CW29" ca="1">IFERROR(INDEX(Leccion[selectorLeccion],SMALL(IF(CW$1=Leccion[SubSección],MATCH(ROW(Leccion[SubSección]),ROW(Leccion[SubSección]))),ROW(CV28))),"")</f>
        <v/>
      </c>
      <c r="CX29" s="51" t="str">
        <f t="array" aca="1" ref="CX29" ca="1">IFERROR(INDEX(Leccion[selectorLeccion],SMALL(IF(CX$1=Leccion[SubSección],MATCH(ROW(Leccion[SubSección]),ROW(Leccion[SubSección]))),ROW(CW28))),"")</f>
        <v/>
      </c>
      <c r="CY29" s="51" t="str">
        <f t="array" aca="1" ref="CY29" ca="1">IFERROR(INDEX(Leccion[selectorLeccion],SMALL(IF(CY$1=Leccion[SubSección],MATCH(ROW(Leccion[SubSección]),ROW(Leccion[SubSección]))),ROW(CX28))),"")</f>
        <v/>
      </c>
      <c r="CZ29" s="51" t="str">
        <f t="array" aca="1" ref="CZ29" ca="1">IFERROR(INDEX(Leccion[selectorLeccion],SMALL(IF(CZ$1=Leccion[SubSección],MATCH(ROW(Leccion[SubSección]),ROW(Leccion[SubSección]))),ROW(CY28))),"")</f>
        <v/>
      </c>
      <c r="DA29" s="51" t="str">
        <f t="array" aca="1" ref="DA29" ca="1">IFERROR(INDEX(Leccion[selectorLeccion],SMALL(IF(DA$1=Leccion[SubSección],MATCH(ROW(Leccion[SubSección]),ROW(Leccion[SubSección]))),ROW(CZ28))),"")</f>
        <v/>
      </c>
      <c r="DB29" s="51" t="str">
        <f t="array" aca="1" ref="DB29" ca="1">IFERROR(INDEX(Leccion[selectorLeccion],SMALL(IF(DB$1=Leccion[SubSección],MATCH(ROW(Leccion[SubSección]),ROW(Leccion[SubSección]))),ROW(DA28))),"")</f>
        <v/>
      </c>
      <c r="DC29" s="51" t="str">
        <f t="array" aca="1" ref="DC29" ca="1">IFERROR(INDEX(Leccion[selectorLeccion],SMALL(IF(DC$1=Leccion[SubSección],MATCH(ROW(Leccion[SubSección]),ROW(Leccion[SubSección]))),ROW(DB28))),"")</f>
        <v/>
      </c>
      <c r="DD29" s="51" t="str">
        <f t="array" aca="1" ref="DD29" ca="1">IFERROR(INDEX(Leccion[selectorLeccion],SMALL(IF(DD$1=Leccion[SubSección],MATCH(ROW(Leccion[SubSección]),ROW(Leccion[SubSección]))),ROW(DC28))),"")</f>
        <v/>
      </c>
      <c r="DE29" s="51" t="str">
        <f t="array" aca="1" ref="DE29" ca="1">IFERROR(INDEX(Leccion[selectorLeccion],SMALL(IF(DE$1=Leccion[SubSección],MATCH(ROW(Leccion[SubSección]),ROW(Leccion[SubSección]))),ROW(DD28))),"")</f>
        <v/>
      </c>
      <c r="DF29" s="51" t="str">
        <f t="array" aca="1" ref="DF29" ca="1">IFERROR(INDEX(Leccion[selectorLeccion],SMALL(IF(DF$1=Leccion[SubSección],MATCH(ROW(Leccion[SubSección]),ROW(Leccion[SubSección]))),ROW(DE28))),"")</f>
        <v/>
      </c>
      <c r="DG29" s="51" t="str">
        <f t="array" aca="1" ref="DG29" ca="1">IFERROR(INDEX(Leccion[selectorLeccion],SMALL(IF(DG$1=Leccion[SubSección],MATCH(ROW(Leccion[SubSección]),ROW(Leccion[SubSección]))),ROW(DF28))),"")</f>
        <v/>
      </c>
      <c r="DH29" s="51" t="str">
        <f t="array" aca="1" ref="DH29" ca="1">IFERROR(INDEX(Leccion[selectorLeccion],SMALL(IF(DH$1=Leccion[SubSección],MATCH(ROW(Leccion[SubSección]),ROW(Leccion[SubSección]))),ROW(DG28))),"")</f>
        <v/>
      </c>
      <c r="DI29" s="51" t="str">
        <f t="array" aca="1" ref="DI29" ca="1">IFERROR(INDEX(Leccion[selectorLeccion],SMALL(IF(DI$1=Leccion[SubSección],MATCH(ROW(Leccion[SubSección]),ROW(Leccion[SubSección]))),ROW(DH28))),"")</f>
        <v/>
      </c>
      <c r="DJ29" s="51" t="str">
        <f t="array" aca="1" ref="DJ29" ca="1">IFERROR(INDEX(Leccion[selectorLeccion],SMALL(IF(DJ$1=Leccion[SubSección],MATCH(ROW(Leccion[SubSección]),ROW(Leccion[SubSección]))),ROW(DI28))),"")</f>
        <v/>
      </c>
      <c r="DK29" s="51" t="str">
        <f t="array" aca="1" ref="DK29" ca="1">IFERROR(INDEX(Leccion[selectorLeccion],SMALL(IF(DK$1=Leccion[SubSección],MATCH(ROW(Leccion[SubSección]),ROW(Leccion[SubSección]))),ROW(DJ28))),"")</f>
        <v/>
      </c>
      <c r="DL29" s="51" t="str">
        <f t="array" aca="1" ref="DL29" ca="1">IFERROR(INDEX(Leccion[selectorLeccion],SMALL(IF(DL$1=Leccion[SubSección],MATCH(ROW(Leccion[SubSección]),ROW(Leccion[SubSección]))),ROW(DK28))),"")</f>
        <v/>
      </c>
      <c r="DM29" s="51" t="str">
        <f t="array" aca="1" ref="DM29" ca="1">IFERROR(INDEX(Leccion[selectorLeccion],SMALL(IF(DM$1=Leccion[SubSección],MATCH(ROW(Leccion[SubSección]),ROW(Leccion[SubSección]))),ROW(DL28))),"")</f>
        <v/>
      </c>
      <c r="DN29" s="51" t="str">
        <f t="array" aca="1" ref="DN29" ca="1">IFERROR(INDEX(Leccion[selectorLeccion],SMALL(IF(DN$1=Leccion[SubSección],MATCH(ROW(Leccion[SubSección]),ROW(Leccion[SubSección]))),ROW(DM28))),"")</f>
        <v/>
      </c>
      <c r="DO29" s="51" t="str">
        <f t="array" aca="1" ref="DO29" ca="1">IFERROR(INDEX(Leccion[selectorLeccion],SMALL(IF(DO$1=Leccion[SubSección],MATCH(ROW(Leccion[SubSección]),ROW(Leccion[SubSección]))),ROW(DN28))),"")</f>
        <v/>
      </c>
      <c r="DP29" s="51" t="str">
        <f t="array" aca="1" ref="DP29" ca="1">IFERROR(INDEX(Leccion[selectorLeccion],SMALL(IF(DP$1=Leccion[SubSección],MATCH(ROW(Leccion[SubSección]),ROW(Leccion[SubSección]))),ROW(DO28))),"")</f>
        <v/>
      </c>
      <c r="DQ29" s="51" t="str">
        <f t="array" aca="1" ref="DQ29" ca="1">IFERROR(INDEX(Leccion[selectorLeccion],SMALL(IF(DQ$1=Leccion[SubSección],MATCH(ROW(Leccion[SubSección]),ROW(Leccion[SubSección]))),ROW(DP28))),"")</f>
        <v/>
      </c>
      <c r="DR29" s="51" t="str">
        <f t="array" aca="1" ref="DR29" ca="1">IFERROR(INDEX(Leccion[selectorLeccion],SMALL(IF(DR$1=Leccion[SubSección],MATCH(ROW(Leccion[SubSección]),ROW(Leccion[SubSección]))),ROW(DQ28))),"")</f>
        <v/>
      </c>
      <c r="DS29" s="51" t="str">
        <f t="array" aca="1" ref="DS29" ca="1">IFERROR(INDEX(Leccion[selectorLeccion],SMALL(IF(DS$1=Leccion[SubSección],MATCH(ROW(Leccion[SubSección]),ROW(Leccion[SubSección]))),ROW(DR28))),"")</f>
        <v/>
      </c>
      <c r="DT29" s="51" t="str">
        <f t="array" aca="1" ref="DT29" ca="1">IFERROR(INDEX(Leccion[selectorLeccion],SMALL(IF(DT$1=Leccion[SubSección],MATCH(ROW(Leccion[SubSección]),ROW(Leccion[SubSección]))),ROW(DS28))),"")</f>
        <v/>
      </c>
      <c r="DU29" s="51" t="str">
        <f t="array" aca="1" ref="DU29" ca="1">IFERROR(INDEX(Leccion[selectorLeccion],SMALL(IF(DU$1=Leccion[SubSección],MATCH(ROW(Leccion[SubSección]),ROW(Leccion[SubSección]))),ROW(DT28))),"")</f>
        <v/>
      </c>
      <c r="DV29" s="51" t="str">
        <f t="array" aca="1" ref="DV29" ca="1">IFERROR(INDEX(Leccion[selectorLeccion],SMALL(IF(DV$1=Leccion[SubSección],MATCH(ROW(Leccion[SubSección]),ROW(Leccion[SubSección]))),ROW(DU28))),"")</f>
        <v/>
      </c>
      <c r="DW29" s="51" t="str">
        <f t="array" aca="1" ref="DW29" ca="1">IFERROR(INDEX(Leccion[selectorLeccion],SMALL(IF(DW$1=Leccion[SubSección],MATCH(ROW(Leccion[SubSección]),ROW(Leccion[SubSección]))),ROW(DV28))),"")</f>
        <v/>
      </c>
      <c r="DX29" s="51" t="str">
        <f t="array" aca="1" ref="DX29" ca="1">IFERROR(INDEX(Leccion[selectorLeccion],SMALL(IF(DX$1=Leccion[SubSección],MATCH(ROW(Leccion[SubSección]),ROW(Leccion[SubSección]))),ROW(DW28))),"")</f>
        <v/>
      </c>
      <c r="DY29" s="51" t="str">
        <f t="array" aca="1" ref="DY29" ca="1">IFERROR(INDEX(Leccion[selectorLeccion],SMALL(IF(DY$1=Leccion[SubSección],MATCH(ROW(Leccion[SubSección]),ROW(Leccion[SubSección]))),ROW(DX28))),"")</f>
        <v/>
      </c>
      <c r="DZ29" s="51" t="str">
        <f t="array" aca="1" ref="DZ29" ca="1">IFERROR(INDEX(Leccion[selectorLeccion],SMALL(IF(DZ$1=Leccion[SubSección],MATCH(ROW(Leccion[SubSección]),ROW(Leccion[SubSección]))),ROW(DY28))),"")</f>
        <v/>
      </c>
      <c r="EA29" s="51" t="str">
        <f t="array" aca="1" ref="EA29" ca="1">IFERROR(INDEX(Leccion[selectorLeccion],SMALL(IF(EA$1=Leccion[SubSección],MATCH(ROW(Leccion[SubSección]),ROW(Leccion[SubSección]))),ROW(DZ28))),"")</f>
        <v/>
      </c>
      <c r="EB29" s="51" t="str">
        <f t="array" aca="1" ref="EB29" ca="1">IFERROR(INDEX(Leccion[selectorLeccion],SMALL(IF(EB$1=Leccion[SubSección],MATCH(ROW(Leccion[SubSección]),ROW(Leccion[SubSección]))),ROW(EA28))),"")</f>
        <v/>
      </c>
      <c r="EC29" s="51" t="str">
        <f t="array" aca="1" ref="EC29" ca="1">IFERROR(INDEX(Leccion[selectorLeccion],SMALL(IF(EC$1=Leccion[SubSección],MATCH(ROW(Leccion[SubSección]),ROW(Leccion[SubSección]))),ROW(EB28))),"")</f>
        <v/>
      </c>
      <c r="ED29" s="51" t="str">
        <f t="array" aca="1" ref="ED29" ca="1">IFERROR(INDEX(Leccion[selectorLeccion],SMALL(IF(ED$1=Leccion[SubSección],MATCH(ROW(Leccion[SubSección]),ROW(Leccion[SubSección]))),ROW(EC28))),"")</f>
        <v/>
      </c>
      <c r="EE29" s="51" t="str">
        <f t="array" aca="1" ref="EE29" ca="1">IFERROR(INDEX(Leccion[selectorLeccion],SMALL(IF(EE$1=Leccion[SubSección],MATCH(ROW(Leccion[SubSección]),ROW(Leccion[SubSección]))),ROW(ED28))),"")</f>
        <v/>
      </c>
      <c r="EF29" s="51" t="str">
        <f t="array" aca="1" ref="EF29" ca="1">IFERROR(INDEX(Leccion[selectorLeccion],SMALL(IF(EF$1=Leccion[SubSección],MATCH(ROW(Leccion[SubSección]),ROW(Leccion[SubSección]))),ROW(EE28))),"")</f>
        <v/>
      </c>
      <c r="EG29" s="51" t="str">
        <f t="array" aca="1" ref="EG29" ca="1">IFERROR(INDEX(Leccion[selectorLeccion],SMALL(IF(EG$1=Leccion[SubSección],MATCH(ROW(Leccion[SubSección]),ROW(Leccion[SubSección]))),ROW(EF28))),"")</f>
        <v/>
      </c>
      <c r="EH29" s="51" t="str">
        <f t="array" aca="1" ref="EH29" ca="1">IFERROR(INDEX(Leccion[selectorLeccion],SMALL(IF(EH$1=Leccion[SubSección],MATCH(ROW(Leccion[SubSección]),ROW(Leccion[SubSección]))),ROW(EG28))),"")</f>
        <v/>
      </c>
      <c r="EI29" s="51" t="str">
        <f t="array" aca="1" ref="EI29" ca="1">IFERROR(INDEX(Leccion[selectorLeccion],SMALL(IF(EI$1=Leccion[SubSección],MATCH(ROW(Leccion[SubSección]),ROW(Leccion[SubSección]))),ROW(EH28))),"")</f>
        <v/>
      </c>
      <c r="EJ29" s="51" t="str">
        <f t="array" aca="1" ref="EJ29" ca="1">IFERROR(INDEX(Leccion[selectorLeccion],SMALL(IF(EJ$1=Leccion[SubSección],MATCH(ROW(Leccion[SubSección]),ROW(Leccion[SubSección]))),ROW(EI28))),"")</f>
        <v/>
      </c>
      <c r="EK29" s="51" t="str">
        <f t="array" aca="1" ref="EK29" ca="1">IFERROR(INDEX(Leccion[selectorLeccion],SMALL(IF(EK$1=Leccion[SubSección],MATCH(ROW(Leccion[SubSección]),ROW(Leccion[SubSección]))),ROW(EJ28))),"")</f>
        <v/>
      </c>
      <c r="EL29" s="51" t="str">
        <f t="array" aca="1" ref="EL29" ca="1">IFERROR(INDEX(Leccion[selectorLeccion],SMALL(IF(EL$1=Leccion[SubSección],MATCH(ROW(Leccion[SubSección]),ROW(Leccion[SubSección]))),ROW(EK28))),"")</f>
        <v/>
      </c>
      <c r="EM29" s="51" t="str">
        <f t="array" aca="1" ref="EM29" ca="1">IFERROR(INDEX(Leccion[selectorLeccion],SMALL(IF(EM$1=Leccion[SubSección],MATCH(ROW(Leccion[SubSección]),ROW(Leccion[SubSección]))),ROW(EL28))),"")</f>
        <v/>
      </c>
      <c r="EN29" s="51" t="str">
        <f t="array" aca="1" ref="EN29" ca="1">IFERROR(INDEX(Leccion[selectorLeccion],SMALL(IF(EN$1=Leccion[SubSección],MATCH(ROW(Leccion[SubSección]),ROW(Leccion[SubSección]))),ROW(EM28))),"")</f>
        <v/>
      </c>
      <c r="EO29" s="51" t="str">
        <f t="array" aca="1" ref="EO29" ca="1">IFERROR(INDEX(Leccion[selectorLeccion],SMALL(IF(EO$1=Leccion[SubSección],MATCH(ROW(Leccion[SubSección]),ROW(Leccion[SubSección]))),ROW(EN28))),"")</f>
        <v/>
      </c>
      <c r="EP29" s="51" t="str">
        <f t="array" aca="1" ref="EP29" ca="1">IFERROR(INDEX(Leccion[selectorLeccion],SMALL(IF(EP$1=Leccion[SubSección],MATCH(ROW(Leccion[SubSección]),ROW(Leccion[SubSección]))),ROW(EO28))),"")</f>
        <v/>
      </c>
      <c r="EQ29" s="51" t="str">
        <f t="array" aca="1" ref="EQ29" ca="1">IFERROR(INDEX(Leccion[selectorLeccion],SMALL(IF(EQ$1=Leccion[SubSección],MATCH(ROW(Leccion[SubSección]),ROW(Leccion[SubSección]))),ROW(EP28))),"")</f>
        <v/>
      </c>
      <c r="ER29" s="51" t="str">
        <f t="array" aca="1" ref="ER29" ca="1">IFERROR(INDEX(Leccion[selectorLeccion],SMALL(IF(ER$1=Leccion[SubSección],MATCH(ROW(Leccion[SubSección]),ROW(Leccion[SubSección]))),ROW(EQ28))),"")</f>
        <v/>
      </c>
      <c r="ES29" s="51" t="str">
        <f t="array" aca="1" ref="ES29" ca="1">IFERROR(INDEX(Leccion[selectorLeccion],SMALL(IF(ES$1=Leccion[SubSección],MATCH(ROW(Leccion[SubSección]),ROW(Leccion[SubSección]))),ROW(ER28))),"")</f>
        <v/>
      </c>
      <c r="ET29" s="51" t="str">
        <f t="array" aca="1" ref="ET29" ca="1">IFERROR(INDEX(Leccion[selectorLeccion],SMALL(IF(ET$1=Leccion[SubSección],MATCH(ROW(Leccion[SubSección]),ROW(Leccion[SubSección]))),ROW(ES28))),"")</f>
        <v/>
      </c>
      <c r="EU29" s="51" t="str">
        <f t="array" aca="1" ref="EU29" ca="1">IFERROR(INDEX(Leccion[selectorLeccion],SMALL(IF(EU$1=Leccion[SubSección],MATCH(ROW(Leccion[SubSección]),ROW(Leccion[SubSección]))),ROW(ET28))),"")</f>
        <v/>
      </c>
      <c r="EV29" s="51" t="str">
        <f t="array" aca="1" ref="EV29" ca="1">IFERROR(INDEX(Leccion[selectorLeccion],SMALL(IF(EV$1=Leccion[SubSección],MATCH(ROW(Leccion[SubSección]),ROW(Leccion[SubSección]))),ROW(EU28))),"")</f>
        <v/>
      </c>
      <c r="EW29" s="51" t="str">
        <f t="array" aca="1" ref="EW29" ca="1">IFERROR(INDEX(Leccion[selectorLeccion],SMALL(IF(EW$1=Leccion[SubSección],MATCH(ROW(Leccion[SubSección]),ROW(Leccion[SubSección]))),ROW(EV28))),"")</f>
        <v/>
      </c>
      <c r="EX29" s="51" t="str">
        <f t="array" aca="1" ref="EX29" ca="1">IFERROR(INDEX(Leccion[selectorLeccion],SMALL(IF(EX$1=Leccion[SubSección],MATCH(ROW(Leccion[SubSección]),ROW(Leccion[SubSección]))),ROW(EW28))),"")</f>
        <v/>
      </c>
      <c r="EY29" s="51" t="str">
        <f t="array" aca="1" ref="EY29" ca="1">IFERROR(INDEX(Leccion[selectorLeccion],SMALL(IF(EY$1=Leccion[SubSección],MATCH(ROW(Leccion[SubSección]),ROW(Leccion[SubSección]))),ROW(EX28))),"")</f>
        <v/>
      </c>
      <c r="EZ29" s="51" t="str">
        <f t="array" aca="1" ref="EZ29" ca="1">IFERROR(INDEX(Leccion[selectorLeccion],SMALL(IF(EZ$1=Leccion[SubSección],MATCH(ROW(Leccion[SubSección]),ROW(Leccion[SubSección]))),ROW(EY28))),"")</f>
        <v/>
      </c>
    </row>
    <row r="30" spans="2:156" x14ac:dyDescent="0.3">
      <c r="B30" s="51" t="str">
        <f t="array" aca="1" ref="B30" ca="1">IFERROR(INDEX(Leccion[selectorLeccion],SMALL(IF(B$1=Leccion[SubSección],MATCH(ROW(Leccion[SubSección]),ROW(Leccion[SubSección]))),ROW(A29))),"")</f>
        <v/>
      </c>
      <c r="C30" s="51" t="str">
        <f t="array" aca="1" ref="C30" ca="1">IFERROR(INDEX(Leccion[selectorLeccion],SMALL(IF(C$1=Leccion[SubSección],MATCH(ROW(Leccion[SubSección]),ROW(Leccion[SubSección]))),ROW(B29))),"")</f>
        <v/>
      </c>
      <c r="D30" s="51" t="str">
        <f t="array" aca="1" ref="D30" ca="1">IFERROR(INDEX(Leccion[selectorLeccion],SMALL(IF(D$1=Leccion[SubSección],MATCH(ROW(Leccion[SubSección]),ROW(Leccion[SubSección]))),ROW(C29))),"")</f>
        <v/>
      </c>
      <c r="E30" s="51" t="str">
        <f t="array" aca="1" ref="E30" ca="1">IFERROR(INDEX(Leccion[selectorLeccion],SMALL(IF(E$1=Leccion[SubSección],MATCH(ROW(Leccion[SubSección]),ROW(Leccion[SubSección]))),ROW(D29))),"")</f>
        <v/>
      </c>
      <c r="F30" s="51" t="str">
        <f t="array" aca="1" ref="F30" ca="1">IFERROR(INDEX(Leccion[selectorLeccion],SMALL(IF(F$1=Leccion[SubSección],MATCH(ROW(Leccion[SubSección]),ROW(Leccion[SubSección]))),ROW(E29))),"")</f>
        <v/>
      </c>
      <c r="G30" s="51" t="str">
        <f t="array" aca="1" ref="G30" ca="1">IFERROR(INDEX(Leccion[selectorLeccion],SMALL(IF(G$1=Leccion[SubSección],MATCH(ROW(Leccion[SubSección]),ROW(Leccion[SubSección]))),ROW(F29))),"")</f>
        <v/>
      </c>
      <c r="H30" s="51" t="str">
        <f t="array" aca="1" ref="H30" ca="1">IFERROR(INDEX(Leccion[selectorLeccion],SMALL(IF(H$1=Leccion[SubSección],MATCH(ROW(Leccion[SubSección]),ROW(Leccion[SubSección]))),ROW(G29))),"")</f>
        <v/>
      </c>
      <c r="I30" s="51" t="str">
        <f t="array" aca="1" ref="I30" ca="1">IFERROR(INDEX(Leccion[selectorLeccion],SMALL(IF(I$1=Leccion[SubSección],MATCH(ROW(Leccion[SubSección]),ROW(Leccion[SubSección]))),ROW(H29))),"")</f>
        <v/>
      </c>
      <c r="J30" s="51" t="str">
        <f t="array" aca="1" ref="J30" ca="1">IFERROR(INDEX(Leccion[selectorLeccion],SMALL(IF(J$1=Leccion[SubSección],MATCH(ROW(Leccion[SubSección]),ROW(Leccion[SubSección]))),ROW(I29))),"")</f>
        <v/>
      </c>
      <c r="K30" s="51" t="str">
        <f t="array" aca="1" ref="K30" ca="1">IFERROR(INDEX(Leccion[selectorLeccion],SMALL(IF(K$1=Leccion[SubSección],MATCH(ROW(Leccion[SubSección]),ROW(Leccion[SubSección]))),ROW(J29))),"")</f>
        <v/>
      </c>
      <c r="L30" s="51" t="str">
        <f t="array" aca="1" ref="L30" ca="1">IFERROR(INDEX(Leccion[selectorLeccion],SMALL(IF(L$1=Leccion[SubSección],MATCH(ROW(Leccion[SubSección]),ROW(Leccion[SubSección]))),ROW(K29))),"")</f>
        <v/>
      </c>
      <c r="M30" s="51" t="str">
        <f t="array" aca="1" ref="M30" ca="1">IFERROR(INDEX(Leccion[selectorLeccion],SMALL(IF(M$1=Leccion[SubSección],MATCH(ROW(Leccion[SubSección]),ROW(Leccion[SubSección]))),ROW(L29))),"")</f>
        <v/>
      </c>
      <c r="N30" s="51" t="str">
        <f t="array" aca="1" ref="N30" ca="1">IFERROR(INDEX(Leccion[selectorLeccion],SMALL(IF(N$1=Leccion[SubSección],MATCH(ROW(Leccion[SubSección]),ROW(Leccion[SubSección]))),ROW(M29))),"")</f>
        <v/>
      </c>
      <c r="O30" s="51" t="str">
        <f t="array" aca="1" ref="O30" ca="1">IFERROR(INDEX(Leccion[selectorLeccion],SMALL(IF(O$1=Leccion[SubSección],MATCH(ROW(Leccion[SubSección]),ROW(Leccion[SubSección]))),ROW(N29))),"")</f>
        <v/>
      </c>
      <c r="P30" s="51" t="str">
        <f t="array" aca="1" ref="P30" ca="1">IFERROR(INDEX(Leccion[selectorLeccion],SMALL(IF(P$1=Leccion[SubSección],MATCH(ROW(Leccion[SubSección]),ROW(Leccion[SubSección]))),ROW(O29))),"")</f>
        <v/>
      </c>
      <c r="Q30" s="51" t="str">
        <f t="array" aca="1" ref="Q30" ca="1">IFERROR(INDEX(Leccion[selectorLeccion],SMALL(IF(Q$1=Leccion[SubSección],MATCH(ROW(Leccion[SubSección]),ROW(Leccion[SubSección]))),ROW(P29))),"")</f>
        <v/>
      </c>
      <c r="R30" s="51" t="str">
        <f t="array" aca="1" ref="R30" ca="1">IFERROR(INDEX(Leccion[selectorLeccion],SMALL(IF(R$1=Leccion[SubSección],MATCH(ROW(Leccion[SubSección]),ROW(Leccion[SubSección]))),ROW(Q29))),"")</f>
        <v/>
      </c>
      <c r="S30" s="51" t="str">
        <f t="array" aca="1" ref="S30" ca="1">IFERROR(INDEX(Leccion[selectorLeccion],SMALL(IF(S$1=Leccion[SubSección],MATCH(ROW(Leccion[SubSección]),ROW(Leccion[SubSección]))),ROW(R29))),"")</f>
        <v/>
      </c>
      <c r="T30" s="51" t="str">
        <f t="array" aca="1" ref="T30" ca="1">IFERROR(INDEX(Leccion[selectorLeccion],SMALL(IF(T$1=Leccion[SubSección],MATCH(ROW(Leccion[SubSección]),ROW(Leccion[SubSección]))),ROW(S29))),"")</f>
        <v/>
      </c>
      <c r="U30" s="51" t="str">
        <f t="array" aca="1" ref="U30" ca="1">IFERROR(INDEX(Leccion[selectorLeccion],SMALL(IF(U$1=Leccion[SubSección],MATCH(ROW(Leccion[SubSección]),ROW(Leccion[SubSección]))),ROW(T29))),"")</f>
        <v/>
      </c>
      <c r="V30" s="51" t="str">
        <f t="array" aca="1" ref="V30" ca="1">IFERROR(INDEX(Leccion[selectorLeccion],SMALL(IF(V$1=Leccion[SubSección],MATCH(ROW(Leccion[SubSección]),ROW(Leccion[SubSección]))),ROW(U29))),"")</f>
        <v/>
      </c>
      <c r="W30" s="51" t="str">
        <f t="array" aca="1" ref="W30" ca="1">IFERROR(INDEX(Leccion[selectorLeccion],SMALL(IF(W$1=Leccion[SubSección],MATCH(ROW(Leccion[SubSección]),ROW(Leccion[SubSección]))),ROW(V29))),"")</f>
        <v/>
      </c>
      <c r="X30" s="51" t="str">
        <f t="array" aca="1" ref="X30" ca="1">IFERROR(INDEX(Leccion[selectorLeccion],SMALL(IF(X$1=Leccion[SubSección],MATCH(ROW(Leccion[SubSección]),ROW(Leccion[SubSección]))),ROW(W29))),"")</f>
        <v/>
      </c>
      <c r="Y30" s="51" t="str">
        <f t="array" aca="1" ref="Y30" ca="1">IFERROR(INDEX(Leccion[selectorLeccion],SMALL(IF(Y$1=Leccion[SubSección],MATCH(ROW(Leccion[SubSección]),ROW(Leccion[SubSección]))),ROW(X29))),"")</f>
        <v/>
      </c>
      <c r="Z30" s="51" t="str">
        <f t="array" aca="1" ref="Z30" ca="1">IFERROR(INDEX(Leccion[selectorLeccion],SMALL(IF(Z$1=Leccion[SubSección],MATCH(ROW(Leccion[SubSección]),ROW(Leccion[SubSección]))),ROW(Y29))),"")</f>
        <v/>
      </c>
      <c r="AA30" s="51" t="str">
        <f t="array" aca="1" ref="AA30" ca="1">IFERROR(INDEX(Leccion[selectorLeccion],SMALL(IF(AA$1=Leccion[SubSección],MATCH(ROW(Leccion[SubSección]),ROW(Leccion[SubSección]))),ROW(Z29))),"")</f>
        <v/>
      </c>
      <c r="AB30" s="51" t="str">
        <f t="array" aca="1" ref="AB30" ca="1">IFERROR(INDEX(Leccion[selectorLeccion],SMALL(IF(AB$1=Leccion[SubSección],MATCH(ROW(Leccion[SubSección]),ROW(Leccion[SubSección]))),ROW(AA29))),"")</f>
        <v/>
      </c>
      <c r="AC30" s="51" t="str">
        <f t="array" aca="1" ref="AC30" ca="1">IFERROR(INDEX(Leccion[selectorLeccion],SMALL(IF(AC$1=Leccion[SubSección],MATCH(ROW(Leccion[SubSección]),ROW(Leccion[SubSección]))),ROW(AB29))),"")</f>
        <v/>
      </c>
      <c r="AD30" s="51" t="str">
        <f t="array" aca="1" ref="AD30" ca="1">IFERROR(INDEX(Leccion[selectorLeccion],SMALL(IF(AD$1=Leccion[SubSección],MATCH(ROW(Leccion[SubSección]),ROW(Leccion[SubSección]))),ROW(AC29))),"")</f>
        <v/>
      </c>
      <c r="AE30" s="51" t="str">
        <f t="array" aca="1" ref="AE30" ca="1">IFERROR(INDEX(Leccion[selectorLeccion],SMALL(IF(AE$1=Leccion[SubSección],MATCH(ROW(Leccion[SubSección]),ROW(Leccion[SubSección]))),ROW(AD29))),"")</f>
        <v/>
      </c>
      <c r="AF30" s="51" t="str">
        <f t="array" aca="1" ref="AF30" ca="1">IFERROR(INDEX(Leccion[selectorLeccion],SMALL(IF(AF$1=Leccion[SubSección],MATCH(ROW(Leccion[SubSección]),ROW(Leccion[SubSección]))),ROW(AE29))),"")</f>
        <v/>
      </c>
      <c r="AG30" s="51" t="str">
        <f t="array" aca="1" ref="AG30" ca="1">IFERROR(INDEX(Leccion[selectorLeccion],SMALL(IF(AG$1=Leccion[SubSección],MATCH(ROW(Leccion[SubSección]),ROW(Leccion[SubSección]))),ROW(AF29))),"")</f>
        <v/>
      </c>
      <c r="AH30" s="51" t="str">
        <f t="array" aca="1" ref="AH30" ca="1">IFERROR(INDEX(Leccion[selectorLeccion],SMALL(IF(AH$1=Leccion[SubSección],MATCH(ROW(Leccion[SubSección]),ROW(Leccion[SubSección]))),ROW(AG29))),"")</f>
        <v/>
      </c>
      <c r="AI30" s="51" t="str">
        <f t="array" aca="1" ref="AI30" ca="1">IFERROR(INDEX(Leccion[selectorLeccion],SMALL(IF(AI$1=Leccion[SubSección],MATCH(ROW(Leccion[SubSección]),ROW(Leccion[SubSección]))),ROW(AH29))),"")</f>
        <v/>
      </c>
      <c r="AJ30" s="51" t="str">
        <f t="array" aca="1" ref="AJ30" ca="1">IFERROR(INDEX(Leccion[selectorLeccion],SMALL(IF(AJ$1=Leccion[SubSección],MATCH(ROW(Leccion[SubSección]),ROW(Leccion[SubSección]))),ROW(AI29))),"")</f>
        <v/>
      </c>
      <c r="AK30" s="51" t="str">
        <f t="array" aca="1" ref="AK30" ca="1">IFERROR(INDEX(Leccion[selectorLeccion],SMALL(IF(AK$1=Leccion[SubSección],MATCH(ROW(Leccion[SubSección]),ROW(Leccion[SubSección]))),ROW(AJ29))),"")</f>
        <v/>
      </c>
      <c r="AL30" s="51" t="str">
        <f t="array" aca="1" ref="AL30" ca="1">IFERROR(INDEX(Leccion[selectorLeccion],SMALL(IF(AL$1=Leccion[SubSección],MATCH(ROW(Leccion[SubSección]),ROW(Leccion[SubSección]))),ROW(AK29))),"")</f>
        <v/>
      </c>
      <c r="AM30" s="51" t="str">
        <f t="array" aca="1" ref="AM30" ca="1">IFERROR(INDEX(Leccion[selectorLeccion],SMALL(IF(AM$1=Leccion[SubSección],MATCH(ROW(Leccion[SubSección]),ROW(Leccion[SubSección]))),ROW(AL29))),"")</f>
        <v/>
      </c>
      <c r="AN30" s="51" t="str">
        <f t="array" aca="1" ref="AN30" ca="1">IFERROR(INDEX(Leccion[selectorLeccion],SMALL(IF(AN$1=Leccion[SubSección],MATCH(ROW(Leccion[SubSección]),ROW(Leccion[SubSección]))),ROW(AM29))),"")</f>
        <v/>
      </c>
      <c r="AO30" s="51" t="str">
        <f t="array" aca="1" ref="AO30" ca="1">IFERROR(INDEX(Leccion[selectorLeccion],SMALL(IF(AO$1=Leccion[SubSección],MATCH(ROW(Leccion[SubSección]),ROW(Leccion[SubSección]))),ROW(AN29))),"")</f>
        <v/>
      </c>
      <c r="AP30" s="51" t="str">
        <f t="array" aca="1" ref="AP30" ca="1">IFERROR(INDEX(Leccion[selectorLeccion],SMALL(IF(AP$1=Leccion[SubSección],MATCH(ROW(Leccion[SubSección]),ROW(Leccion[SubSección]))),ROW(AO29))),"")</f>
        <v/>
      </c>
      <c r="AQ30" s="51" t="str">
        <f t="array" aca="1" ref="AQ30" ca="1">IFERROR(INDEX(Leccion[selectorLeccion],SMALL(IF(AQ$1=Leccion[SubSección],MATCH(ROW(Leccion[SubSección]),ROW(Leccion[SubSección]))),ROW(AP29))),"")</f>
        <v/>
      </c>
      <c r="AR30" s="51" t="str">
        <f t="array" aca="1" ref="AR30" ca="1">IFERROR(INDEX(Leccion[selectorLeccion],SMALL(IF(AR$1=Leccion[SubSección],MATCH(ROW(Leccion[SubSección]),ROW(Leccion[SubSección]))),ROW(AQ29))),"")</f>
        <v/>
      </c>
      <c r="AS30" s="51" t="str">
        <f t="array" aca="1" ref="AS30" ca="1">IFERROR(INDEX(Leccion[selectorLeccion],SMALL(IF(AS$1=Leccion[SubSección],MATCH(ROW(Leccion[SubSección]),ROW(Leccion[SubSección]))),ROW(AR29))),"")</f>
        <v/>
      </c>
      <c r="AT30" s="51" t="str">
        <f t="array" aca="1" ref="AT30" ca="1">IFERROR(INDEX(Leccion[selectorLeccion],SMALL(IF(AT$1=Leccion[SubSección],MATCH(ROW(Leccion[SubSección]),ROW(Leccion[SubSección]))),ROW(AS29))),"")</f>
        <v/>
      </c>
      <c r="AU30" s="51" t="str">
        <f t="array" aca="1" ref="AU30" ca="1">IFERROR(INDEX(Leccion[selectorLeccion],SMALL(IF(AU$1=Leccion[SubSección],MATCH(ROW(Leccion[SubSección]),ROW(Leccion[SubSección]))),ROW(AT29))),"")</f>
        <v/>
      </c>
      <c r="AV30" s="51" t="str">
        <f t="array" aca="1" ref="AV30" ca="1">IFERROR(INDEX(Leccion[selectorLeccion],SMALL(IF(AV$1=Leccion[SubSección],MATCH(ROW(Leccion[SubSección]),ROW(Leccion[SubSección]))),ROW(AU29))),"")</f>
        <v/>
      </c>
      <c r="AW30" s="51" t="str">
        <f t="array" aca="1" ref="AW30" ca="1">IFERROR(INDEX(Leccion[selectorLeccion],SMALL(IF(AW$1=Leccion[SubSección],MATCH(ROW(Leccion[SubSección]),ROW(Leccion[SubSección]))),ROW(AV29))),"")</f>
        <v/>
      </c>
      <c r="AX30" s="51" t="str">
        <f t="array" aca="1" ref="AX30" ca="1">IFERROR(INDEX(Leccion[selectorLeccion],SMALL(IF(AX$1=Leccion[SubSección],MATCH(ROW(Leccion[SubSección]),ROW(Leccion[SubSección]))),ROW(AW29))),"")</f>
        <v/>
      </c>
      <c r="AY30" s="51" t="str">
        <f t="array" aca="1" ref="AY30" ca="1">IFERROR(INDEX(Leccion[selectorLeccion],SMALL(IF(AY$1=Leccion[SubSección],MATCH(ROW(Leccion[SubSección]),ROW(Leccion[SubSección]))),ROW(AX29))),"")</f>
        <v/>
      </c>
      <c r="AZ30" s="51" t="str">
        <f t="array" aca="1" ref="AZ30" ca="1">IFERROR(INDEX(Leccion[selectorLeccion],SMALL(IF(AZ$1=Leccion[SubSección],MATCH(ROW(Leccion[SubSección]),ROW(Leccion[SubSección]))),ROW(AY29))),"")</f>
        <v/>
      </c>
      <c r="BA30" s="51" t="str">
        <f t="array" aca="1" ref="BA30" ca="1">IFERROR(INDEX(Leccion[selectorLeccion],SMALL(IF(BA$1=Leccion[SubSección],MATCH(ROW(Leccion[SubSección]),ROW(Leccion[SubSección]))),ROW(AZ29))),"")</f>
        <v/>
      </c>
      <c r="BB30" s="51" t="str">
        <f t="array" aca="1" ref="BB30" ca="1">IFERROR(INDEX(Leccion[selectorLeccion],SMALL(IF(BB$1=Leccion[SubSección],MATCH(ROW(Leccion[SubSección]),ROW(Leccion[SubSección]))),ROW(BA29))),"")</f>
        <v/>
      </c>
      <c r="BC30" s="51" t="str">
        <f t="array" aca="1" ref="BC30" ca="1">IFERROR(INDEX(Leccion[selectorLeccion],SMALL(IF(BC$1=Leccion[SubSección],MATCH(ROW(Leccion[SubSección]),ROW(Leccion[SubSección]))),ROW(BB29))),"")</f>
        <v/>
      </c>
      <c r="BD30" s="51" t="str">
        <f t="array" aca="1" ref="BD30" ca="1">IFERROR(INDEX(Leccion[selectorLeccion],SMALL(IF(BD$1=Leccion[SubSección],MATCH(ROW(Leccion[SubSección]),ROW(Leccion[SubSección]))),ROW(BC29))),"")</f>
        <v/>
      </c>
      <c r="BE30" s="51" t="str">
        <f t="array" aca="1" ref="BE30" ca="1">IFERROR(INDEX(Leccion[selectorLeccion],SMALL(IF(BE$1=Leccion[SubSección],MATCH(ROW(Leccion[SubSección]),ROW(Leccion[SubSección]))),ROW(BD29))),"")</f>
        <v/>
      </c>
      <c r="BF30" s="51" t="str">
        <f t="array" aca="1" ref="BF30" ca="1">IFERROR(INDEX(Leccion[selectorLeccion],SMALL(IF(BF$1=Leccion[SubSección],MATCH(ROW(Leccion[SubSección]),ROW(Leccion[SubSección]))),ROW(BE29))),"")</f>
        <v/>
      </c>
      <c r="BG30" s="51" t="str">
        <f t="array" aca="1" ref="BG30" ca="1">IFERROR(INDEX(Leccion[selectorLeccion],SMALL(IF(BG$1=Leccion[SubSección],MATCH(ROW(Leccion[SubSección]),ROW(Leccion[SubSección]))),ROW(BF29))),"")</f>
        <v/>
      </c>
      <c r="BH30" s="51" t="str">
        <f t="array" aca="1" ref="BH30" ca="1">IFERROR(INDEX(Leccion[selectorLeccion],SMALL(IF(BH$1=Leccion[SubSección],MATCH(ROW(Leccion[SubSección]),ROW(Leccion[SubSección]))),ROW(BG29))),"")</f>
        <v/>
      </c>
      <c r="BI30" s="51" t="str">
        <f t="array" aca="1" ref="BI30" ca="1">IFERROR(INDEX(Leccion[selectorLeccion],SMALL(IF(BI$1=Leccion[SubSección],MATCH(ROW(Leccion[SubSección]),ROW(Leccion[SubSección]))),ROW(BH29))),"")</f>
        <v/>
      </c>
      <c r="BJ30" s="51" t="str">
        <f t="array" aca="1" ref="BJ30" ca="1">IFERROR(INDEX(Leccion[selectorLeccion],SMALL(IF(BJ$1=Leccion[SubSección],MATCH(ROW(Leccion[SubSección]),ROW(Leccion[SubSección]))),ROW(BI29))),"")</f>
        <v/>
      </c>
      <c r="BK30" s="51" t="str">
        <f t="array" aca="1" ref="BK30" ca="1">IFERROR(INDEX(Leccion[selectorLeccion],SMALL(IF(BK$1=Leccion[SubSección],MATCH(ROW(Leccion[SubSección]),ROW(Leccion[SubSección]))),ROW(BJ29))),"")</f>
        <v/>
      </c>
      <c r="BL30" s="51" t="str">
        <f t="array" aca="1" ref="BL30" ca="1">IFERROR(INDEX(Leccion[selectorLeccion],SMALL(IF(BL$1=Leccion[SubSección],MATCH(ROW(Leccion[SubSección]),ROW(Leccion[SubSección]))),ROW(BK29))),"")</f>
        <v/>
      </c>
      <c r="BM30" s="51" t="str">
        <f t="array" aca="1" ref="BM30" ca="1">IFERROR(INDEX(Leccion[selectorLeccion],SMALL(IF(BM$1=Leccion[SubSección],MATCH(ROW(Leccion[SubSección]),ROW(Leccion[SubSección]))),ROW(BL29))),"")</f>
        <v/>
      </c>
      <c r="BN30" s="51" t="str">
        <f t="array" aca="1" ref="BN30" ca="1">IFERROR(INDEX(Leccion[selectorLeccion],SMALL(IF(BN$1=Leccion[SubSección],MATCH(ROW(Leccion[SubSección]),ROW(Leccion[SubSección]))),ROW(BM29))),"")</f>
        <v/>
      </c>
      <c r="BO30" s="51" t="str">
        <f t="array" aca="1" ref="BO30" ca="1">IFERROR(INDEX(Leccion[selectorLeccion],SMALL(IF(BO$1=Leccion[SubSección],MATCH(ROW(Leccion[SubSección]),ROW(Leccion[SubSección]))),ROW(BN29))),"")</f>
        <v/>
      </c>
      <c r="BP30" s="51" t="str">
        <f t="array" aca="1" ref="BP30" ca="1">IFERROR(INDEX(Leccion[selectorLeccion],SMALL(IF(BP$1=Leccion[SubSección],MATCH(ROW(Leccion[SubSección]),ROW(Leccion[SubSección]))),ROW(BO29))),"")</f>
        <v/>
      </c>
      <c r="BQ30" s="51" t="str">
        <f t="array" aca="1" ref="BQ30" ca="1">IFERROR(INDEX(Leccion[selectorLeccion],SMALL(IF(BQ$1=Leccion[SubSección],MATCH(ROW(Leccion[SubSección]),ROW(Leccion[SubSección]))),ROW(BP29))),"")</f>
        <v/>
      </c>
      <c r="BR30" s="51" t="str">
        <f t="array" aca="1" ref="BR30" ca="1">IFERROR(INDEX(Leccion[selectorLeccion],SMALL(IF(BR$1=Leccion[SubSección],MATCH(ROW(Leccion[SubSección]),ROW(Leccion[SubSección]))),ROW(BQ29))),"")</f>
        <v/>
      </c>
      <c r="BS30" s="51" t="str">
        <f t="array" aca="1" ref="BS30" ca="1">IFERROR(INDEX(Leccion[selectorLeccion],SMALL(IF(BS$1=Leccion[SubSección],MATCH(ROW(Leccion[SubSección]),ROW(Leccion[SubSección]))),ROW(BR29))),"")</f>
        <v/>
      </c>
      <c r="BT30" s="51" t="str">
        <f t="array" aca="1" ref="BT30" ca="1">IFERROR(INDEX(Leccion[selectorLeccion],SMALL(IF(BT$1=Leccion[SubSección],MATCH(ROW(Leccion[SubSección]),ROW(Leccion[SubSección]))),ROW(BS29))),"")</f>
        <v/>
      </c>
      <c r="BU30" s="51" t="str">
        <f t="array" aca="1" ref="BU30" ca="1">IFERROR(INDEX(Leccion[selectorLeccion],SMALL(IF(BU$1=Leccion[SubSección],MATCH(ROW(Leccion[SubSección]),ROW(Leccion[SubSección]))),ROW(BT29))),"")</f>
        <v/>
      </c>
      <c r="BV30" s="51" t="str">
        <f t="array" aca="1" ref="BV30" ca="1">IFERROR(INDEX(Leccion[selectorLeccion],SMALL(IF(BV$1=Leccion[SubSección],MATCH(ROW(Leccion[SubSección]),ROW(Leccion[SubSección]))),ROW(BU29))),"")</f>
        <v/>
      </c>
      <c r="BW30" s="51" t="str">
        <f t="array" aca="1" ref="BW30" ca="1">IFERROR(INDEX(Leccion[selectorLeccion],SMALL(IF(BW$1=Leccion[SubSección],MATCH(ROW(Leccion[SubSección]),ROW(Leccion[SubSección]))),ROW(BV29))),"")</f>
        <v/>
      </c>
      <c r="BX30" s="51" t="str">
        <f t="array" aca="1" ref="BX30" ca="1">IFERROR(INDEX(Leccion[selectorLeccion],SMALL(IF(BX$1=Leccion[SubSección],MATCH(ROW(Leccion[SubSección]),ROW(Leccion[SubSección]))),ROW(BW29))),"")</f>
        <v/>
      </c>
      <c r="BY30" s="51" t="str">
        <f t="array" aca="1" ref="BY30" ca="1">IFERROR(INDEX(Leccion[selectorLeccion],SMALL(IF(BY$1=Leccion[SubSección],MATCH(ROW(Leccion[SubSección]),ROW(Leccion[SubSección]))),ROW(BX29))),"")</f>
        <v/>
      </c>
      <c r="BZ30" s="51" t="str">
        <f t="array" aca="1" ref="BZ30" ca="1">IFERROR(INDEX(Leccion[selectorLeccion],SMALL(IF(BZ$1=Leccion[SubSección],MATCH(ROW(Leccion[SubSección]),ROW(Leccion[SubSección]))),ROW(BY29))),"")</f>
        <v/>
      </c>
      <c r="CA30" s="51" t="str">
        <f t="array" aca="1" ref="CA30" ca="1">IFERROR(INDEX(Leccion[selectorLeccion],SMALL(IF(CA$1=Leccion[SubSección],MATCH(ROW(Leccion[SubSección]),ROW(Leccion[SubSección]))),ROW(BZ29))),"")</f>
        <v/>
      </c>
      <c r="CB30" s="51" t="str">
        <f t="array" aca="1" ref="CB30" ca="1">IFERROR(INDEX(Leccion[selectorLeccion],SMALL(IF(CB$1=Leccion[SubSección],MATCH(ROW(Leccion[SubSección]),ROW(Leccion[SubSección]))),ROW(CA29))),"")</f>
        <v/>
      </c>
      <c r="CC30" s="51" t="str">
        <f t="array" aca="1" ref="CC30" ca="1">IFERROR(INDEX(Leccion[selectorLeccion],SMALL(IF(CC$1=Leccion[SubSección],MATCH(ROW(Leccion[SubSección]),ROW(Leccion[SubSección]))),ROW(CB29))),"")</f>
        <v/>
      </c>
      <c r="CD30" s="51" t="str">
        <f t="array" aca="1" ref="CD30" ca="1">IFERROR(INDEX(Leccion[selectorLeccion],SMALL(IF(CD$1=Leccion[SubSección],MATCH(ROW(Leccion[SubSección]),ROW(Leccion[SubSección]))),ROW(CC29))),"")</f>
        <v/>
      </c>
      <c r="CE30" s="51" t="str">
        <f t="array" aca="1" ref="CE30" ca="1">IFERROR(INDEX(Leccion[selectorLeccion],SMALL(IF(CE$1=Leccion[SubSección],MATCH(ROW(Leccion[SubSección]),ROW(Leccion[SubSección]))),ROW(CD29))),"")</f>
        <v/>
      </c>
      <c r="CF30" s="51" t="str">
        <f t="array" aca="1" ref="CF30" ca="1">IFERROR(INDEX(Leccion[selectorLeccion],SMALL(IF(CF$1=Leccion[SubSección],MATCH(ROW(Leccion[SubSección]),ROW(Leccion[SubSección]))),ROW(CE29))),"")</f>
        <v/>
      </c>
      <c r="CG30" s="51" t="str">
        <f t="array" aca="1" ref="CG30" ca="1">IFERROR(INDEX(Leccion[selectorLeccion],SMALL(IF(CG$1=Leccion[SubSección],MATCH(ROW(Leccion[SubSección]),ROW(Leccion[SubSección]))),ROW(CF29))),"")</f>
        <v/>
      </c>
      <c r="CH30" s="51" t="str">
        <f t="array" aca="1" ref="CH30" ca="1">IFERROR(INDEX(Leccion[selectorLeccion],SMALL(IF(CH$1=Leccion[SubSección],MATCH(ROW(Leccion[SubSección]),ROW(Leccion[SubSección]))),ROW(CG29))),"")</f>
        <v/>
      </c>
      <c r="CI30" s="51" t="str">
        <f t="array" aca="1" ref="CI30" ca="1">IFERROR(INDEX(Leccion[selectorLeccion],SMALL(IF(CI$1=Leccion[SubSección],MATCH(ROW(Leccion[SubSección]),ROW(Leccion[SubSección]))),ROW(CH29))),"")</f>
        <v/>
      </c>
      <c r="CJ30" s="51" t="str">
        <f t="array" aca="1" ref="CJ30" ca="1">IFERROR(INDEX(Leccion[selectorLeccion],SMALL(IF(CJ$1=Leccion[SubSección],MATCH(ROW(Leccion[SubSección]),ROW(Leccion[SubSección]))),ROW(CI29))),"")</f>
        <v/>
      </c>
      <c r="CK30" s="51" t="str">
        <f t="array" aca="1" ref="CK30" ca="1">IFERROR(INDEX(Leccion[selectorLeccion],SMALL(IF(CK$1=Leccion[SubSección],MATCH(ROW(Leccion[SubSección]),ROW(Leccion[SubSección]))),ROW(CJ29))),"")</f>
        <v/>
      </c>
      <c r="CL30" s="51" t="str">
        <f t="array" aca="1" ref="CL30" ca="1">IFERROR(INDEX(Leccion[selectorLeccion],SMALL(IF(CL$1=Leccion[SubSección],MATCH(ROW(Leccion[SubSección]),ROW(Leccion[SubSección]))),ROW(CK29))),"")</f>
        <v/>
      </c>
      <c r="CM30" s="51" t="str">
        <f t="array" aca="1" ref="CM30" ca="1">IFERROR(INDEX(Leccion[selectorLeccion],SMALL(IF(CM$1=Leccion[SubSección],MATCH(ROW(Leccion[SubSección]),ROW(Leccion[SubSección]))),ROW(CL29))),"")</f>
        <v/>
      </c>
      <c r="CN30" s="51" t="str">
        <f t="array" aca="1" ref="CN30" ca="1">IFERROR(INDEX(Leccion[selectorLeccion],SMALL(IF(CN$1=Leccion[SubSección],MATCH(ROW(Leccion[SubSección]),ROW(Leccion[SubSección]))),ROW(CM29))),"")</f>
        <v/>
      </c>
      <c r="CO30" s="51" t="str">
        <f t="array" aca="1" ref="CO30" ca="1">IFERROR(INDEX(Leccion[selectorLeccion],SMALL(IF(CO$1=Leccion[SubSección],MATCH(ROW(Leccion[SubSección]),ROW(Leccion[SubSección]))),ROW(CN29))),"")</f>
        <v/>
      </c>
      <c r="CP30" s="51" t="str">
        <f t="array" aca="1" ref="CP30" ca="1">IFERROR(INDEX(Leccion[selectorLeccion],SMALL(IF(CP$1=Leccion[SubSección],MATCH(ROW(Leccion[SubSección]),ROW(Leccion[SubSección]))),ROW(CO29))),"")</f>
        <v/>
      </c>
      <c r="CQ30" s="51" t="str">
        <f t="array" aca="1" ref="CQ30" ca="1">IFERROR(INDEX(Leccion[selectorLeccion],SMALL(IF(CQ$1=Leccion[SubSección],MATCH(ROW(Leccion[SubSección]),ROW(Leccion[SubSección]))),ROW(CP29))),"")</f>
        <v/>
      </c>
      <c r="CR30" s="51" t="str">
        <f t="array" aca="1" ref="CR30" ca="1">IFERROR(INDEX(Leccion[selectorLeccion],SMALL(IF(CR$1=Leccion[SubSección],MATCH(ROW(Leccion[SubSección]),ROW(Leccion[SubSección]))),ROW(CQ29))),"")</f>
        <v/>
      </c>
      <c r="CS30" s="51" t="str">
        <f t="array" aca="1" ref="CS30" ca="1">IFERROR(INDEX(Leccion[selectorLeccion],SMALL(IF(CS$1=Leccion[SubSección],MATCH(ROW(Leccion[SubSección]),ROW(Leccion[SubSección]))),ROW(CR29))),"")</f>
        <v/>
      </c>
      <c r="CT30" s="51" t="str">
        <f t="array" aca="1" ref="CT30" ca="1">IFERROR(INDEX(Leccion[selectorLeccion],SMALL(IF(CT$1=Leccion[SubSección],MATCH(ROW(Leccion[SubSección]),ROW(Leccion[SubSección]))),ROW(CS29))),"")</f>
        <v/>
      </c>
      <c r="CU30" s="51" t="str">
        <f t="array" aca="1" ref="CU30" ca="1">IFERROR(INDEX(Leccion[selectorLeccion],SMALL(IF(CU$1=Leccion[SubSección],MATCH(ROW(Leccion[SubSección]),ROW(Leccion[SubSección]))),ROW(CT29))),"")</f>
        <v/>
      </c>
      <c r="CV30" s="51" t="str">
        <f t="array" aca="1" ref="CV30" ca="1">IFERROR(INDEX(Leccion[selectorLeccion],SMALL(IF(CV$1=Leccion[SubSección],MATCH(ROW(Leccion[SubSección]),ROW(Leccion[SubSección]))),ROW(CU29))),"")</f>
        <v/>
      </c>
      <c r="CW30" s="51" t="str">
        <f t="array" aca="1" ref="CW30" ca="1">IFERROR(INDEX(Leccion[selectorLeccion],SMALL(IF(CW$1=Leccion[SubSección],MATCH(ROW(Leccion[SubSección]),ROW(Leccion[SubSección]))),ROW(CV29))),"")</f>
        <v/>
      </c>
      <c r="CX30" s="51" t="str">
        <f t="array" aca="1" ref="CX30" ca="1">IFERROR(INDEX(Leccion[selectorLeccion],SMALL(IF(CX$1=Leccion[SubSección],MATCH(ROW(Leccion[SubSección]),ROW(Leccion[SubSección]))),ROW(CW29))),"")</f>
        <v/>
      </c>
      <c r="CY30" s="51" t="str">
        <f t="array" aca="1" ref="CY30" ca="1">IFERROR(INDEX(Leccion[selectorLeccion],SMALL(IF(CY$1=Leccion[SubSección],MATCH(ROW(Leccion[SubSección]),ROW(Leccion[SubSección]))),ROW(CX29))),"")</f>
        <v/>
      </c>
      <c r="CZ30" s="51" t="str">
        <f t="array" aca="1" ref="CZ30" ca="1">IFERROR(INDEX(Leccion[selectorLeccion],SMALL(IF(CZ$1=Leccion[SubSección],MATCH(ROW(Leccion[SubSección]),ROW(Leccion[SubSección]))),ROW(CY29))),"")</f>
        <v/>
      </c>
      <c r="DA30" s="51" t="str">
        <f t="array" aca="1" ref="DA30" ca="1">IFERROR(INDEX(Leccion[selectorLeccion],SMALL(IF(DA$1=Leccion[SubSección],MATCH(ROW(Leccion[SubSección]),ROW(Leccion[SubSección]))),ROW(CZ29))),"")</f>
        <v/>
      </c>
      <c r="DB30" s="51" t="str">
        <f t="array" aca="1" ref="DB30" ca="1">IFERROR(INDEX(Leccion[selectorLeccion],SMALL(IF(DB$1=Leccion[SubSección],MATCH(ROW(Leccion[SubSección]),ROW(Leccion[SubSección]))),ROW(DA29))),"")</f>
        <v/>
      </c>
      <c r="DC30" s="51" t="str">
        <f t="array" aca="1" ref="DC30" ca="1">IFERROR(INDEX(Leccion[selectorLeccion],SMALL(IF(DC$1=Leccion[SubSección],MATCH(ROW(Leccion[SubSección]),ROW(Leccion[SubSección]))),ROW(DB29))),"")</f>
        <v/>
      </c>
      <c r="DD30" s="51" t="str">
        <f t="array" aca="1" ref="DD30" ca="1">IFERROR(INDEX(Leccion[selectorLeccion],SMALL(IF(DD$1=Leccion[SubSección],MATCH(ROW(Leccion[SubSección]),ROW(Leccion[SubSección]))),ROW(DC29))),"")</f>
        <v/>
      </c>
      <c r="DE30" s="51" t="str">
        <f t="array" aca="1" ref="DE30" ca="1">IFERROR(INDEX(Leccion[selectorLeccion],SMALL(IF(DE$1=Leccion[SubSección],MATCH(ROW(Leccion[SubSección]),ROW(Leccion[SubSección]))),ROW(DD29))),"")</f>
        <v/>
      </c>
      <c r="DF30" s="51" t="str">
        <f t="array" aca="1" ref="DF30" ca="1">IFERROR(INDEX(Leccion[selectorLeccion],SMALL(IF(DF$1=Leccion[SubSección],MATCH(ROW(Leccion[SubSección]),ROW(Leccion[SubSección]))),ROW(DE29))),"")</f>
        <v/>
      </c>
      <c r="DG30" s="51" t="str">
        <f t="array" aca="1" ref="DG30" ca="1">IFERROR(INDEX(Leccion[selectorLeccion],SMALL(IF(DG$1=Leccion[SubSección],MATCH(ROW(Leccion[SubSección]),ROW(Leccion[SubSección]))),ROW(DF29))),"")</f>
        <v/>
      </c>
      <c r="DH30" s="51" t="str">
        <f t="array" aca="1" ref="DH30" ca="1">IFERROR(INDEX(Leccion[selectorLeccion],SMALL(IF(DH$1=Leccion[SubSección],MATCH(ROW(Leccion[SubSección]),ROW(Leccion[SubSección]))),ROW(DG29))),"")</f>
        <v/>
      </c>
      <c r="DI30" s="51" t="str">
        <f t="array" aca="1" ref="DI30" ca="1">IFERROR(INDEX(Leccion[selectorLeccion],SMALL(IF(DI$1=Leccion[SubSección],MATCH(ROW(Leccion[SubSección]),ROW(Leccion[SubSección]))),ROW(DH29))),"")</f>
        <v/>
      </c>
      <c r="DJ30" s="51" t="str">
        <f t="array" aca="1" ref="DJ30" ca="1">IFERROR(INDEX(Leccion[selectorLeccion],SMALL(IF(DJ$1=Leccion[SubSección],MATCH(ROW(Leccion[SubSección]),ROW(Leccion[SubSección]))),ROW(DI29))),"")</f>
        <v/>
      </c>
      <c r="DK30" s="51" t="str">
        <f t="array" aca="1" ref="DK30" ca="1">IFERROR(INDEX(Leccion[selectorLeccion],SMALL(IF(DK$1=Leccion[SubSección],MATCH(ROW(Leccion[SubSección]),ROW(Leccion[SubSección]))),ROW(DJ29))),"")</f>
        <v/>
      </c>
      <c r="DL30" s="51" t="str">
        <f t="array" aca="1" ref="DL30" ca="1">IFERROR(INDEX(Leccion[selectorLeccion],SMALL(IF(DL$1=Leccion[SubSección],MATCH(ROW(Leccion[SubSección]),ROW(Leccion[SubSección]))),ROW(DK29))),"")</f>
        <v/>
      </c>
      <c r="DM30" s="51" t="str">
        <f t="array" aca="1" ref="DM30" ca="1">IFERROR(INDEX(Leccion[selectorLeccion],SMALL(IF(DM$1=Leccion[SubSección],MATCH(ROW(Leccion[SubSección]),ROW(Leccion[SubSección]))),ROW(DL29))),"")</f>
        <v/>
      </c>
      <c r="DN30" s="51" t="str">
        <f t="array" aca="1" ref="DN30" ca="1">IFERROR(INDEX(Leccion[selectorLeccion],SMALL(IF(DN$1=Leccion[SubSección],MATCH(ROW(Leccion[SubSección]),ROW(Leccion[SubSección]))),ROW(DM29))),"")</f>
        <v/>
      </c>
      <c r="DO30" s="51" t="str">
        <f t="array" aca="1" ref="DO30" ca="1">IFERROR(INDEX(Leccion[selectorLeccion],SMALL(IF(DO$1=Leccion[SubSección],MATCH(ROW(Leccion[SubSección]),ROW(Leccion[SubSección]))),ROW(DN29))),"")</f>
        <v/>
      </c>
      <c r="DP30" s="51" t="str">
        <f t="array" aca="1" ref="DP30" ca="1">IFERROR(INDEX(Leccion[selectorLeccion],SMALL(IF(DP$1=Leccion[SubSección],MATCH(ROW(Leccion[SubSección]),ROW(Leccion[SubSección]))),ROW(DO29))),"")</f>
        <v/>
      </c>
      <c r="DQ30" s="51" t="str">
        <f t="array" aca="1" ref="DQ30" ca="1">IFERROR(INDEX(Leccion[selectorLeccion],SMALL(IF(DQ$1=Leccion[SubSección],MATCH(ROW(Leccion[SubSección]),ROW(Leccion[SubSección]))),ROW(DP29))),"")</f>
        <v/>
      </c>
      <c r="DR30" s="51" t="str">
        <f t="array" aca="1" ref="DR30" ca="1">IFERROR(INDEX(Leccion[selectorLeccion],SMALL(IF(DR$1=Leccion[SubSección],MATCH(ROW(Leccion[SubSección]),ROW(Leccion[SubSección]))),ROW(DQ29))),"")</f>
        <v/>
      </c>
      <c r="DS30" s="51" t="str">
        <f t="array" aca="1" ref="DS30" ca="1">IFERROR(INDEX(Leccion[selectorLeccion],SMALL(IF(DS$1=Leccion[SubSección],MATCH(ROW(Leccion[SubSección]),ROW(Leccion[SubSección]))),ROW(DR29))),"")</f>
        <v/>
      </c>
      <c r="DT30" s="51" t="str">
        <f t="array" aca="1" ref="DT30" ca="1">IFERROR(INDEX(Leccion[selectorLeccion],SMALL(IF(DT$1=Leccion[SubSección],MATCH(ROW(Leccion[SubSección]),ROW(Leccion[SubSección]))),ROW(DS29))),"")</f>
        <v/>
      </c>
      <c r="DU30" s="51" t="str">
        <f t="array" aca="1" ref="DU30" ca="1">IFERROR(INDEX(Leccion[selectorLeccion],SMALL(IF(DU$1=Leccion[SubSección],MATCH(ROW(Leccion[SubSección]),ROW(Leccion[SubSección]))),ROW(DT29))),"")</f>
        <v/>
      </c>
      <c r="DV30" s="51" t="str">
        <f t="array" aca="1" ref="DV30" ca="1">IFERROR(INDEX(Leccion[selectorLeccion],SMALL(IF(DV$1=Leccion[SubSección],MATCH(ROW(Leccion[SubSección]),ROW(Leccion[SubSección]))),ROW(DU29))),"")</f>
        <v/>
      </c>
      <c r="DW30" s="51" t="str">
        <f t="array" aca="1" ref="DW30" ca="1">IFERROR(INDEX(Leccion[selectorLeccion],SMALL(IF(DW$1=Leccion[SubSección],MATCH(ROW(Leccion[SubSección]),ROW(Leccion[SubSección]))),ROW(DV29))),"")</f>
        <v/>
      </c>
      <c r="DX30" s="51" t="str">
        <f t="array" aca="1" ref="DX30" ca="1">IFERROR(INDEX(Leccion[selectorLeccion],SMALL(IF(DX$1=Leccion[SubSección],MATCH(ROW(Leccion[SubSección]),ROW(Leccion[SubSección]))),ROW(DW29))),"")</f>
        <v/>
      </c>
      <c r="DY30" s="51" t="str">
        <f t="array" aca="1" ref="DY30" ca="1">IFERROR(INDEX(Leccion[selectorLeccion],SMALL(IF(DY$1=Leccion[SubSección],MATCH(ROW(Leccion[SubSección]),ROW(Leccion[SubSección]))),ROW(DX29))),"")</f>
        <v/>
      </c>
      <c r="DZ30" s="51" t="str">
        <f t="array" aca="1" ref="DZ30" ca="1">IFERROR(INDEX(Leccion[selectorLeccion],SMALL(IF(DZ$1=Leccion[SubSección],MATCH(ROW(Leccion[SubSección]),ROW(Leccion[SubSección]))),ROW(DY29))),"")</f>
        <v/>
      </c>
      <c r="EA30" s="51" t="str">
        <f t="array" aca="1" ref="EA30" ca="1">IFERROR(INDEX(Leccion[selectorLeccion],SMALL(IF(EA$1=Leccion[SubSección],MATCH(ROW(Leccion[SubSección]),ROW(Leccion[SubSección]))),ROW(DZ29))),"")</f>
        <v/>
      </c>
      <c r="EB30" s="51" t="str">
        <f t="array" aca="1" ref="EB30" ca="1">IFERROR(INDEX(Leccion[selectorLeccion],SMALL(IF(EB$1=Leccion[SubSección],MATCH(ROW(Leccion[SubSección]),ROW(Leccion[SubSección]))),ROW(EA29))),"")</f>
        <v/>
      </c>
      <c r="EC30" s="51" t="str">
        <f t="array" aca="1" ref="EC30" ca="1">IFERROR(INDEX(Leccion[selectorLeccion],SMALL(IF(EC$1=Leccion[SubSección],MATCH(ROW(Leccion[SubSección]),ROW(Leccion[SubSección]))),ROW(EB29))),"")</f>
        <v/>
      </c>
      <c r="ED30" s="51" t="str">
        <f t="array" aca="1" ref="ED30" ca="1">IFERROR(INDEX(Leccion[selectorLeccion],SMALL(IF(ED$1=Leccion[SubSección],MATCH(ROW(Leccion[SubSección]),ROW(Leccion[SubSección]))),ROW(EC29))),"")</f>
        <v/>
      </c>
      <c r="EE30" s="51" t="str">
        <f t="array" aca="1" ref="EE30" ca="1">IFERROR(INDEX(Leccion[selectorLeccion],SMALL(IF(EE$1=Leccion[SubSección],MATCH(ROW(Leccion[SubSección]),ROW(Leccion[SubSección]))),ROW(ED29))),"")</f>
        <v/>
      </c>
      <c r="EF30" s="51" t="str">
        <f t="array" aca="1" ref="EF30" ca="1">IFERROR(INDEX(Leccion[selectorLeccion],SMALL(IF(EF$1=Leccion[SubSección],MATCH(ROW(Leccion[SubSección]),ROW(Leccion[SubSección]))),ROW(EE29))),"")</f>
        <v/>
      </c>
      <c r="EG30" s="51" t="str">
        <f t="array" aca="1" ref="EG30" ca="1">IFERROR(INDEX(Leccion[selectorLeccion],SMALL(IF(EG$1=Leccion[SubSección],MATCH(ROW(Leccion[SubSección]),ROW(Leccion[SubSección]))),ROW(EF29))),"")</f>
        <v/>
      </c>
      <c r="EH30" s="51" t="str">
        <f t="array" aca="1" ref="EH30" ca="1">IFERROR(INDEX(Leccion[selectorLeccion],SMALL(IF(EH$1=Leccion[SubSección],MATCH(ROW(Leccion[SubSección]),ROW(Leccion[SubSección]))),ROW(EG29))),"")</f>
        <v/>
      </c>
      <c r="EI30" s="51" t="str">
        <f t="array" aca="1" ref="EI30" ca="1">IFERROR(INDEX(Leccion[selectorLeccion],SMALL(IF(EI$1=Leccion[SubSección],MATCH(ROW(Leccion[SubSección]),ROW(Leccion[SubSección]))),ROW(EH29))),"")</f>
        <v/>
      </c>
      <c r="EJ30" s="51" t="str">
        <f t="array" aca="1" ref="EJ30" ca="1">IFERROR(INDEX(Leccion[selectorLeccion],SMALL(IF(EJ$1=Leccion[SubSección],MATCH(ROW(Leccion[SubSección]),ROW(Leccion[SubSección]))),ROW(EI29))),"")</f>
        <v/>
      </c>
      <c r="EK30" s="51" t="str">
        <f t="array" aca="1" ref="EK30" ca="1">IFERROR(INDEX(Leccion[selectorLeccion],SMALL(IF(EK$1=Leccion[SubSección],MATCH(ROW(Leccion[SubSección]),ROW(Leccion[SubSección]))),ROW(EJ29))),"")</f>
        <v/>
      </c>
      <c r="EL30" s="51" t="str">
        <f t="array" aca="1" ref="EL30" ca="1">IFERROR(INDEX(Leccion[selectorLeccion],SMALL(IF(EL$1=Leccion[SubSección],MATCH(ROW(Leccion[SubSección]),ROW(Leccion[SubSección]))),ROW(EK29))),"")</f>
        <v/>
      </c>
      <c r="EM30" s="51" t="str">
        <f t="array" aca="1" ref="EM30" ca="1">IFERROR(INDEX(Leccion[selectorLeccion],SMALL(IF(EM$1=Leccion[SubSección],MATCH(ROW(Leccion[SubSección]),ROW(Leccion[SubSección]))),ROW(EL29))),"")</f>
        <v/>
      </c>
      <c r="EN30" s="51" t="str">
        <f t="array" aca="1" ref="EN30" ca="1">IFERROR(INDEX(Leccion[selectorLeccion],SMALL(IF(EN$1=Leccion[SubSección],MATCH(ROW(Leccion[SubSección]),ROW(Leccion[SubSección]))),ROW(EM29))),"")</f>
        <v/>
      </c>
      <c r="EO30" s="51" t="str">
        <f t="array" aca="1" ref="EO30" ca="1">IFERROR(INDEX(Leccion[selectorLeccion],SMALL(IF(EO$1=Leccion[SubSección],MATCH(ROW(Leccion[SubSección]),ROW(Leccion[SubSección]))),ROW(EN29))),"")</f>
        <v/>
      </c>
      <c r="EP30" s="51" t="str">
        <f t="array" aca="1" ref="EP30" ca="1">IFERROR(INDEX(Leccion[selectorLeccion],SMALL(IF(EP$1=Leccion[SubSección],MATCH(ROW(Leccion[SubSección]),ROW(Leccion[SubSección]))),ROW(EO29))),"")</f>
        <v/>
      </c>
      <c r="EQ30" s="51" t="str">
        <f t="array" aca="1" ref="EQ30" ca="1">IFERROR(INDEX(Leccion[selectorLeccion],SMALL(IF(EQ$1=Leccion[SubSección],MATCH(ROW(Leccion[SubSección]),ROW(Leccion[SubSección]))),ROW(EP29))),"")</f>
        <v/>
      </c>
      <c r="ER30" s="51" t="str">
        <f t="array" aca="1" ref="ER30" ca="1">IFERROR(INDEX(Leccion[selectorLeccion],SMALL(IF(ER$1=Leccion[SubSección],MATCH(ROW(Leccion[SubSección]),ROW(Leccion[SubSección]))),ROW(EQ29))),"")</f>
        <v/>
      </c>
      <c r="ES30" s="51" t="str">
        <f t="array" aca="1" ref="ES30" ca="1">IFERROR(INDEX(Leccion[selectorLeccion],SMALL(IF(ES$1=Leccion[SubSección],MATCH(ROW(Leccion[SubSección]),ROW(Leccion[SubSección]))),ROW(ER29))),"")</f>
        <v/>
      </c>
      <c r="ET30" s="51" t="str">
        <f t="array" aca="1" ref="ET30" ca="1">IFERROR(INDEX(Leccion[selectorLeccion],SMALL(IF(ET$1=Leccion[SubSección],MATCH(ROW(Leccion[SubSección]),ROW(Leccion[SubSección]))),ROW(ES29))),"")</f>
        <v/>
      </c>
      <c r="EU30" s="51" t="str">
        <f t="array" aca="1" ref="EU30" ca="1">IFERROR(INDEX(Leccion[selectorLeccion],SMALL(IF(EU$1=Leccion[SubSección],MATCH(ROW(Leccion[SubSección]),ROW(Leccion[SubSección]))),ROW(ET29))),"")</f>
        <v/>
      </c>
      <c r="EV30" s="51" t="str">
        <f t="array" aca="1" ref="EV30" ca="1">IFERROR(INDEX(Leccion[selectorLeccion],SMALL(IF(EV$1=Leccion[SubSección],MATCH(ROW(Leccion[SubSección]),ROW(Leccion[SubSección]))),ROW(EU29))),"")</f>
        <v/>
      </c>
      <c r="EW30" s="51" t="str">
        <f t="array" aca="1" ref="EW30" ca="1">IFERROR(INDEX(Leccion[selectorLeccion],SMALL(IF(EW$1=Leccion[SubSección],MATCH(ROW(Leccion[SubSección]),ROW(Leccion[SubSección]))),ROW(EV29))),"")</f>
        <v/>
      </c>
      <c r="EX30" s="51" t="str">
        <f t="array" aca="1" ref="EX30" ca="1">IFERROR(INDEX(Leccion[selectorLeccion],SMALL(IF(EX$1=Leccion[SubSección],MATCH(ROW(Leccion[SubSección]),ROW(Leccion[SubSección]))),ROW(EW29))),"")</f>
        <v/>
      </c>
      <c r="EY30" s="51" t="str">
        <f t="array" aca="1" ref="EY30" ca="1">IFERROR(INDEX(Leccion[selectorLeccion],SMALL(IF(EY$1=Leccion[SubSección],MATCH(ROW(Leccion[SubSección]),ROW(Leccion[SubSección]))),ROW(EX29))),"")</f>
        <v/>
      </c>
      <c r="EZ30" s="51" t="str">
        <f t="array" aca="1" ref="EZ30" ca="1">IFERROR(INDEX(Leccion[selectorLeccion],SMALL(IF(EZ$1=Leccion[SubSección],MATCH(ROW(Leccion[SubSección]),ROW(Leccion[SubSección]))),ROW(EY29))),"")</f>
        <v/>
      </c>
    </row>
    <row r="31" spans="2:156" x14ac:dyDescent="0.3">
      <c r="B31" s="51" t="str">
        <f t="array" aca="1" ref="B31" ca="1">IFERROR(INDEX(Leccion[selectorLeccion],SMALL(IF(B$1=Leccion[SubSección],MATCH(ROW(Leccion[SubSección]),ROW(Leccion[SubSección]))),ROW(A30))),"")</f>
        <v/>
      </c>
      <c r="C31" s="51" t="str">
        <f t="array" aca="1" ref="C31" ca="1">IFERROR(INDEX(Leccion[selectorLeccion],SMALL(IF(C$1=Leccion[SubSección],MATCH(ROW(Leccion[SubSección]),ROW(Leccion[SubSección]))),ROW(B30))),"")</f>
        <v/>
      </c>
      <c r="D31" s="51" t="str">
        <f t="array" aca="1" ref="D31" ca="1">IFERROR(INDEX(Leccion[selectorLeccion],SMALL(IF(D$1=Leccion[SubSección],MATCH(ROW(Leccion[SubSección]),ROW(Leccion[SubSección]))),ROW(C30))),"")</f>
        <v/>
      </c>
      <c r="E31" s="51" t="str">
        <f t="array" aca="1" ref="E31" ca="1">IFERROR(INDEX(Leccion[selectorLeccion],SMALL(IF(E$1=Leccion[SubSección],MATCH(ROW(Leccion[SubSección]),ROW(Leccion[SubSección]))),ROW(D30))),"")</f>
        <v/>
      </c>
      <c r="F31" s="51" t="str">
        <f t="array" aca="1" ref="F31" ca="1">IFERROR(INDEX(Leccion[selectorLeccion],SMALL(IF(F$1=Leccion[SubSección],MATCH(ROW(Leccion[SubSección]),ROW(Leccion[SubSección]))),ROW(E30))),"")</f>
        <v/>
      </c>
      <c r="G31" s="51" t="str">
        <f t="array" aca="1" ref="G31" ca="1">IFERROR(INDEX(Leccion[selectorLeccion],SMALL(IF(G$1=Leccion[SubSección],MATCH(ROW(Leccion[SubSección]),ROW(Leccion[SubSección]))),ROW(F30))),"")</f>
        <v/>
      </c>
      <c r="H31" s="51" t="str">
        <f t="array" aca="1" ref="H31" ca="1">IFERROR(INDEX(Leccion[selectorLeccion],SMALL(IF(H$1=Leccion[SubSección],MATCH(ROW(Leccion[SubSección]),ROW(Leccion[SubSección]))),ROW(G30))),"")</f>
        <v/>
      </c>
      <c r="I31" s="51" t="str">
        <f t="array" aca="1" ref="I31" ca="1">IFERROR(INDEX(Leccion[selectorLeccion],SMALL(IF(I$1=Leccion[SubSección],MATCH(ROW(Leccion[SubSección]),ROW(Leccion[SubSección]))),ROW(H30))),"")</f>
        <v/>
      </c>
      <c r="J31" s="51" t="str">
        <f t="array" aca="1" ref="J31" ca="1">IFERROR(INDEX(Leccion[selectorLeccion],SMALL(IF(J$1=Leccion[SubSección],MATCH(ROW(Leccion[SubSección]),ROW(Leccion[SubSección]))),ROW(I30))),"")</f>
        <v/>
      </c>
      <c r="K31" s="51" t="str">
        <f t="array" aca="1" ref="K31" ca="1">IFERROR(INDEX(Leccion[selectorLeccion],SMALL(IF(K$1=Leccion[SubSección],MATCH(ROW(Leccion[SubSección]),ROW(Leccion[SubSección]))),ROW(J30))),"")</f>
        <v/>
      </c>
      <c r="L31" s="51" t="str">
        <f t="array" aca="1" ref="L31" ca="1">IFERROR(INDEX(Leccion[selectorLeccion],SMALL(IF(L$1=Leccion[SubSección],MATCH(ROW(Leccion[SubSección]),ROW(Leccion[SubSección]))),ROW(K30))),"")</f>
        <v/>
      </c>
      <c r="M31" s="51" t="str">
        <f t="array" aca="1" ref="M31" ca="1">IFERROR(INDEX(Leccion[selectorLeccion],SMALL(IF(M$1=Leccion[SubSección],MATCH(ROW(Leccion[SubSección]),ROW(Leccion[SubSección]))),ROW(L30))),"")</f>
        <v/>
      </c>
      <c r="N31" s="51" t="str">
        <f t="array" aca="1" ref="N31" ca="1">IFERROR(INDEX(Leccion[selectorLeccion],SMALL(IF(N$1=Leccion[SubSección],MATCH(ROW(Leccion[SubSección]),ROW(Leccion[SubSección]))),ROW(M30))),"")</f>
        <v/>
      </c>
      <c r="O31" s="51" t="str">
        <f t="array" aca="1" ref="O31" ca="1">IFERROR(INDEX(Leccion[selectorLeccion],SMALL(IF(O$1=Leccion[SubSección],MATCH(ROW(Leccion[SubSección]),ROW(Leccion[SubSección]))),ROW(N30))),"")</f>
        <v/>
      </c>
      <c r="P31" s="51" t="str">
        <f t="array" aca="1" ref="P31" ca="1">IFERROR(INDEX(Leccion[selectorLeccion],SMALL(IF(P$1=Leccion[SubSección],MATCH(ROW(Leccion[SubSección]),ROW(Leccion[SubSección]))),ROW(O30))),"")</f>
        <v/>
      </c>
      <c r="Q31" s="51" t="str">
        <f t="array" aca="1" ref="Q31" ca="1">IFERROR(INDEX(Leccion[selectorLeccion],SMALL(IF(Q$1=Leccion[SubSección],MATCH(ROW(Leccion[SubSección]),ROW(Leccion[SubSección]))),ROW(P30))),"")</f>
        <v/>
      </c>
      <c r="R31" s="51" t="str">
        <f t="array" aca="1" ref="R31" ca="1">IFERROR(INDEX(Leccion[selectorLeccion],SMALL(IF(R$1=Leccion[SubSección],MATCH(ROW(Leccion[SubSección]),ROW(Leccion[SubSección]))),ROW(Q30))),"")</f>
        <v/>
      </c>
      <c r="S31" s="51" t="str">
        <f t="array" aca="1" ref="S31" ca="1">IFERROR(INDEX(Leccion[selectorLeccion],SMALL(IF(S$1=Leccion[SubSección],MATCH(ROW(Leccion[SubSección]),ROW(Leccion[SubSección]))),ROW(R30))),"")</f>
        <v/>
      </c>
      <c r="T31" s="51" t="str">
        <f t="array" aca="1" ref="T31" ca="1">IFERROR(INDEX(Leccion[selectorLeccion],SMALL(IF(T$1=Leccion[SubSección],MATCH(ROW(Leccion[SubSección]),ROW(Leccion[SubSección]))),ROW(S30))),"")</f>
        <v/>
      </c>
      <c r="U31" s="51" t="str">
        <f t="array" aca="1" ref="U31" ca="1">IFERROR(INDEX(Leccion[selectorLeccion],SMALL(IF(U$1=Leccion[SubSección],MATCH(ROW(Leccion[SubSección]),ROW(Leccion[SubSección]))),ROW(T30))),"")</f>
        <v/>
      </c>
      <c r="V31" s="51" t="str">
        <f t="array" aca="1" ref="V31" ca="1">IFERROR(INDEX(Leccion[selectorLeccion],SMALL(IF(V$1=Leccion[SubSección],MATCH(ROW(Leccion[SubSección]),ROW(Leccion[SubSección]))),ROW(U30))),"")</f>
        <v/>
      </c>
      <c r="W31" s="51" t="str">
        <f t="array" aca="1" ref="W31" ca="1">IFERROR(INDEX(Leccion[selectorLeccion],SMALL(IF(W$1=Leccion[SubSección],MATCH(ROW(Leccion[SubSección]),ROW(Leccion[SubSección]))),ROW(V30))),"")</f>
        <v/>
      </c>
      <c r="X31" s="51" t="str">
        <f t="array" aca="1" ref="X31" ca="1">IFERROR(INDEX(Leccion[selectorLeccion],SMALL(IF(X$1=Leccion[SubSección],MATCH(ROW(Leccion[SubSección]),ROW(Leccion[SubSección]))),ROW(W30))),"")</f>
        <v/>
      </c>
      <c r="Y31" s="51" t="str">
        <f t="array" aca="1" ref="Y31" ca="1">IFERROR(INDEX(Leccion[selectorLeccion],SMALL(IF(Y$1=Leccion[SubSección],MATCH(ROW(Leccion[SubSección]),ROW(Leccion[SubSección]))),ROW(X30))),"")</f>
        <v/>
      </c>
      <c r="Z31" s="51" t="str">
        <f t="array" aca="1" ref="Z31" ca="1">IFERROR(INDEX(Leccion[selectorLeccion],SMALL(IF(Z$1=Leccion[SubSección],MATCH(ROW(Leccion[SubSección]),ROW(Leccion[SubSección]))),ROW(Y30))),"")</f>
        <v/>
      </c>
      <c r="AA31" s="51" t="str">
        <f t="array" aca="1" ref="AA31" ca="1">IFERROR(INDEX(Leccion[selectorLeccion],SMALL(IF(AA$1=Leccion[SubSección],MATCH(ROW(Leccion[SubSección]),ROW(Leccion[SubSección]))),ROW(Z30))),"")</f>
        <v/>
      </c>
      <c r="AB31" s="51" t="str">
        <f t="array" aca="1" ref="AB31" ca="1">IFERROR(INDEX(Leccion[selectorLeccion],SMALL(IF(AB$1=Leccion[SubSección],MATCH(ROW(Leccion[SubSección]),ROW(Leccion[SubSección]))),ROW(AA30))),"")</f>
        <v/>
      </c>
      <c r="AC31" s="51" t="str">
        <f t="array" aca="1" ref="AC31" ca="1">IFERROR(INDEX(Leccion[selectorLeccion],SMALL(IF(AC$1=Leccion[SubSección],MATCH(ROW(Leccion[SubSección]),ROW(Leccion[SubSección]))),ROW(AB30))),"")</f>
        <v/>
      </c>
      <c r="AD31" s="51" t="str">
        <f t="array" aca="1" ref="AD31" ca="1">IFERROR(INDEX(Leccion[selectorLeccion],SMALL(IF(AD$1=Leccion[SubSección],MATCH(ROW(Leccion[SubSección]),ROW(Leccion[SubSección]))),ROW(AC30))),"")</f>
        <v/>
      </c>
      <c r="AE31" s="51" t="str">
        <f t="array" aca="1" ref="AE31" ca="1">IFERROR(INDEX(Leccion[selectorLeccion],SMALL(IF(AE$1=Leccion[SubSección],MATCH(ROW(Leccion[SubSección]),ROW(Leccion[SubSección]))),ROW(AD30))),"")</f>
        <v/>
      </c>
      <c r="AF31" s="51" t="str">
        <f t="array" aca="1" ref="AF31" ca="1">IFERROR(INDEX(Leccion[selectorLeccion],SMALL(IF(AF$1=Leccion[SubSección],MATCH(ROW(Leccion[SubSección]),ROW(Leccion[SubSección]))),ROW(AE30))),"")</f>
        <v/>
      </c>
      <c r="AG31" s="51" t="str">
        <f t="array" aca="1" ref="AG31" ca="1">IFERROR(INDEX(Leccion[selectorLeccion],SMALL(IF(AG$1=Leccion[SubSección],MATCH(ROW(Leccion[SubSección]),ROW(Leccion[SubSección]))),ROW(AF30))),"")</f>
        <v/>
      </c>
      <c r="AH31" s="51" t="str">
        <f t="array" aca="1" ref="AH31" ca="1">IFERROR(INDEX(Leccion[selectorLeccion],SMALL(IF(AH$1=Leccion[SubSección],MATCH(ROW(Leccion[SubSección]),ROW(Leccion[SubSección]))),ROW(AG30))),"")</f>
        <v/>
      </c>
      <c r="AI31" s="51" t="str">
        <f t="array" aca="1" ref="AI31" ca="1">IFERROR(INDEX(Leccion[selectorLeccion],SMALL(IF(AI$1=Leccion[SubSección],MATCH(ROW(Leccion[SubSección]),ROW(Leccion[SubSección]))),ROW(AH30))),"")</f>
        <v/>
      </c>
      <c r="AJ31" s="51" t="str">
        <f t="array" aca="1" ref="AJ31" ca="1">IFERROR(INDEX(Leccion[selectorLeccion],SMALL(IF(AJ$1=Leccion[SubSección],MATCH(ROW(Leccion[SubSección]),ROW(Leccion[SubSección]))),ROW(AI30))),"")</f>
        <v/>
      </c>
      <c r="AK31" s="51" t="str">
        <f t="array" aca="1" ref="AK31" ca="1">IFERROR(INDEX(Leccion[selectorLeccion],SMALL(IF(AK$1=Leccion[SubSección],MATCH(ROW(Leccion[SubSección]),ROW(Leccion[SubSección]))),ROW(AJ30))),"")</f>
        <v/>
      </c>
      <c r="AL31" s="51" t="str">
        <f t="array" aca="1" ref="AL31" ca="1">IFERROR(INDEX(Leccion[selectorLeccion],SMALL(IF(AL$1=Leccion[SubSección],MATCH(ROW(Leccion[SubSección]),ROW(Leccion[SubSección]))),ROW(AK30))),"")</f>
        <v/>
      </c>
      <c r="AM31" s="51" t="str">
        <f t="array" aca="1" ref="AM31" ca="1">IFERROR(INDEX(Leccion[selectorLeccion],SMALL(IF(AM$1=Leccion[SubSección],MATCH(ROW(Leccion[SubSección]),ROW(Leccion[SubSección]))),ROW(AL30))),"")</f>
        <v/>
      </c>
      <c r="AN31" s="51" t="str">
        <f t="array" aca="1" ref="AN31" ca="1">IFERROR(INDEX(Leccion[selectorLeccion],SMALL(IF(AN$1=Leccion[SubSección],MATCH(ROW(Leccion[SubSección]),ROW(Leccion[SubSección]))),ROW(AM30))),"")</f>
        <v/>
      </c>
      <c r="AO31" s="51" t="str">
        <f t="array" aca="1" ref="AO31" ca="1">IFERROR(INDEX(Leccion[selectorLeccion],SMALL(IF(AO$1=Leccion[SubSección],MATCH(ROW(Leccion[SubSección]),ROW(Leccion[SubSección]))),ROW(AN30))),"")</f>
        <v/>
      </c>
      <c r="AP31" s="51" t="str">
        <f t="array" aca="1" ref="AP31" ca="1">IFERROR(INDEX(Leccion[selectorLeccion],SMALL(IF(AP$1=Leccion[SubSección],MATCH(ROW(Leccion[SubSección]),ROW(Leccion[SubSección]))),ROW(AO30))),"")</f>
        <v/>
      </c>
      <c r="AQ31" s="51" t="str">
        <f t="array" aca="1" ref="AQ31" ca="1">IFERROR(INDEX(Leccion[selectorLeccion],SMALL(IF(AQ$1=Leccion[SubSección],MATCH(ROW(Leccion[SubSección]),ROW(Leccion[SubSección]))),ROW(AP30))),"")</f>
        <v/>
      </c>
      <c r="AR31" s="51" t="str">
        <f t="array" aca="1" ref="AR31" ca="1">IFERROR(INDEX(Leccion[selectorLeccion],SMALL(IF(AR$1=Leccion[SubSección],MATCH(ROW(Leccion[SubSección]),ROW(Leccion[SubSección]))),ROW(AQ30))),"")</f>
        <v/>
      </c>
      <c r="AS31" s="51" t="str">
        <f t="array" aca="1" ref="AS31" ca="1">IFERROR(INDEX(Leccion[selectorLeccion],SMALL(IF(AS$1=Leccion[SubSección],MATCH(ROW(Leccion[SubSección]),ROW(Leccion[SubSección]))),ROW(AR30))),"")</f>
        <v/>
      </c>
      <c r="AT31" s="51" t="str">
        <f t="array" aca="1" ref="AT31" ca="1">IFERROR(INDEX(Leccion[selectorLeccion],SMALL(IF(AT$1=Leccion[SubSección],MATCH(ROW(Leccion[SubSección]),ROW(Leccion[SubSección]))),ROW(AS30))),"")</f>
        <v/>
      </c>
      <c r="AU31" s="51" t="str">
        <f t="array" aca="1" ref="AU31" ca="1">IFERROR(INDEX(Leccion[selectorLeccion],SMALL(IF(AU$1=Leccion[SubSección],MATCH(ROW(Leccion[SubSección]),ROW(Leccion[SubSección]))),ROW(AT30))),"")</f>
        <v/>
      </c>
      <c r="AV31" s="51" t="str">
        <f t="array" aca="1" ref="AV31" ca="1">IFERROR(INDEX(Leccion[selectorLeccion],SMALL(IF(AV$1=Leccion[SubSección],MATCH(ROW(Leccion[SubSección]),ROW(Leccion[SubSección]))),ROW(AU30))),"")</f>
        <v/>
      </c>
      <c r="AW31" s="51" t="str">
        <f t="array" aca="1" ref="AW31" ca="1">IFERROR(INDEX(Leccion[selectorLeccion],SMALL(IF(AW$1=Leccion[SubSección],MATCH(ROW(Leccion[SubSección]),ROW(Leccion[SubSección]))),ROW(AV30))),"")</f>
        <v/>
      </c>
      <c r="AX31" s="51" t="str">
        <f t="array" aca="1" ref="AX31" ca="1">IFERROR(INDEX(Leccion[selectorLeccion],SMALL(IF(AX$1=Leccion[SubSección],MATCH(ROW(Leccion[SubSección]),ROW(Leccion[SubSección]))),ROW(AW30))),"")</f>
        <v/>
      </c>
      <c r="AY31" s="51" t="str">
        <f t="array" aca="1" ref="AY31" ca="1">IFERROR(INDEX(Leccion[selectorLeccion],SMALL(IF(AY$1=Leccion[SubSección],MATCH(ROW(Leccion[SubSección]),ROW(Leccion[SubSección]))),ROW(AX30))),"")</f>
        <v/>
      </c>
      <c r="AZ31" s="51" t="str">
        <f t="array" aca="1" ref="AZ31" ca="1">IFERROR(INDEX(Leccion[selectorLeccion],SMALL(IF(AZ$1=Leccion[SubSección],MATCH(ROW(Leccion[SubSección]),ROW(Leccion[SubSección]))),ROW(AY30))),"")</f>
        <v/>
      </c>
      <c r="BA31" s="51" t="str">
        <f t="array" aca="1" ref="BA31" ca="1">IFERROR(INDEX(Leccion[selectorLeccion],SMALL(IF(BA$1=Leccion[SubSección],MATCH(ROW(Leccion[SubSección]),ROW(Leccion[SubSección]))),ROW(AZ30))),"")</f>
        <v/>
      </c>
      <c r="BB31" s="51" t="str">
        <f t="array" aca="1" ref="BB31" ca="1">IFERROR(INDEX(Leccion[selectorLeccion],SMALL(IF(BB$1=Leccion[SubSección],MATCH(ROW(Leccion[SubSección]),ROW(Leccion[SubSección]))),ROW(BA30))),"")</f>
        <v/>
      </c>
      <c r="BC31" s="51" t="str">
        <f t="array" aca="1" ref="BC31" ca="1">IFERROR(INDEX(Leccion[selectorLeccion],SMALL(IF(BC$1=Leccion[SubSección],MATCH(ROW(Leccion[SubSección]),ROW(Leccion[SubSección]))),ROW(BB30))),"")</f>
        <v/>
      </c>
      <c r="BD31" s="51" t="str">
        <f t="array" aca="1" ref="BD31" ca="1">IFERROR(INDEX(Leccion[selectorLeccion],SMALL(IF(BD$1=Leccion[SubSección],MATCH(ROW(Leccion[SubSección]),ROW(Leccion[SubSección]))),ROW(BC30))),"")</f>
        <v/>
      </c>
      <c r="BE31" s="51" t="str">
        <f t="array" aca="1" ref="BE31" ca="1">IFERROR(INDEX(Leccion[selectorLeccion],SMALL(IF(BE$1=Leccion[SubSección],MATCH(ROW(Leccion[SubSección]),ROW(Leccion[SubSección]))),ROW(BD30))),"")</f>
        <v/>
      </c>
      <c r="BF31" s="51" t="str">
        <f t="array" aca="1" ref="BF31" ca="1">IFERROR(INDEX(Leccion[selectorLeccion],SMALL(IF(BF$1=Leccion[SubSección],MATCH(ROW(Leccion[SubSección]),ROW(Leccion[SubSección]))),ROW(BE30))),"")</f>
        <v/>
      </c>
      <c r="BG31" s="51" t="str">
        <f t="array" aca="1" ref="BG31" ca="1">IFERROR(INDEX(Leccion[selectorLeccion],SMALL(IF(BG$1=Leccion[SubSección],MATCH(ROW(Leccion[SubSección]),ROW(Leccion[SubSección]))),ROW(BF30))),"")</f>
        <v/>
      </c>
      <c r="BH31" s="51" t="str">
        <f t="array" aca="1" ref="BH31" ca="1">IFERROR(INDEX(Leccion[selectorLeccion],SMALL(IF(BH$1=Leccion[SubSección],MATCH(ROW(Leccion[SubSección]),ROW(Leccion[SubSección]))),ROW(BG30))),"")</f>
        <v/>
      </c>
      <c r="BI31" s="51" t="str">
        <f t="array" aca="1" ref="BI31" ca="1">IFERROR(INDEX(Leccion[selectorLeccion],SMALL(IF(BI$1=Leccion[SubSección],MATCH(ROW(Leccion[SubSección]),ROW(Leccion[SubSección]))),ROW(BH30))),"")</f>
        <v/>
      </c>
      <c r="BJ31" s="51" t="str">
        <f t="array" aca="1" ref="BJ31" ca="1">IFERROR(INDEX(Leccion[selectorLeccion],SMALL(IF(BJ$1=Leccion[SubSección],MATCH(ROW(Leccion[SubSección]),ROW(Leccion[SubSección]))),ROW(BI30))),"")</f>
        <v/>
      </c>
      <c r="BK31" s="51" t="str">
        <f t="array" aca="1" ref="BK31" ca="1">IFERROR(INDEX(Leccion[selectorLeccion],SMALL(IF(BK$1=Leccion[SubSección],MATCH(ROW(Leccion[SubSección]),ROW(Leccion[SubSección]))),ROW(BJ30))),"")</f>
        <v/>
      </c>
      <c r="BL31" s="51" t="str">
        <f t="array" aca="1" ref="BL31" ca="1">IFERROR(INDEX(Leccion[selectorLeccion],SMALL(IF(BL$1=Leccion[SubSección],MATCH(ROW(Leccion[SubSección]),ROW(Leccion[SubSección]))),ROW(BK30))),"")</f>
        <v/>
      </c>
      <c r="BM31" s="51" t="str">
        <f t="array" aca="1" ref="BM31" ca="1">IFERROR(INDEX(Leccion[selectorLeccion],SMALL(IF(BM$1=Leccion[SubSección],MATCH(ROW(Leccion[SubSección]),ROW(Leccion[SubSección]))),ROW(BL30))),"")</f>
        <v/>
      </c>
      <c r="BN31" s="51" t="str">
        <f t="array" aca="1" ref="BN31" ca="1">IFERROR(INDEX(Leccion[selectorLeccion],SMALL(IF(BN$1=Leccion[SubSección],MATCH(ROW(Leccion[SubSección]),ROW(Leccion[SubSección]))),ROW(BM30))),"")</f>
        <v/>
      </c>
      <c r="BO31" s="51" t="str">
        <f t="array" aca="1" ref="BO31" ca="1">IFERROR(INDEX(Leccion[selectorLeccion],SMALL(IF(BO$1=Leccion[SubSección],MATCH(ROW(Leccion[SubSección]),ROW(Leccion[SubSección]))),ROW(BN30))),"")</f>
        <v/>
      </c>
      <c r="BP31" s="51" t="str">
        <f t="array" aca="1" ref="BP31" ca="1">IFERROR(INDEX(Leccion[selectorLeccion],SMALL(IF(BP$1=Leccion[SubSección],MATCH(ROW(Leccion[SubSección]),ROW(Leccion[SubSección]))),ROW(BO30))),"")</f>
        <v/>
      </c>
      <c r="BQ31" s="51" t="str">
        <f t="array" aca="1" ref="BQ31" ca="1">IFERROR(INDEX(Leccion[selectorLeccion],SMALL(IF(BQ$1=Leccion[SubSección],MATCH(ROW(Leccion[SubSección]),ROW(Leccion[SubSección]))),ROW(BP30))),"")</f>
        <v/>
      </c>
      <c r="BR31" s="51" t="str">
        <f t="array" aca="1" ref="BR31" ca="1">IFERROR(INDEX(Leccion[selectorLeccion],SMALL(IF(BR$1=Leccion[SubSección],MATCH(ROW(Leccion[SubSección]),ROW(Leccion[SubSección]))),ROW(BQ30))),"")</f>
        <v/>
      </c>
      <c r="BS31" s="51" t="str">
        <f t="array" aca="1" ref="BS31" ca="1">IFERROR(INDEX(Leccion[selectorLeccion],SMALL(IF(BS$1=Leccion[SubSección],MATCH(ROW(Leccion[SubSección]),ROW(Leccion[SubSección]))),ROW(BR30))),"")</f>
        <v/>
      </c>
      <c r="BT31" s="51" t="str">
        <f t="array" aca="1" ref="BT31" ca="1">IFERROR(INDEX(Leccion[selectorLeccion],SMALL(IF(BT$1=Leccion[SubSección],MATCH(ROW(Leccion[SubSección]),ROW(Leccion[SubSección]))),ROW(BS30))),"")</f>
        <v/>
      </c>
      <c r="BU31" s="51" t="str">
        <f t="array" aca="1" ref="BU31" ca="1">IFERROR(INDEX(Leccion[selectorLeccion],SMALL(IF(BU$1=Leccion[SubSección],MATCH(ROW(Leccion[SubSección]),ROW(Leccion[SubSección]))),ROW(BT30))),"")</f>
        <v/>
      </c>
      <c r="BV31" s="51" t="str">
        <f t="array" aca="1" ref="BV31" ca="1">IFERROR(INDEX(Leccion[selectorLeccion],SMALL(IF(BV$1=Leccion[SubSección],MATCH(ROW(Leccion[SubSección]),ROW(Leccion[SubSección]))),ROW(BU30))),"")</f>
        <v/>
      </c>
      <c r="BW31" s="51" t="str">
        <f t="array" aca="1" ref="BW31" ca="1">IFERROR(INDEX(Leccion[selectorLeccion],SMALL(IF(BW$1=Leccion[SubSección],MATCH(ROW(Leccion[SubSección]),ROW(Leccion[SubSección]))),ROW(BV30))),"")</f>
        <v/>
      </c>
      <c r="BX31" s="51" t="str">
        <f t="array" aca="1" ref="BX31" ca="1">IFERROR(INDEX(Leccion[selectorLeccion],SMALL(IF(BX$1=Leccion[SubSección],MATCH(ROW(Leccion[SubSección]),ROW(Leccion[SubSección]))),ROW(BW30))),"")</f>
        <v/>
      </c>
      <c r="BY31" s="51" t="str">
        <f t="array" aca="1" ref="BY31" ca="1">IFERROR(INDEX(Leccion[selectorLeccion],SMALL(IF(BY$1=Leccion[SubSección],MATCH(ROW(Leccion[SubSección]),ROW(Leccion[SubSección]))),ROW(BX30))),"")</f>
        <v/>
      </c>
      <c r="BZ31" s="51" t="str">
        <f t="array" aca="1" ref="BZ31" ca="1">IFERROR(INDEX(Leccion[selectorLeccion],SMALL(IF(BZ$1=Leccion[SubSección],MATCH(ROW(Leccion[SubSección]),ROW(Leccion[SubSección]))),ROW(BY30))),"")</f>
        <v/>
      </c>
      <c r="CA31" s="51" t="str">
        <f t="array" aca="1" ref="CA31" ca="1">IFERROR(INDEX(Leccion[selectorLeccion],SMALL(IF(CA$1=Leccion[SubSección],MATCH(ROW(Leccion[SubSección]),ROW(Leccion[SubSección]))),ROW(BZ30))),"")</f>
        <v/>
      </c>
      <c r="CB31" s="51" t="str">
        <f t="array" aca="1" ref="CB31" ca="1">IFERROR(INDEX(Leccion[selectorLeccion],SMALL(IF(CB$1=Leccion[SubSección],MATCH(ROW(Leccion[SubSección]),ROW(Leccion[SubSección]))),ROW(CA30))),"")</f>
        <v/>
      </c>
      <c r="CC31" s="51" t="str">
        <f t="array" aca="1" ref="CC31" ca="1">IFERROR(INDEX(Leccion[selectorLeccion],SMALL(IF(CC$1=Leccion[SubSección],MATCH(ROW(Leccion[SubSección]),ROW(Leccion[SubSección]))),ROW(CB30))),"")</f>
        <v/>
      </c>
      <c r="CD31" s="51" t="str">
        <f t="array" aca="1" ref="CD31" ca="1">IFERROR(INDEX(Leccion[selectorLeccion],SMALL(IF(CD$1=Leccion[SubSección],MATCH(ROW(Leccion[SubSección]),ROW(Leccion[SubSección]))),ROW(CC30))),"")</f>
        <v/>
      </c>
      <c r="CE31" s="51" t="str">
        <f t="array" aca="1" ref="CE31" ca="1">IFERROR(INDEX(Leccion[selectorLeccion],SMALL(IF(CE$1=Leccion[SubSección],MATCH(ROW(Leccion[SubSección]),ROW(Leccion[SubSección]))),ROW(CD30))),"")</f>
        <v/>
      </c>
      <c r="CF31" s="51" t="str">
        <f t="array" aca="1" ref="CF31" ca="1">IFERROR(INDEX(Leccion[selectorLeccion],SMALL(IF(CF$1=Leccion[SubSección],MATCH(ROW(Leccion[SubSección]),ROW(Leccion[SubSección]))),ROW(CE30))),"")</f>
        <v/>
      </c>
      <c r="CG31" s="51" t="str">
        <f t="array" aca="1" ref="CG31" ca="1">IFERROR(INDEX(Leccion[selectorLeccion],SMALL(IF(CG$1=Leccion[SubSección],MATCH(ROW(Leccion[SubSección]),ROW(Leccion[SubSección]))),ROW(CF30))),"")</f>
        <v/>
      </c>
      <c r="CH31" s="51" t="str">
        <f t="array" aca="1" ref="CH31" ca="1">IFERROR(INDEX(Leccion[selectorLeccion],SMALL(IF(CH$1=Leccion[SubSección],MATCH(ROW(Leccion[SubSección]),ROW(Leccion[SubSección]))),ROW(CG30))),"")</f>
        <v/>
      </c>
      <c r="CI31" s="51" t="str">
        <f t="array" aca="1" ref="CI31" ca="1">IFERROR(INDEX(Leccion[selectorLeccion],SMALL(IF(CI$1=Leccion[SubSección],MATCH(ROW(Leccion[SubSección]),ROW(Leccion[SubSección]))),ROW(CH30))),"")</f>
        <v/>
      </c>
      <c r="CJ31" s="51" t="str">
        <f t="array" aca="1" ref="CJ31" ca="1">IFERROR(INDEX(Leccion[selectorLeccion],SMALL(IF(CJ$1=Leccion[SubSección],MATCH(ROW(Leccion[SubSección]),ROW(Leccion[SubSección]))),ROW(CI30))),"")</f>
        <v/>
      </c>
      <c r="CK31" s="51" t="str">
        <f t="array" aca="1" ref="CK31" ca="1">IFERROR(INDEX(Leccion[selectorLeccion],SMALL(IF(CK$1=Leccion[SubSección],MATCH(ROW(Leccion[SubSección]),ROW(Leccion[SubSección]))),ROW(CJ30))),"")</f>
        <v/>
      </c>
      <c r="CL31" s="51" t="str">
        <f t="array" aca="1" ref="CL31" ca="1">IFERROR(INDEX(Leccion[selectorLeccion],SMALL(IF(CL$1=Leccion[SubSección],MATCH(ROW(Leccion[SubSección]),ROW(Leccion[SubSección]))),ROW(CK30))),"")</f>
        <v/>
      </c>
      <c r="CM31" s="51" t="str">
        <f t="array" aca="1" ref="CM31" ca="1">IFERROR(INDEX(Leccion[selectorLeccion],SMALL(IF(CM$1=Leccion[SubSección],MATCH(ROW(Leccion[SubSección]),ROW(Leccion[SubSección]))),ROW(CL30))),"")</f>
        <v/>
      </c>
      <c r="CN31" s="51" t="str">
        <f t="array" aca="1" ref="CN31" ca="1">IFERROR(INDEX(Leccion[selectorLeccion],SMALL(IF(CN$1=Leccion[SubSección],MATCH(ROW(Leccion[SubSección]),ROW(Leccion[SubSección]))),ROW(CM30))),"")</f>
        <v/>
      </c>
      <c r="CO31" s="51" t="str">
        <f t="array" aca="1" ref="CO31" ca="1">IFERROR(INDEX(Leccion[selectorLeccion],SMALL(IF(CO$1=Leccion[SubSección],MATCH(ROW(Leccion[SubSección]),ROW(Leccion[SubSección]))),ROW(CN30))),"")</f>
        <v/>
      </c>
      <c r="CP31" s="51" t="str">
        <f t="array" aca="1" ref="CP31" ca="1">IFERROR(INDEX(Leccion[selectorLeccion],SMALL(IF(CP$1=Leccion[SubSección],MATCH(ROW(Leccion[SubSección]),ROW(Leccion[SubSección]))),ROW(CO30))),"")</f>
        <v/>
      </c>
      <c r="CQ31" s="51" t="str">
        <f t="array" aca="1" ref="CQ31" ca="1">IFERROR(INDEX(Leccion[selectorLeccion],SMALL(IF(CQ$1=Leccion[SubSección],MATCH(ROW(Leccion[SubSección]),ROW(Leccion[SubSección]))),ROW(CP30))),"")</f>
        <v/>
      </c>
      <c r="CR31" s="51" t="str">
        <f t="array" aca="1" ref="CR31" ca="1">IFERROR(INDEX(Leccion[selectorLeccion],SMALL(IF(CR$1=Leccion[SubSección],MATCH(ROW(Leccion[SubSección]),ROW(Leccion[SubSección]))),ROW(CQ30))),"")</f>
        <v/>
      </c>
      <c r="CS31" s="51" t="str">
        <f t="array" aca="1" ref="CS31" ca="1">IFERROR(INDEX(Leccion[selectorLeccion],SMALL(IF(CS$1=Leccion[SubSección],MATCH(ROW(Leccion[SubSección]),ROW(Leccion[SubSección]))),ROW(CR30))),"")</f>
        <v/>
      </c>
      <c r="CT31" s="51" t="str">
        <f t="array" aca="1" ref="CT31" ca="1">IFERROR(INDEX(Leccion[selectorLeccion],SMALL(IF(CT$1=Leccion[SubSección],MATCH(ROW(Leccion[SubSección]),ROW(Leccion[SubSección]))),ROW(CS30))),"")</f>
        <v/>
      </c>
      <c r="CU31" s="51" t="str">
        <f t="array" aca="1" ref="CU31" ca="1">IFERROR(INDEX(Leccion[selectorLeccion],SMALL(IF(CU$1=Leccion[SubSección],MATCH(ROW(Leccion[SubSección]),ROW(Leccion[SubSección]))),ROW(CT30))),"")</f>
        <v/>
      </c>
      <c r="CV31" s="51" t="str">
        <f t="array" aca="1" ref="CV31" ca="1">IFERROR(INDEX(Leccion[selectorLeccion],SMALL(IF(CV$1=Leccion[SubSección],MATCH(ROW(Leccion[SubSección]),ROW(Leccion[SubSección]))),ROW(CU30))),"")</f>
        <v/>
      </c>
      <c r="CW31" s="51" t="str">
        <f t="array" aca="1" ref="CW31" ca="1">IFERROR(INDEX(Leccion[selectorLeccion],SMALL(IF(CW$1=Leccion[SubSección],MATCH(ROW(Leccion[SubSección]),ROW(Leccion[SubSección]))),ROW(CV30))),"")</f>
        <v/>
      </c>
      <c r="CX31" s="51" t="str">
        <f t="array" aca="1" ref="CX31" ca="1">IFERROR(INDEX(Leccion[selectorLeccion],SMALL(IF(CX$1=Leccion[SubSección],MATCH(ROW(Leccion[SubSección]),ROW(Leccion[SubSección]))),ROW(CW30))),"")</f>
        <v/>
      </c>
      <c r="CY31" s="51" t="str">
        <f t="array" aca="1" ref="CY31" ca="1">IFERROR(INDEX(Leccion[selectorLeccion],SMALL(IF(CY$1=Leccion[SubSección],MATCH(ROW(Leccion[SubSección]),ROW(Leccion[SubSección]))),ROW(CX30))),"")</f>
        <v/>
      </c>
      <c r="CZ31" s="51" t="str">
        <f t="array" aca="1" ref="CZ31" ca="1">IFERROR(INDEX(Leccion[selectorLeccion],SMALL(IF(CZ$1=Leccion[SubSección],MATCH(ROW(Leccion[SubSección]),ROW(Leccion[SubSección]))),ROW(CY30))),"")</f>
        <v/>
      </c>
      <c r="DA31" s="51" t="str">
        <f t="array" aca="1" ref="DA31" ca="1">IFERROR(INDEX(Leccion[selectorLeccion],SMALL(IF(DA$1=Leccion[SubSección],MATCH(ROW(Leccion[SubSección]),ROW(Leccion[SubSección]))),ROW(CZ30))),"")</f>
        <v/>
      </c>
      <c r="DB31" s="51" t="str">
        <f t="array" aca="1" ref="DB31" ca="1">IFERROR(INDEX(Leccion[selectorLeccion],SMALL(IF(DB$1=Leccion[SubSección],MATCH(ROW(Leccion[SubSección]),ROW(Leccion[SubSección]))),ROW(DA30))),"")</f>
        <v/>
      </c>
      <c r="DC31" s="51" t="str">
        <f t="array" aca="1" ref="DC31" ca="1">IFERROR(INDEX(Leccion[selectorLeccion],SMALL(IF(DC$1=Leccion[SubSección],MATCH(ROW(Leccion[SubSección]),ROW(Leccion[SubSección]))),ROW(DB30))),"")</f>
        <v/>
      </c>
      <c r="DD31" s="51" t="str">
        <f t="array" aca="1" ref="DD31" ca="1">IFERROR(INDEX(Leccion[selectorLeccion],SMALL(IF(DD$1=Leccion[SubSección],MATCH(ROW(Leccion[SubSección]),ROW(Leccion[SubSección]))),ROW(DC30))),"")</f>
        <v/>
      </c>
      <c r="DE31" s="51" t="str">
        <f t="array" aca="1" ref="DE31" ca="1">IFERROR(INDEX(Leccion[selectorLeccion],SMALL(IF(DE$1=Leccion[SubSección],MATCH(ROW(Leccion[SubSección]),ROW(Leccion[SubSección]))),ROW(DD30))),"")</f>
        <v/>
      </c>
      <c r="DF31" s="51" t="str">
        <f t="array" aca="1" ref="DF31" ca="1">IFERROR(INDEX(Leccion[selectorLeccion],SMALL(IF(DF$1=Leccion[SubSección],MATCH(ROW(Leccion[SubSección]),ROW(Leccion[SubSección]))),ROW(DE30))),"")</f>
        <v/>
      </c>
      <c r="DG31" s="51" t="str">
        <f t="array" aca="1" ref="DG31" ca="1">IFERROR(INDEX(Leccion[selectorLeccion],SMALL(IF(DG$1=Leccion[SubSección],MATCH(ROW(Leccion[SubSección]),ROW(Leccion[SubSección]))),ROW(DF30))),"")</f>
        <v/>
      </c>
      <c r="DH31" s="51" t="str">
        <f t="array" aca="1" ref="DH31" ca="1">IFERROR(INDEX(Leccion[selectorLeccion],SMALL(IF(DH$1=Leccion[SubSección],MATCH(ROW(Leccion[SubSección]),ROW(Leccion[SubSección]))),ROW(DG30))),"")</f>
        <v/>
      </c>
      <c r="DI31" s="51" t="str">
        <f t="array" aca="1" ref="DI31" ca="1">IFERROR(INDEX(Leccion[selectorLeccion],SMALL(IF(DI$1=Leccion[SubSección],MATCH(ROW(Leccion[SubSección]),ROW(Leccion[SubSección]))),ROW(DH30))),"")</f>
        <v/>
      </c>
      <c r="DJ31" s="51" t="str">
        <f t="array" aca="1" ref="DJ31" ca="1">IFERROR(INDEX(Leccion[selectorLeccion],SMALL(IF(DJ$1=Leccion[SubSección],MATCH(ROW(Leccion[SubSección]),ROW(Leccion[SubSección]))),ROW(DI30))),"")</f>
        <v/>
      </c>
      <c r="DK31" s="51" t="str">
        <f t="array" aca="1" ref="DK31" ca="1">IFERROR(INDEX(Leccion[selectorLeccion],SMALL(IF(DK$1=Leccion[SubSección],MATCH(ROW(Leccion[SubSección]),ROW(Leccion[SubSección]))),ROW(DJ30))),"")</f>
        <v/>
      </c>
      <c r="DL31" s="51" t="str">
        <f t="array" aca="1" ref="DL31" ca="1">IFERROR(INDEX(Leccion[selectorLeccion],SMALL(IF(DL$1=Leccion[SubSección],MATCH(ROW(Leccion[SubSección]),ROW(Leccion[SubSección]))),ROW(DK30))),"")</f>
        <v/>
      </c>
      <c r="DM31" s="51" t="str">
        <f t="array" aca="1" ref="DM31" ca="1">IFERROR(INDEX(Leccion[selectorLeccion],SMALL(IF(DM$1=Leccion[SubSección],MATCH(ROW(Leccion[SubSección]),ROW(Leccion[SubSección]))),ROW(DL30))),"")</f>
        <v/>
      </c>
      <c r="DN31" s="51" t="str">
        <f t="array" aca="1" ref="DN31" ca="1">IFERROR(INDEX(Leccion[selectorLeccion],SMALL(IF(DN$1=Leccion[SubSección],MATCH(ROW(Leccion[SubSección]),ROW(Leccion[SubSección]))),ROW(DM30))),"")</f>
        <v/>
      </c>
      <c r="DO31" s="51" t="str">
        <f t="array" aca="1" ref="DO31" ca="1">IFERROR(INDEX(Leccion[selectorLeccion],SMALL(IF(DO$1=Leccion[SubSección],MATCH(ROW(Leccion[SubSección]),ROW(Leccion[SubSección]))),ROW(DN30))),"")</f>
        <v/>
      </c>
      <c r="DP31" s="51" t="str">
        <f t="array" aca="1" ref="DP31" ca="1">IFERROR(INDEX(Leccion[selectorLeccion],SMALL(IF(DP$1=Leccion[SubSección],MATCH(ROW(Leccion[SubSección]),ROW(Leccion[SubSección]))),ROW(DO30))),"")</f>
        <v/>
      </c>
      <c r="DQ31" s="51" t="str">
        <f t="array" aca="1" ref="DQ31" ca="1">IFERROR(INDEX(Leccion[selectorLeccion],SMALL(IF(DQ$1=Leccion[SubSección],MATCH(ROW(Leccion[SubSección]),ROW(Leccion[SubSección]))),ROW(DP30))),"")</f>
        <v/>
      </c>
      <c r="DR31" s="51" t="str">
        <f t="array" aca="1" ref="DR31" ca="1">IFERROR(INDEX(Leccion[selectorLeccion],SMALL(IF(DR$1=Leccion[SubSección],MATCH(ROW(Leccion[SubSección]),ROW(Leccion[SubSección]))),ROW(DQ30))),"")</f>
        <v/>
      </c>
      <c r="DS31" s="51" t="str">
        <f t="array" aca="1" ref="DS31" ca="1">IFERROR(INDEX(Leccion[selectorLeccion],SMALL(IF(DS$1=Leccion[SubSección],MATCH(ROW(Leccion[SubSección]),ROW(Leccion[SubSección]))),ROW(DR30))),"")</f>
        <v/>
      </c>
      <c r="DT31" s="51" t="str">
        <f t="array" aca="1" ref="DT31" ca="1">IFERROR(INDEX(Leccion[selectorLeccion],SMALL(IF(DT$1=Leccion[SubSección],MATCH(ROW(Leccion[SubSección]),ROW(Leccion[SubSección]))),ROW(DS30))),"")</f>
        <v/>
      </c>
      <c r="DU31" s="51" t="str">
        <f t="array" aca="1" ref="DU31" ca="1">IFERROR(INDEX(Leccion[selectorLeccion],SMALL(IF(DU$1=Leccion[SubSección],MATCH(ROW(Leccion[SubSección]),ROW(Leccion[SubSección]))),ROW(DT30))),"")</f>
        <v/>
      </c>
      <c r="DV31" s="51" t="str">
        <f t="array" aca="1" ref="DV31" ca="1">IFERROR(INDEX(Leccion[selectorLeccion],SMALL(IF(DV$1=Leccion[SubSección],MATCH(ROW(Leccion[SubSección]),ROW(Leccion[SubSección]))),ROW(DU30))),"")</f>
        <v/>
      </c>
      <c r="DW31" s="51" t="str">
        <f t="array" aca="1" ref="DW31" ca="1">IFERROR(INDEX(Leccion[selectorLeccion],SMALL(IF(DW$1=Leccion[SubSección],MATCH(ROW(Leccion[SubSección]),ROW(Leccion[SubSección]))),ROW(DV30))),"")</f>
        <v/>
      </c>
      <c r="DX31" s="51" t="str">
        <f t="array" aca="1" ref="DX31" ca="1">IFERROR(INDEX(Leccion[selectorLeccion],SMALL(IF(DX$1=Leccion[SubSección],MATCH(ROW(Leccion[SubSección]),ROW(Leccion[SubSección]))),ROW(DW30))),"")</f>
        <v/>
      </c>
      <c r="DY31" s="51" t="str">
        <f t="array" aca="1" ref="DY31" ca="1">IFERROR(INDEX(Leccion[selectorLeccion],SMALL(IF(DY$1=Leccion[SubSección],MATCH(ROW(Leccion[SubSección]),ROW(Leccion[SubSección]))),ROW(DX30))),"")</f>
        <v/>
      </c>
      <c r="DZ31" s="51" t="str">
        <f t="array" aca="1" ref="DZ31" ca="1">IFERROR(INDEX(Leccion[selectorLeccion],SMALL(IF(DZ$1=Leccion[SubSección],MATCH(ROW(Leccion[SubSección]),ROW(Leccion[SubSección]))),ROW(DY30))),"")</f>
        <v/>
      </c>
      <c r="EA31" s="51" t="str">
        <f t="array" aca="1" ref="EA31" ca="1">IFERROR(INDEX(Leccion[selectorLeccion],SMALL(IF(EA$1=Leccion[SubSección],MATCH(ROW(Leccion[SubSección]),ROW(Leccion[SubSección]))),ROW(DZ30))),"")</f>
        <v/>
      </c>
      <c r="EB31" s="51" t="str">
        <f t="array" aca="1" ref="EB31" ca="1">IFERROR(INDEX(Leccion[selectorLeccion],SMALL(IF(EB$1=Leccion[SubSección],MATCH(ROW(Leccion[SubSección]),ROW(Leccion[SubSección]))),ROW(EA30))),"")</f>
        <v/>
      </c>
      <c r="EC31" s="51" t="str">
        <f t="array" aca="1" ref="EC31" ca="1">IFERROR(INDEX(Leccion[selectorLeccion],SMALL(IF(EC$1=Leccion[SubSección],MATCH(ROW(Leccion[SubSección]),ROW(Leccion[SubSección]))),ROW(EB30))),"")</f>
        <v/>
      </c>
      <c r="ED31" s="51" t="str">
        <f t="array" aca="1" ref="ED31" ca="1">IFERROR(INDEX(Leccion[selectorLeccion],SMALL(IF(ED$1=Leccion[SubSección],MATCH(ROW(Leccion[SubSección]),ROW(Leccion[SubSección]))),ROW(EC30))),"")</f>
        <v/>
      </c>
      <c r="EE31" s="51" t="str">
        <f t="array" aca="1" ref="EE31" ca="1">IFERROR(INDEX(Leccion[selectorLeccion],SMALL(IF(EE$1=Leccion[SubSección],MATCH(ROW(Leccion[SubSección]),ROW(Leccion[SubSección]))),ROW(ED30))),"")</f>
        <v/>
      </c>
      <c r="EF31" s="51" t="str">
        <f t="array" aca="1" ref="EF31" ca="1">IFERROR(INDEX(Leccion[selectorLeccion],SMALL(IF(EF$1=Leccion[SubSección],MATCH(ROW(Leccion[SubSección]),ROW(Leccion[SubSección]))),ROW(EE30))),"")</f>
        <v/>
      </c>
      <c r="EG31" s="51" t="str">
        <f t="array" aca="1" ref="EG31" ca="1">IFERROR(INDEX(Leccion[selectorLeccion],SMALL(IF(EG$1=Leccion[SubSección],MATCH(ROW(Leccion[SubSección]),ROW(Leccion[SubSección]))),ROW(EF30))),"")</f>
        <v/>
      </c>
      <c r="EH31" s="51" t="str">
        <f t="array" aca="1" ref="EH31" ca="1">IFERROR(INDEX(Leccion[selectorLeccion],SMALL(IF(EH$1=Leccion[SubSección],MATCH(ROW(Leccion[SubSección]),ROW(Leccion[SubSección]))),ROW(EG30))),"")</f>
        <v/>
      </c>
      <c r="EI31" s="51" t="str">
        <f t="array" aca="1" ref="EI31" ca="1">IFERROR(INDEX(Leccion[selectorLeccion],SMALL(IF(EI$1=Leccion[SubSección],MATCH(ROW(Leccion[SubSección]),ROW(Leccion[SubSección]))),ROW(EH30))),"")</f>
        <v/>
      </c>
      <c r="EJ31" s="51" t="str">
        <f t="array" aca="1" ref="EJ31" ca="1">IFERROR(INDEX(Leccion[selectorLeccion],SMALL(IF(EJ$1=Leccion[SubSección],MATCH(ROW(Leccion[SubSección]),ROW(Leccion[SubSección]))),ROW(EI30))),"")</f>
        <v/>
      </c>
      <c r="EK31" s="51" t="str">
        <f t="array" aca="1" ref="EK31" ca="1">IFERROR(INDEX(Leccion[selectorLeccion],SMALL(IF(EK$1=Leccion[SubSección],MATCH(ROW(Leccion[SubSección]),ROW(Leccion[SubSección]))),ROW(EJ30))),"")</f>
        <v/>
      </c>
      <c r="EL31" s="51" t="str">
        <f t="array" aca="1" ref="EL31" ca="1">IFERROR(INDEX(Leccion[selectorLeccion],SMALL(IF(EL$1=Leccion[SubSección],MATCH(ROW(Leccion[SubSección]),ROW(Leccion[SubSección]))),ROW(EK30))),"")</f>
        <v/>
      </c>
      <c r="EM31" s="51" t="str">
        <f t="array" aca="1" ref="EM31" ca="1">IFERROR(INDEX(Leccion[selectorLeccion],SMALL(IF(EM$1=Leccion[SubSección],MATCH(ROW(Leccion[SubSección]),ROW(Leccion[SubSección]))),ROW(EL30))),"")</f>
        <v/>
      </c>
      <c r="EN31" s="51" t="str">
        <f t="array" aca="1" ref="EN31" ca="1">IFERROR(INDEX(Leccion[selectorLeccion],SMALL(IF(EN$1=Leccion[SubSección],MATCH(ROW(Leccion[SubSección]),ROW(Leccion[SubSección]))),ROW(EM30))),"")</f>
        <v/>
      </c>
      <c r="EO31" s="51" t="str">
        <f t="array" aca="1" ref="EO31" ca="1">IFERROR(INDEX(Leccion[selectorLeccion],SMALL(IF(EO$1=Leccion[SubSección],MATCH(ROW(Leccion[SubSección]),ROW(Leccion[SubSección]))),ROW(EN30))),"")</f>
        <v/>
      </c>
      <c r="EP31" s="51" t="str">
        <f t="array" aca="1" ref="EP31" ca="1">IFERROR(INDEX(Leccion[selectorLeccion],SMALL(IF(EP$1=Leccion[SubSección],MATCH(ROW(Leccion[SubSección]),ROW(Leccion[SubSección]))),ROW(EO30))),"")</f>
        <v/>
      </c>
      <c r="EQ31" s="51" t="str">
        <f t="array" aca="1" ref="EQ31" ca="1">IFERROR(INDEX(Leccion[selectorLeccion],SMALL(IF(EQ$1=Leccion[SubSección],MATCH(ROW(Leccion[SubSección]),ROW(Leccion[SubSección]))),ROW(EP30))),"")</f>
        <v/>
      </c>
      <c r="ER31" s="51" t="str">
        <f t="array" aca="1" ref="ER31" ca="1">IFERROR(INDEX(Leccion[selectorLeccion],SMALL(IF(ER$1=Leccion[SubSección],MATCH(ROW(Leccion[SubSección]),ROW(Leccion[SubSección]))),ROW(EQ30))),"")</f>
        <v/>
      </c>
      <c r="ES31" s="51" t="str">
        <f t="array" aca="1" ref="ES31" ca="1">IFERROR(INDEX(Leccion[selectorLeccion],SMALL(IF(ES$1=Leccion[SubSección],MATCH(ROW(Leccion[SubSección]),ROW(Leccion[SubSección]))),ROW(ER30))),"")</f>
        <v/>
      </c>
      <c r="ET31" s="51" t="str">
        <f t="array" aca="1" ref="ET31" ca="1">IFERROR(INDEX(Leccion[selectorLeccion],SMALL(IF(ET$1=Leccion[SubSección],MATCH(ROW(Leccion[SubSección]),ROW(Leccion[SubSección]))),ROW(ES30))),"")</f>
        <v/>
      </c>
      <c r="EU31" s="51" t="str">
        <f t="array" aca="1" ref="EU31" ca="1">IFERROR(INDEX(Leccion[selectorLeccion],SMALL(IF(EU$1=Leccion[SubSección],MATCH(ROW(Leccion[SubSección]),ROW(Leccion[SubSección]))),ROW(ET30))),"")</f>
        <v/>
      </c>
      <c r="EV31" s="51" t="str">
        <f t="array" aca="1" ref="EV31" ca="1">IFERROR(INDEX(Leccion[selectorLeccion],SMALL(IF(EV$1=Leccion[SubSección],MATCH(ROW(Leccion[SubSección]),ROW(Leccion[SubSección]))),ROW(EU30))),"")</f>
        <v/>
      </c>
      <c r="EW31" s="51" t="str">
        <f t="array" aca="1" ref="EW31" ca="1">IFERROR(INDEX(Leccion[selectorLeccion],SMALL(IF(EW$1=Leccion[SubSección],MATCH(ROW(Leccion[SubSección]),ROW(Leccion[SubSección]))),ROW(EV30))),"")</f>
        <v/>
      </c>
      <c r="EX31" s="51" t="str">
        <f t="array" aca="1" ref="EX31" ca="1">IFERROR(INDEX(Leccion[selectorLeccion],SMALL(IF(EX$1=Leccion[SubSección],MATCH(ROW(Leccion[SubSección]),ROW(Leccion[SubSección]))),ROW(EW30))),"")</f>
        <v/>
      </c>
      <c r="EY31" s="51" t="str">
        <f t="array" aca="1" ref="EY31" ca="1">IFERROR(INDEX(Leccion[selectorLeccion],SMALL(IF(EY$1=Leccion[SubSección],MATCH(ROW(Leccion[SubSección]),ROW(Leccion[SubSección]))),ROW(EX30))),"")</f>
        <v/>
      </c>
      <c r="EZ31" s="51" t="str">
        <f t="array" aca="1" ref="EZ31" ca="1">IFERROR(INDEX(Leccion[selectorLeccion],SMALL(IF(EZ$1=Leccion[SubSección],MATCH(ROW(Leccion[SubSección]),ROW(Leccion[SubSección]))),ROW(EY30))),"")</f>
        <v/>
      </c>
    </row>
    <row r="32" spans="2:156" x14ac:dyDescent="0.3">
      <c r="B32" s="51" t="str">
        <f t="array" aca="1" ref="B32" ca="1">IFERROR(INDEX(Leccion[selectorLeccion],SMALL(IF(B$1=Leccion[SubSección],MATCH(ROW(Leccion[SubSección]),ROW(Leccion[SubSección]))),ROW(A31))),"")</f>
        <v/>
      </c>
      <c r="C32" s="51" t="str">
        <f t="array" aca="1" ref="C32" ca="1">IFERROR(INDEX(Leccion[selectorLeccion],SMALL(IF(C$1=Leccion[SubSección],MATCH(ROW(Leccion[SubSección]),ROW(Leccion[SubSección]))),ROW(B31))),"")</f>
        <v/>
      </c>
      <c r="D32" s="51" t="str">
        <f t="array" aca="1" ref="D32" ca="1">IFERROR(INDEX(Leccion[selectorLeccion],SMALL(IF(D$1=Leccion[SubSección],MATCH(ROW(Leccion[SubSección]),ROW(Leccion[SubSección]))),ROW(C31))),"")</f>
        <v/>
      </c>
      <c r="E32" s="51" t="str">
        <f t="array" aca="1" ref="E32" ca="1">IFERROR(INDEX(Leccion[selectorLeccion],SMALL(IF(E$1=Leccion[SubSección],MATCH(ROW(Leccion[SubSección]),ROW(Leccion[SubSección]))),ROW(D31))),"")</f>
        <v/>
      </c>
      <c r="F32" s="51" t="str">
        <f t="array" aca="1" ref="F32" ca="1">IFERROR(INDEX(Leccion[selectorLeccion],SMALL(IF(F$1=Leccion[SubSección],MATCH(ROW(Leccion[SubSección]),ROW(Leccion[SubSección]))),ROW(E31))),"")</f>
        <v/>
      </c>
      <c r="G32" s="51" t="str">
        <f t="array" aca="1" ref="G32" ca="1">IFERROR(INDEX(Leccion[selectorLeccion],SMALL(IF(G$1=Leccion[SubSección],MATCH(ROW(Leccion[SubSección]),ROW(Leccion[SubSección]))),ROW(F31))),"")</f>
        <v/>
      </c>
      <c r="H32" s="51" t="str">
        <f t="array" aca="1" ref="H32" ca="1">IFERROR(INDEX(Leccion[selectorLeccion],SMALL(IF(H$1=Leccion[SubSección],MATCH(ROW(Leccion[SubSección]),ROW(Leccion[SubSección]))),ROW(G31))),"")</f>
        <v/>
      </c>
      <c r="I32" s="51" t="str">
        <f t="array" aca="1" ref="I32" ca="1">IFERROR(INDEX(Leccion[selectorLeccion],SMALL(IF(I$1=Leccion[SubSección],MATCH(ROW(Leccion[SubSección]),ROW(Leccion[SubSección]))),ROW(H31))),"")</f>
        <v/>
      </c>
      <c r="J32" s="51" t="str">
        <f t="array" aca="1" ref="J32" ca="1">IFERROR(INDEX(Leccion[selectorLeccion],SMALL(IF(J$1=Leccion[SubSección],MATCH(ROW(Leccion[SubSección]),ROW(Leccion[SubSección]))),ROW(I31))),"")</f>
        <v/>
      </c>
      <c r="K32" s="51" t="str">
        <f t="array" aca="1" ref="K32" ca="1">IFERROR(INDEX(Leccion[selectorLeccion],SMALL(IF(K$1=Leccion[SubSección],MATCH(ROW(Leccion[SubSección]),ROW(Leccion[SubSección]))),ROW(J31))),"")</f>
        <v/>
      </c>
      <c r="L32" s="51" t="str">
        <f t="array" aca="1" ref="L32" ca="1">IFERROR(INDEX(Leccion[selectorLeccion],SMALL(IF(L$1=Leccion[SubSección],MATCH(ROW(Leccion[SubSección]),ROW(Leccion[SubSección]))),ROW(K31))),"")</f>
        <v/>
      </c>
      <c r="M32" s="51" t="str">
        <f t="array" aca="1" ref="M32" ca="1">IFERROR(INDEX(Leccion[selectorLeccion],SMALL(IF(M$1=Leccion[SubSección],MATCH(ROW(Leccion[SubSección]),ROW(Leccion[SubSección]))),ROW(L31))),"")</f>
        <v/>
      </c>
      <c r="N32" s="51" t="str">
        <f t="array" aca="1" ref="N32" ca="1">IFERROR(INDEX(Leccion[selectorLeccion],SMALL(IF(N$1=Leccion[SubSección],MATCH(ROW(Leccion[SubSección]),ROW(Leccion[SubSección]))),ROW(M31))),"")</f>
        <v/>
      </c>
      <c r="O32" s="51" t="str">
        <f t="array" aca="1" ref="O32" ca="1">IFERROR(INDEX(Leccion[selectorLeccion],SMALL(IF(O$1=Leccion[SubSección],MATCH(ROW(Leccion[SubSección]),ROW(Leccion[SubSección]))),ROW(N31))),"")</f>
        <v/>
      </c>
      <c r="P32" s="51" t="str">
        <f t="array" aca="1" ref="P32" ca="1">IFERROR(INDEX(Leccion[selectorLeccion],SMALL(IF(P$1=Leccion[SubSección],MATCH(ROW(Leccion[SubSección]),ROW(Leccion[SubSección]))),ROW(O31))),"")</f>
        <v/>
      </c>
      <c r="Q32" s="51" t="str">
        <f t="array" aca="1" ref="Q32" ca="1">IFERROR(INDEX(Leccion[selectorLeccion],SMALL(IF(Q$1=Leccion[SubSección],MATCH(ROW(Leccion[SubSección]),ROW(Leccion[SubSección]))),ROW(P31))),"")</f>
        <v/>
      </c>
      <c r="R32" s="51" t="str">
        <f t="array" aca="1" ref="R32" ca="1">IFERROR(INDEX(Leccion[selectorLeccion],SMALL(IF(R$1=Leccion[SubSección],MATCH(ROW(Leccion[SubSección]),ROW(Leccion[SubSección]))),ROW(Q31))),"")</f>
        <v/>
      </c>
      <c r="S32" s="51" t="str">
        <f t="array" aca="1" ref="S32" ca="1">IFERROR(INDEX(Leccion[selectorLeccion],SMALL(IF(S$1=Leccion[SubSección],MATCH(ROW(Leccion[SubSección]),ROW(Leccion[SubSección]))),ROW(R31))),"")</f>
        <v/>
      </c>
      <c r="T32" s="51" t="str">
        <f t="array" aca="1" ref="T32" ca="1">IFERROR(INDEX(Leccion[selectorLeccion],SMALL(IF(T$1=Leccion[SubSección],MATCH(ROW(Leccion[SubSección]),ROW(Leccion[SubSección]))),ROW(S31))),"")</f>
        <v/>
      </c>
      <c r="U32" s="51" t="str">
        <f t="array" aca="1" ref="U32" ca="1">IFERROR(INDEX(Leccion[selectorLeccion],SMALL(IF(U$1=Leccion[SubSección],MATCH(ROW(Leccion[SubSección]),ROW(Leccion[SubSección]))),ROW(T31))),"")</f>
        <v/>
      </c>
      <c r="V32" s="51" t="str">
        <f t="array" aca="1" ref="V32" ca="1">IFERROR(INDEX(Leccion[selectorLeccion],SMALL(IF(V$1=Leccion[SubSección],MATCH(ROW(Leccion[SubSección]),ROW(Leccion[SubSección]))),ROW(U31))),"")</f>
        <v/>
      </c>
      <c r="W32" s="51" t="str">
        <f t="array" aca="1" ref="W32" ca="1">IFERROR(INDEX(Leccion[selectorLeccion],SMALL(IF(W$1=Leccion[SubSección],MATCH(ROW(Leccion[SubSección]),ROW(Leccion[SubSección]))),ROW(V31))),"")</f>
        <v/>
      </c>
      <c r="X32" s="51" t="str">
        <f t="array" aca="1" ref="X32" ca="1">IFERROR(INDEX(Leccion[selectorLeccion],SMALL(IF(X$1=Leccion[SubSección],MATCH(ROW(Leccion[SubSección]),ROW(Leccion[SubSección]))),ROW(W31))),"")</f>
        <v/>
      </c>
      <c r="Y32" s="51" t="str">
        <f t="array" aca="1" ref="Y32" ca="1">IFERROR(INDEX(Leccion[selectorLeccion],SMALL(IF(Y$1=Leccion[SubSección],MATCH(ROW(Leccion[SubSección]),ROW(Leccion[SubSección]))),ROW(X31))),"")</f>
        <v/>
      </c>
      <c r="Z32" s="51" t="str">
        <f t="array" aca="1" ref="Z32" ca="1">IFERROR(INDEX(Leccion[selectorLeccion],SMALL(IF(Z$1=Leccion[SubSección],MATCH(ROW(Leccion[SubSección]),ROW(Leccion[SubSección]))),ROW(Y31))),"")</f>
        <v/>
      </c>
      <c r="AA32" s="51" t="str">
        <f t="array" aca="1" ref="AA32" ca="1">IFERROR(INDEX(Leccion[selectorLeccion],SMALL(IF(AA$1=Leccion[SubSección],MATCH(ROW(Leccion[SubSección]),ROW(Leccion[SubSección]))),ROW(Z31))),"")</f>
        <v/>
      </c>
      <c r="AB32" s="51" t="str">
        <f t="array" aca="1" ref="AB32" ca="1">IFERROR(INDEX(Leccion[selectorLeccion],SMALL(IF(AB$1=Leccion[SubSección],MATCH(ROW(Leccion[SubSección]),ROW(Leccion[SubSección]))),ROW(AA31))),"")</f>
        <v/>
      </c>
      <c r="AC32" s="51" t="str">
        <f t="array" aca="1" ref="AC32" ca="1">IFERROR(INDEX(Leccion[selectorLeccion],SMALL(IF(AC$1=Leccion[SubSección],MATCH(ROW(Leccion[SubSección]),ROW(Leccion[SubSección]))),ROW(AB31))),"")</f>
        <v/>
      </c>
      <c r="AD32" s="51" t="str">
        <f t="array" aca="1" ref="AD32" ca="1">IFERROR(INDEX(Leccion[selectorLeccion],SMALL(IF(AD$1=Leccion[SubSección],MATCH(ROW(Leccion[SubSección]),ROW(Leccion[SubSección]))),ROW(AC31))),"")</f>
        <v/>
      </c>
      <c r="AE32" s="51" t="str">
        <f t="array" aca="1" ref="AE32" ca="1">IFERROR(INDEX(Leccion[selectorLeccion],SMALL(IF(AE$1=Leccion[SubSección],MATCH(ROW(Leccion[SubSección]),ROW(Leccion[SubSección]))),ROW(AD31))),"")</f>
        <v/>
      </c>
      <c r="AF32" s="51" t="str">
        <f t="array" aca="1" ref="AF32" ca="1">IFERROR(INDEX(Leccion[selectorLeccion],SMALL(IF(AF$1=Leccion[SubSección],MATCH(ROW(Leccion[SubSección]),ROW(Leccion[SubSección]))),ROW(AE31))),"")</f>
        <v/>
      </c>
      <c r="AG32" s="51" t="str">
        <f t="array" aca="1" ref="AG32" ca="1">IFERROR(INDEX(Leccion[selectorLeccion],SMALL(IF(AG$1=Leccion[SubSección],MATCH(ROW(Leccion[SubSección]),ROW(Leccion[SubSección]))),ROW(AF31))),"")</f>
        <v/>
      </c>
      <c r="AH32" s="51" t="str">
        <f t="array" aca="1" ref="AH32" ca="1">IFERROR(INDEX(Leccion[selectorLeccion],SMALL(IF(AH$1=Leccion[SubSección],MATCH(ROW(Leccion[SubSección]),ROW(Leccion[SubSección]))),ROW(AG31))),"")</f>
        <v/>
      </c>
      <c r="AI32" s="51" t="str">
        <f t="array" aca="1" ref="AI32" ca="1">IFERROR(INDEX(Leccion[selectorLeccion],SMALL(IF(AI$1=Leccion[SubSección],MATCH(ROW(Leccion[SubSección]),ROW(Leccion[SubSección]))),ROW(AH31))),"")</f>
        <v/>
      </c>
      <c r="AJ32" s="51" t="str">
        <f t="array" aca="1" ref="AJ32" ca="1">IFERROR(INDEX(Leccion[selectorLeccion],SMALL(IF(AJ$1=Leccion[SubSección],MATCH(ROW(Leccion[SubSección]),ROW(Leccion[SubSección]))),ROW(AI31))),"")</f>
        <v/>
      </c>
      <c r="AK32" s="51" t="str">
        <f t="array" aca="1" ref="AK32" ca="1">IFERROR(INDEX(Leccion[selectorLeccion],SMALL(IF(AK$1=Leccion[SubSección],MATCH(ROW(Leccion[SubSección]),ROW(Leccion[SubSección]))),ROW(AJ31))),"")</f>
        <v/>
      </c>
      <c r="AL32" s="51" t="str">
        <f t="array" aca="1" ref="AL32" ca="1">IFERROR(INDEX(Leccion[selectorLeccion],SMALL(IF(AL$1=Leccion[SubSección],MATCH(ROW(Leccion[SubSección]),ROW(Leccion[SubSección]))),ROW(AK31))),"")</f>
        <v/>
      </c>
      <c r="AM32" s="51" t="str">
        <f t="array" aca="1" ref="AM32" ca="1">IFERROR(INDEX(Leccion[selectorLeccion],SMALL(IF(AM$1=Leccion[SubSección],MATCH(ROW(Leccion[SubSección]),ROW(Leccion[SubSección]))),ROW(AL31))),"")</f>
        <v/>
      </c>
      <c r="AN32" s="51" t="str">
        <f t="array" aca="1" ref="AN32" ca="1">IFERROR(INDEX(Leccion[selectorLeccion],SMALL(IF(AN$1=Leccion[SubSección],MATCH(ROW(Leccion[SubSección]),ROW(Leccion[SubSección]))),ROW(AM31))),"")</f>
        <v/>
      </c>
      <c r="AO32" s="51" t="str">
        <f t="array" aca="1" ref="AO32" ca="1">IFERROR(INDEX(Leccion[selectorLeccion],SMALL(IF(AO$1=Leccion[SubSección],MATCH(ROW(Leccion[SubSección]),ROW(Leccion[SubSección]))),ROW(AN31))),"")</f>
        <v/>
      </c>
      <c r="AP32" s="51" t="str">
        <f t="array" aca="1" ref="AP32" ca="1">IFERROR(INDEX(Leccion[selectorLeccion],SMALL(IF(AP$1=Leccion[SubSección],MATCH(ROW(Leccion[SubSección]),ROW(Leccion[SubSección]))),ROW(AO31))),"")</f>
        <v/>
      </c>
      <c r="AQ32" s="51" t="str">
        <f t="array" aca="1" ref="AQ32" ca="1">IFERROR(INDEX(Leccion[selectorLeccion],SMALL(IF(AQ$1=Leccion[SubSección],MATCH(ROW(Leccion[SubSección]),ROW(Leccion[SubSección]))),ROW(AP31))),"")</f>
        <v/>
      </c>
      <c r="AR32" s="51" t="str">
        <f t="array" aca="1" ref="AR32" ca="1">IFERROR(INDEX(Leccion[selectorLeccion],SMALL(IF(AR$1=Leccion[SubSección],MATCH(ROW(Leccion[SubSección]),ROW(Leccion[SubSección]))),ROW(AQ31))),"")</f>
        <v/>
      </c>
      <c r="AS32" s="51" t="str">
        <f t="array" aca="1" ref="AS32" ca="1">IFERROR(INDEX(Leccion[selectorLeccion],SMALL(IF(AS$1=Leccion[SubSección],MATCH(ROW(Leccion[SubSección]),ROW(Leccion[SubSección]))),ROW(AR31))),"")</f>
        <v/>
      </c>
      <c r="AT32" s="51" t="str">
        <f t="array" aca="1" ref="AT32" ca="1">IFERROR(INDEX(Leccion[selectorLeccion],SMALL(IF(AT$1=Leccion[SubSección],MATCH(ROW(Leccion[SubSección]),ROW(Leccion[SubSección]))),ROW(AS31))),"")</f>
        <v/>
      </c>
      <c r="AU32" s="51" t="str">
        <f t="array" aca="1" ref="AU32" ca="1">IFERROR(INDEX(Leccion[selectorLeccion],SMALL(IF(AU$1=Leccion[SubSección],MATCH(ROW(Leccion[SubSección]),ROW(Leccion[SubSección]))),ROW(AT31))),"")</f>
        <v/>
      </c>
      <c r="AV32" s="51" t="str">
        <f t="array" aca="1" ref="AV32" ca="1">IFERROR(INDEX(Leccion[selectorLeccion],SMALL(IF(AV$1=Leccion[SubSección],MATCH(ROW(Leccion[SubSección]),ROW(Leccion[SubSección]))),ROW(AU31))),"")</f>
        <v/>
      </c>
      <c r="AW32" s="51" t="str">
        <f t="array" aca="1" ref="AW32" ca="1">IFERROR(INDEX(Leccion[selectorLeccion],SMALL(IF(AW$1=Leccion[SubSección],MATCH(ROW(Leccion[SubSección]),ROW(Leccion[SubSección]))),ROW(AV31))),"")</f>
        <v/>
      </c>
      <c r="AX32" s="51" t="str">
        <f t="array" aca="1" ref="AX32" ca="1">IFERROR(INDEX(Leccion[selectorLeccion],SMALL(IF(AX$1=Leccion[SubSección],MATCH(ROW(Leccion[SubSección]),ROW(Leccion[SubSección]))),ROW(AW31))),"")</f>
        <v/>
      </c>
      <c r="AY32" s="51" t="str">
        <f t="array" aca="1" ref="AY32" ca="1">IFERROR(INDEX(Leccion[selectorLeccion],SMALL(IF(AY$1=Leccion[SubSección],MATCH(ROW(Leccion[SubSección]),ROW(Leccion[SubSección]))),ROW(AX31))),"")</f>
        <v/>
      </c>
      <c r="AZ32" s="51" t="str">
        <f t="array" aca="1" ref="AZ32" ca="1">IFERROR(INDEX(Leccion[selectorLeccion],SMALL(IF(AZ$1=Leccion[SubSección],MATCH(ROW(Leccion[SubSección]),ROW(Leccion[SubSección]))),ROW(AY31))),"")</f>
        <v/>
      </c>
      <c r="BA32" s="51" t="str">
        <f t="array" aca="1" ref="BA32" ca="1">IFERROR(INDEX(Leccion[selectorLeccion],SMALL(IF(BA$1=Leccion[SubSección],MATCH(ROW(Leccion[SubSección]),ROW(Leccion[SubSección]))),ROW(AZ31))),"")</f>
        <v/>
      </c>
      <c r="BB32" s="51" t="str">
        <f t="array" aca="1" ref="BB32" ca="1">IFERROR(INDEX(Leccion[selectorLeccion],SMALL(IF(BB$1=Leccion[SubSección],MATCH(ROW(Leccion[SubSección]),ROW(Leccion[SubSección]))),ROW(BA31))),"")</f>
        <v/>
      </c>
      <c r="BC32" s="51" t="str">
        <f t="array" aca="1" ref="BC32" ca="1">IFERROR(INDEX(Leccion[selectorLeccion],SMALL(IF(BC$1=Leccion[SubSección],MATCH(ROW(Leccion[SubSección]),ROW(Leccion[SubSección]))),ROW(BB31))),"")</f>
        <v/>
      </c>
      <c r="BD32" s="51" t="str">
        <f t="array" aca="1" ref="BD32" ca="1">IFERROR(INDEX(Leccion[selectorLeccion],SMALL(IF(BD$1=Leccion[SubSección],MATCH(ROW(Leccion[SubSección]),ROW(Leccion[SubSección]))),ROW(BC31))),"")</f>
        <v/>
      </c>
      <c r="BE32" s="51" t="str">
        <f t="array" aca="1" ref="BE32" ca="1">IFERROR(INDEX(Leccion[selectorLeccion],SMALL(IF(BE$1=Leccion[SubSección],MATCH(ROW(Leccion[SubSección]),ROW(Leccion[SubSección]))),ROW(BD31))),"")</f>
        <v/>
      </c>
      <c r="BF32" s="51" t="str">
        <f t="array" aca="1" ref="BF32" ca="1">IFERROR(INDEX(Leccion[selectorLeccion],SMALL(IF(BF$1=Leccion[SubSección],MATCH(ROW(Leccion[SubSección]),ROW(Leccion[SubSección]))),ROW(BE31))),"")</f>
        <v/>
      </c>
      <c r="BG32" s="51" t="str">
        <f t="array" aca="1" ref="BG32" ca="1">IFERROR(INDEX(Leccion[selectorLeccion],SMALL(IF(BG$1=Leccion[SubSección],MATCH(ROW(Leccion[SubSección]),ROW(Leccion[SubSección]))),ROW(BF31))),"")</f>
        <v/>
      </c>
      <c r="BH32" s="51" t="str">
        <f t="array" aca="1" ref="BH32" ca="1">IFERROR(INDEX(Leccion[selectorLeccion],SMALL(IF(BH$1=Leccion[SubSección],MATCH(ROW(Leccion[SubSección]),ROW(Leccion[SubSección]))),ROW(BG31))),"")</f>
        <v/>
      </c>
      <c r="BI32" s="51" t="str">
        <f t="array" aca="1" ref="BI32" ca="1">IFERROR(INDEX(Leccion[selectorLeccion],SMALL(IF(BI$1=Leccion[SubSección],MATCH(ROW(Leccion[SubSección]),ROW(Leccion[SubSección]))),ROW(BH31))),"")</f>
        <v/>
      </c>
      <c r="BJ32" s="51" t="str">
        <f t="array" aca="1" ref="BJ32" ca="1">IFERROR(INDEX(Leccion[selectorLeccion],SMALL(IF(BJ$1=Leccion[SubSección],MATCH(ROW(Leccion[SubSección]),ROW(Leccion[SubSección]))),ROW(BI31))),"")</f>
        <v/>
      </c>
      <c r="BK32" s="51" t="str">
        <f t="array" aca="1" ref="BK32" ca="1">IFERROR(INDEX(Leccion[selectorLeccion],SMALL(IF(BK$1=Leccion[SubSección],MATCH(ROW(Leccion[SubSección]),ROW(Leccion[SubSección]))),ROW(BJ31))),"")</f>
        <v/>
      </c>
      <c r="BL32" s="51" t="str">
        <f t="array" aca="1" ref="BL32" ca="1">IFERROR(INDEX(Leccion[selectorLeccion],SMALL(IF(BL$1=Leccion[SubSección],MATCH(ROW(Leccion[SubSección]),ROW(Leccion[SubSección]))),ROW(BK31))),"")</f>
        <v/>
      </c>
      <c r="BM32" s="51" t="str">
        <f t="array" aca="1" ref="BM32" ca="1">IFERROR(INDEX(Leccion[selectorLeccion],SMALL(IF(BM$1=Leccion[SubSección],MATCH(ROW(Leccion[SubSección]),ROW(Leccion[SubSección]))),ROW(BL31))),"")</f>
        <v/>
      </c>
      <c r="BN32" s="51" t="str">
        <f t="array" aca="1" ref="BN32" ca="1">IFERROR(INDEX(Leccion[selectorLeccion],SMALL(IF(BN$1=Leccion[SubSección],MATCH(ROW(Leccion[SubSección]),ROW(Leccion[SubSección]))),ROW(BM31))),"")</f>
        <v/>
      </c>
      <c r="BO32" s="51" t="str">
        <f t="array" aca="1" ref="BO32" ca="1">IFERROR(INDEX(Leccion[selectorLeccion],SMALL(IF(BO$1=Leccion[SubSección],MATCH(ROW(Leccion[SubSección]),ROW(Leccion[SubSección]))),ROW(BN31))),"")</f>
        <v/>
      </c>
      <c r="BP32" s="51" t="str">
        <f t="array" aca="1" ref="BP32" ca="1">IFERROR(INDEX(Leccion[selectorLeccion],SMALL(IF(BP$1=Leccion[SubSección],MATCH(ROW(Leccion[SubSección]),ROW(Leccion[SubSección]))),ROW(BO31))),"")</f>
        <v/>
      </c>
      <c r="BQ32" s="51" t="str">
        <f t="array" aca="1" ref="BQ32" ca="1">IFERROR(INDEX(Leccion[selectorLeccion],SMALL(IF(BQ$1=Leccion[SubSección],MATCH(ROW(Leccion[SubSección]),ROW(Leccion[SubSección]))),ROW(BP31))),"")</f>
        <v/>
      </c>
      <c r="BR32" s="51" t="str">
        <f t="array" aca="1" ref="BR32" ca="1">IFERROR(INDEX(Leccion[selectorLeccion],SMALL(IF(BR$1=Leccion[SubSección],MATCH(ROW(Leccion[SubSección]),ROW(Leccion[SubSección]))),ROW(BQ31))),"")</f>
        <v/>
      </c>
      <c r="BS32" s="51" t="str">
        <f t="array" aca="1" ref="BS32" ca="1">IFERROR(INDEX(Leccion[selectorLeccion],SMALL(IF(BS$1=Leccion[SubSección],MATCH(ROW(Leccion[SubSección]),ROW(Leccion[SubSección]))),ROW(BR31))),"")</f>
        <v/>
      </c>
      <c r="BT32" s="51" t="str">
        <f t="array" aca="1" ref="BT32" ca="1">IFERROR(INDEX(Leccion[selectorLeccion],SMALL(IF(BT$1=Leccion[SubSección],MATCH(ROW(Leccion[SubSección]),ROW(Leccion[SubSección]))),ROW(BS31))),"")</f>
        <v/>
      </c>
      <c r="BU32" s="51" t="str">
        <f t="array" aca="1" ref="BU32" ca="1">IFERROR(INDEX(Leccion[selectorLeccion],SMALL(IF(BU$1=Leccion[SubSección],MATCH(ROW(Leccion[SubSección]),ROW(Leccion[SubSección]))),ROW(BT31))),"")</f>
        <v/>
      </c>
      <c r="BV32" s="51" t="str">
        <f t="array" aca="1" ref="BV32" ca="1">IFERROR(INDEX(Leccion[selectorLeccion],SMALL(IF(BV$1=Leccion[SubSección],MATCH(ROW(Leccion[SubSección]),ROW(Leccion[SubSección]))),ROW(BU31))),"")</f>
        <v/>
      </c>
      <c r="BW32" s="51" t="str">
        <f t="array" aca="1" ref="BW32" ca="1">IFERROR(INDEX(Leccion[selectorLeccion],SMALL(IF(BW$1=Leccion[SubSección],MATCH(ROW(Leccion[SubSección]),ROW(Leccion[SubSección]))),ROW(BV31))),"")</f>
        <v/>
      </c>
      <c r="BX32" s="51" t="str">
        <f t="array" aca="1" ref="BX32" ca="1">IFERROR(INDEX(Leccion[selectorLeccion],SMALL(IF(BX$1=Leccion[SubSección],MATCH(ROW(Leccion[SubSección]),ROW(Leccion[SubSección]))),ROW(BW31))),"")</f>
        <v/>
      </c>
      <c r="BY32" s="51" t="str">
        <f t="array" aca="1" ref="BY32" ca="1">IFERROR(INDEX(Leccion[selectorLeccion],SMALL(IF(BY$1=Leccion[SubSección],MATCH(ROW(Leccion[SubSección]),ROW(Leccion[SubSección]))),ROW(BX31))),"")</f>
        <v/>
      </c>
      <c r="BZ32" s="51" t="str">
        <f t="array" aca="1" ref="BZ32" ca="1">IFERROR(INDEX(Leccion[selectorLeccion],SMALL(IF(BZ$1=Leccion[SubSección],MATCH(ROW(Leccion[SubSección]),ROW(Leccion[SubSección]))),ROW(BY31))),"")</f>
        <v/>
      </c>
      <c r="CA32" s="51" t="str">
        <f t="array" aca="1" ref="CA32" ca="1">IFERROR(INDEX(Leccion[selectorLeccion],SMALL(IF(CA$1=Leccion[SubSección],MATCH(ROW(Leccion[SubSección]),ROW(Leccion[SubSección]))),ROW(BZ31))),"")</f>
        <v/>
      </c>
      <c r="CB32" s="51" t="str">
        <f t="array" aca="1" ref="CB32" ca="1">IFERROR(INDEX(Leccion[selectorLeccion],SMALL(IF(CB$1=Leccion[SubSección],MATCH(ROW(Leccion[SubSección]),ROW(Leccion[SubSección]))),ROW(CA31))),"")</f>
        <v/>
      </c>
      <c r="CC32" s="51" t="str">
        <f t="array" aca="1" ref="CC32" ca="1">IFERROR(INDEX(Leccion[selectorLeccion],SMALL(IF(CC$1=Leccion[SubSección],MATCH(ROW(Leccion[SubSección]),ROW(Leccion[SubSección]))),ROW(CB31))),"")</f>
        <v/>
      </c>
      <c r="CD32" s="51" t="str">
        <f t="array" aca="1" ref="CD32" ca="1">IFERROR(INDEX(Leccion[selectorLeccion],SMALL(IF(CD$1=Leccion[SubSección],MATCH(ROW(Leccion[SubSección]),ROW(Leccion[SubSección]))),ROW(CC31))),"")</f>
        <v/>
      </c>
      <c r="CE32" s="51" t="str">
        <f t="array" aca="1" ref="CE32" ca="1">IFERROR(INDEX(Leccion[selectorLeccion],SMALL(IF(CE$1=Leccion[SubSección],MATCH(ROW(Leccion[SubSección]),ROW(Leccion[SubSección]))),ROW(CD31))),"")</f>
        <v/>
      </c>
      <c r="CF32" s="51" t="str">
        <f t="array" aca="1" ref="CF32" ca="1">IFERROR(INDEX(Leccion[selectorLeccion],SMALL(IF(CF$1=Leccion[SubSección],MATCH(ROW(Leccion[SubSección]),ROW(Leccion[SubSección]))),ROW(CE31))),"")</f>
        <v/>
      </c>
      <c r="CG32" s="51" t="str">
        <f t="array" aca="1" ref="CG32" ca="1">IFERROR(INDEX(Leccion[selectorLeccion],SMALL(IF(CG$1=Leccion[SubSección],MATCH(ROW(Leccion[SubSección]),ROW(Leccion[SubSección]))),ROW(CF31))),"")</f>
        <v/>
      </c>
      <c r="CH32" s="51" t="str">
        <f t="array" aca="1" ref="CH32" ca="1">IFERROR(INDEX(Leccion[selectorLeccion],SMALL(IF(CH$1=Leccion[SubSección],MATCH(ROW(Leccion[SubSección]),ROW(Leccion[SubSección]))),ROW(CG31))),"")</f>
        <v/>
      </c>
      <c r="CI32" s="51" t="str">
        <f t="array" aca="1" ref="CI32" ca="1">IFERROR(INDEX(Leccion[selectorLeccion],SMALL(IF(CI$1=Leccion[SubSección],MATCH(ROW(Leccion[SubSección]),ROW(Leccion[SubSección]))),ROW(CH31))),"")</f>
        <v/>
      </c>
      <c r="CJ32" s="51" t="str">
        <f t="array" aca="1" ref="CJ32" ca="1">IFERROR(INDEX(Leccion[selectorLeccion],SMALL(IF(CJ$1=Leccion[SubSección],MATCH(ROW(Leccion[SubSección]),ROW(Leccion[SubSección]))),ROW(CI31))),"")</f>
        <v/>
      </c>
      <c r="CK32" s="51" t="str">
        <f t="array" aca="1" ref="CK32" ca="1">IFERROR(INDEX(Leccion[selectorLeccion],SMALL(IF(CK$1=Leccion[SubSección],MATCH(ROW(Leccion[SubSección]),ROW(Leccion[SubSección]))),ROW(CJ31))),"")</f>
        <v/>
      </c>
      <c r="CL32" s="51" t="str">
        <f t="array" aca="1" ref="CL32" ca="1">IFERROR(INDEX(Leccion[selectorLeccion],SMALL(IF(CL$1=Leccion[SubSección],MATCH(ROW(Leccion[SubSección]),ROW(Leccion[SubSección]))),ROW(CK31))),"")</f>
        <v/>
      </c>
      <c r="CM32" s="51" t="str">
        <f t="array" aca="1" ref="CM32" ca="1">IFERROR(INDEX(Leccion[selectorLeccion],SMALL(IF(CM$1=Leccion[SubSección],MATCH(ROW(Leccion[SubSección]),ROW(Leccion[SubSección]))),ROW(CL31))),"")</f>
        <v/>
      </c>
      <c r="CN32" s="51" t="str">
        <f t="array" aca="1" ref="CN32" ca="1">IFERROR(INDEX(Leccion[selectorLeccion],SMALL(IF(CN$1=Leccion[SubSección],MATCH(ROW(Leccion[SubSección]),ROW(Leccion[SubSección]))),ROW(CM31))),"")</f>
        <v/>
      </c>
      <c r="CO32" s="51" t="str">
        <f t="array" aca="1" ref="CO32" ca="1">IFERROR(INDEX(Leccion[selectorLeccion],SMALL(IF(CO$1=Leccion[SubSección],MATCH(ROW(Leccion[SubSección]),ROW(Leccion[SubSección]))),ROW(CN31))),"")</f>
        <v/>
      </c>
      <c r="CP32" s="51" t="str">
        <f t="array" aca="1" ref="CP32" ca="1">IFERROR(INDEX(Leccion[selectorLeccion],SMALL(IF(CP$1=Leccion[SubSección],MATCH(ROW(Leccion[SubSección]),ROW(Leccion[SubSección]))),ROW(CO31))),"")</f>
        <v/>
      </c>
      <c r="CQ32" s="51" t="str">
        <f t="array" aca="1" ref="CQ32" ca="1">IFERROR(INDEX(Leccion[selectorLeccion],SMALL(IF(CQ$1=Leccion[SubSección],MATCH(ROW(Leccion[SubSección]),ROW(Leccion[SubSección]))),ROW(CP31))),"")</f>
        <v/>
      </c>
      <c r="CR32" s="51" t="str">
        <f t="array" aca="1" ref="CR32" ca="1">IFERROR(INDEX(Leccion[selectorLeccion],SMALL(IF(CR$1=Leccion[SubSección],MATCH(ROW(Leccion[SubSección]),ROW(Leccion[SubSección]))),ROW(CQ31))),"")</f>
        <v/>
      </c>
      <c r="CS32" s="51" t="str">
        <f t="array" aca="1" ref="CS32" ca="1">IFERROR(INDEX(Leccion[selectorLeccion],SMALL(IF(CS$1=Leccion[SubSección],MATCH(ROW(Leccion[SubSección]),ROW(Leccion[SubSección]))),ROW(CR31))),"")</f>
        <v/>
      </c>
      <c r="CT32" s="51" t="str">
        <f t="array" aca="1" ref="CT32" ca="1">IFERROR(INDEX(Leccion[selectorLeccion],SMALL(IF(CT$1=Leccion[SubSección],MATCH(ROW(Leccion[SubSección]),ROW(Leccion[SubSección]))),ROW(CS31))),"")</f>
        <v/>
      </c>
      <c r="CU32" s="51" t="str">
        <f t="array" aca="1" ref="CU32" ca="1">IFERROR(INDEX(Leccion[selectorLeccion],SMALL(IF(CU$1=Leccion[SubSección],MATCH(ROW(Leccion[SubSección]),ROW(Leccion[SubSección]))),ROW(CT31))),"")</f>
        <v/>
      </c>
      <c r="CV32" s="51" t="str">
        <f t="array" aca="1" ref="CV32" ca="1">IFERROR(INDEX(Leccion[selectorLeccion],SMALL(IF(CV$1=Leccion[SubSección],MATCH(ROW(Leccion[SubSección]),ROW(Leccion[SubSección]))),ROW(CU31))),"")</f>
        <v/>
      </c>
      <c r="CW32" s="51" t="str">
        <f t="array" aca="1" ref="CW32" ca="1">IFERROR(INDEX(Leccion[selectorLeccion],SMALL(IF(CW$1=Leccion[SubSección],MATCH(ROW(Leccion[SubSección]),ROW(Leccion[SubSección]))),ROW(CV31))),"")</f>
        <v/>
      </c>
      <c r="CX32" s="51" t="str">
        <f t="array" aca="1" ref="CX32" ca="1">IFERROR(INDEX(Leccion[selectorLeccion],SMALL(IF(CX$1=Leccion[SubSección],MATCH(ROW(Leccion[SubSección]),ROW(Leccion[SubSección]))),ROW(CW31))),"")</f>
        <v/>
      </c>
      <c r="CY32" s="51" t="str">
        <f t="array" aca="1" ref="CY32" ca="1">IFERROR(INDEX(Leccion[selectorLeccion],SMALL(IF(CY$1=Leccion[SubSección],MATCH(ROW(Leccion[SubSección]),ROW(Leccion[SubSección]))),ROW(CX31))),"")</f>
        <v/>
      </c>
      <c r="CZ32" s="51" t="str">
        <f t="array" aca="1" ref="CZ32" ca="1">IFERROR(INDEX(Leccion[selectorLeccion],SMALL(IF(CZ$1=Leccion[SubSección],MATCH(ROW(Leccion[SubSección]),ROW(Leccion[SubSección]))),ROW(CY31))),"")</f>
        <v/>
      </c>
      <c r="DA32" s="51" t="str">
        <f t="array" aca="1" ref="DA32" ca="1">IFERROR(INDEX(Leccion[selectorLeccion],SMALL(IF(DA$1=Leccion[SubSección],MATCH(ROW(Leccion[SubSección]),ROW(Leccion[SubSección]))),ROW(CZ31))),"")</f>
        <v/>
      </c>
      <c r="DB32" s="51" t="str">
        <f t="array" aca="1" ref="DB32" ca="1">IFERROR(INDEX(Leccion[selectorLeccion],SMALL(IF(DB$1=Leccion[SubSección],MATCH(ROW(Leccion[SubSección]),ROW(Leccion[SubSección]))),ROW(DA31))),"")</f>
        <v/>
      </c>
      <c r="DC32" s="51" t="str">
        <f t="array" aca="1" ref="DC32" ca="1">IFERROR(INDEX(Leccion[selectorLeccion],SMALL(IF(DC$1=Leccion[SubSección],MATCH(ROW(Leccion[SubSección]),ROW(Leccion[SubSección]))),ROW(DB31))),"")</f>
        <v/>
      </c>
      <c r="DD32" s="51" t="str">
        <f t="array" aca="1" ref="DD32" ca="1">IFERROR(INDEX(Leccion[selectorLeccion],SMALL(IF(DD$1=Leccion[SubSección],MATCH(ROW(Leccion[SubSección]),ROW(Leccion[SubSección]))),ROW(DC31))),"")</f>
        <v/>
      </c>
      <c r="DE32" s="51" t="str">
        <f t="array" aca="1" ref="DE32" ca="1">IFERROR(INDEX(Leccion[selectorLeccion],SMALL(IF(DE$1=Leccion[SubSección],MATCH(ROW(Leccion[SubSección]),ROW(Leccion[SubSección]))),ROW(DD31))),"")</f>
        <v/>
      </c>
      <c r="DF32" s="51" t="str">
        <f t="array" aca="1" ref="DF32" ca="1">IFERROR(INDEX(Leccion[selectorLeccion],SMALL(IF(DF$1=Leccion[SubSección],MATCH(ROW(Leccion[SubSección]),ROW(Leccion[SubSección]))),ROW(DE31))),"")</f>
        <v/>
      </c>
      <c r="DG32" s="51" t="str">
        <f t="array" aca="1" ref="DG32" ca="1">IFERROR(INDEX(Leccion[selectorLeccion],SMALL(IF(DG$1=Leccion[SubSección],MATCH(ROW(Leccion[SubSección]),ROW(Leccion[SubSección]))),ROW(DF31))),"")</f>
        <v/>
      </c>
      <c r="DH32" s="51" t="str">
        <f t="array" aca="1" ref="DH32" ca="1">IFERROR(INDEX(Leccion[selectorLeccion],SMALL(IF(DH$1=Leccion[SubSección],MATCH(ROW(Leccion[SubSección]),ROW(Leccion[SubSección]))),ROW(DG31))),"")</f>
        <v/>
      </c>
      <c r="DI32" s="51" t="str">
        <f t="array" aca="1" ref="DI32" ca="1">IFERROR(INDEX(Leccion[selectorLeccion],SMALL(IF(DI$1=Leccion[SubSección],MATCH(ROW(Leccion[SubSección]),ROW(Leccion[SubSección]))),ROW(DH31))),"")</f>
        <v/>
      </c>
      <c r="DJ32" s="51" t="str">
        <f t="array" aca="1" ref="DJ32" ca="1">IFERROR(INDEX(Leccion[selectorLeccion],SMALL(IF(DJ$1=Leccion[SubSección],MATCH(ROW(Leccion[SubSección]),ROW(Leccion[SubSección]))),ROW(DI31))),"")</f>
        <v/>
      </c>
      <c r="DK32" s="51" t="str">
        <f t="array" aca="1" ref="DK32" ca="1">IFERROR(INDEX(Leccion[selectorLeccion],SMALL(IF(DK$1=Leccion[SubSección],MATCH(ROW(Leccion[SubSección]),ROW(Leccion[SubSección]))),ROW(DJ31))),"")</f>
        <v/>
      </c>
      <c r="DL32" s="51" t="str">
        <f t="array" aca="1" ref="DL32" ca="1">IFERROR(INDEX(Leccion[selectorLeccion],SMALL(IF(DL$1=Leccion[SubSección],MATCH(ROW(Leccion[SubSección]),ROW(Leccion[SubSección]))),ROW(DK31))),"")</f>
        <v/>
      </c>
      <c r="DM32" s="51" t="str">
        <f t="array" aca="1" ref="DM32" ca="1">IFERROR(INDEX(Leccion[selectorLeccion],SMALL(IF(DM$1=Leccion[SubSección],MATCH(ROW(Leccion[SubSección]),ROW(Leccion[SubSección]))),ROW(DL31))),"")</f>
        <v/>
      </c>
      <c r="DN32" s="51" t="str">
        <f t="array" aca="1" ref="DN32" ca="1">IFERROR(INDEX(Leccion[selectorLeccion],SMALL(IF(DN$1=Leccion[SubSección],MATCH(ROW(Leccion[SubSección]),ROW(Leccion[SubSección]))),ROW(DM31))),"")</f>
        <v/>
      </c>
      <c r="DO32" s="51" t="str">
        <f t="array" aca="1" ref="DO32" ca="1">IFERROR(INDEX(Leccion[selectorLeccion],SMALL(IF(DO$1=Leccion[SubSección],MATCH(ROW(Leccion[SubSección]),ROW(Leccion[SubSección]))),ROW(DN31))),"")</f>
        <v/>
      </c>
      <c r="DP32" s="51" t="str">
        <f t="array" aca="1" ref="DP32" ca="1">IFERROR(INDEX(Leccion[selectorLeccion],SMALL(IF(DP$1=Leccion[SubSección],MATCH(ROW(Leccion[SubSección]),ROW(Leccion[SubSección]))),ROW(DO31))),"")</f>
        <v/>
      </c>
      <c r="DQ32" s="51" t="str">
        <f t="array" aca="1" ref="DQ32" ca="1">IFERROR(INDEX(Leccion[selectorLeccion],SMALL(IF(DQ$1=Leccion[SubSección],MATCH(ROW(Leccion[SubSección]),ROW(Leccion[SubSección]))),ROW(DP31))),"")</f>
        <v/>
      </c>
      <c r="DR32" s="51" t="str">
        <f t="array" aca="1" ref="DR32" ca="1">IFERROR(INDEX(Leccion[selectorLeccion],SMALL(IF(DR$1=Leccion[SubSección],MATCH(ROW(Leccion[SubSección]),ROW(Leccion[SubSección]))),ROW(DQ31))),"")</f>
        <v/>
      </c>
      <c r="DS32" s="51" t="str">
        <f t="array" aca="1" ref="DS32" ca="1">IFERROR(INDEX(Leccion[selectorLeccion],SMALL(IF(DS$1=Leccion[SubSección],MATCH(ROW(Leccion[SubSección]),ROW(Leccion[SubSección]))),ROW(DR31))),"")</f>
        <v/>
      </c>
      <c r="DT32" s="51" t="str">
        <f t="array" aca="1" ref="DT32" ca="1">IFERROR(INDEX(Leccion[selectorLeccion],SMALL(IF(DT$1=Leccion[SubSección],MATCH(ROW(Leccion[SubSección]),ROW(Leccion[SubSección]))),ROW(DS31))),"")</f>
        <v/>
      </c>
      <c r="DU32" s="51" t="str">
        <f t="array" aca="1" ref="DU32" ca="1">IFERROR(INDEX(Leccion[selectorLeccion],SMALL(IF(DU$1=Leccion[SubSección],MATCH(ROW(Leccion[SubSección]),ROW(Leccion[SubSección]))),ROW(DT31))),"")</f>
        <v/>
      </c>
      <c r="DV32" s="51" t="str">
        <f t="array" aca="1" ref="DV32" ca="1">IFERROR(INDEX(Leccion[selectorLeccion],SMALL(IF(DV$1=Leccion[SubSección],MATCH(ROW(Leccion[SubSección]),ROW(Leccion[SubSección]))),ROW(DU31))),"")</f>
        <v/>
      </c>
      <c r="DW32" s="51" t="str">
        <f t="array" aca="1" ref="DW32" ca="1">IFERROR(INDEX(Leccion[selectorLeccion],SMALL(IF(DW$1=Leccion[SubSección],MATCH(ROW(Leccion[SubSección]),ROW(Leccion[SubSección]))),ROW(DV31))),"")</f>
        <v/>
      </c>
      <c r="DX32" s="51" t="str">
        <f t="array" aca="1" ref="DX32" ca="1">IFERROR(INDEX(Leccion[selectorLeccion],SMALL(IF(DX$1=Leccion[SubSección],MATCH(ROW(Leccion[SubSección]),ROW(Leccion[SubSección]))),ROW(DW31))),"")</f>
        <v/>
      </c>
      <c r="DY32" s="51" t="str">
        <f t="array" aca="1" ref="DY32" ca="1">IFERROR(INDEX(Leccion[selectorLeccion],SMALL(IF(DY$1=Leccion[SubSección],MATCH(ROW(Leccion[SubSección]),ROW(Leccion[SubSección]))),ROW(DX31))),"")</f>
        <v/>
      </c>
      <c r="DZ32" s="51" t="str">
        <f t="array" aca="1" ref="DZ32" ca="1">IFERROR(INDEX(Leccion[selectorLeccion],SMALL(IF(DZ$1=Leccion[SubSección],MATCH(ROW(Leccion[SubSección]),ROW(Leccion[SubSección]))),ROW(DY31))),"")</f>
        <v/>
      </c>
      <c r="EA32" s="51" t="str">
        <f t="array" aca="1" ref="EA32" ca="1">IFERROR(INDEX(Leccion[selectorLeccion],SMALL(IF(EA$1=Leccion[SubSección],MATCH(ROW(Leccion[SubSección]),ROW(Leccion[SubSección]))),ROW(DZ31))),"")</f>
        <v/>
      </c>
      <c r="EB32" s="51" t="str">
        <f t="array" aca="1" ref="EB32" ca="1">IFERROR(INDEX(Leccion[selectorLeccion],SMALL(IF(EB$1=Leccion[SubSección],MATCH(ROW(Leccion[SubSección]),ROW(Leccion[SubSección]))),ROW(EA31))),"")</f>
        <v/>
      </c>
      <c r="EC32" s="51" t="str">
        <f t="array" aca="1" ref="EC32" ca="1">IFERROR(INDEX(Leccion[selectorLeccion],SMALL(IF(EC$1=Leccion[SubSección],MATCH(ROW(Leccion[SubSección]),ROW(Leccion[SubSección]))),ROW(EB31))),"")</f>
        <v/>
      </c>
      <c r="ED32" s="51" t="str">
        <f t="array" aca="1" ref="ED32" ca="1">IFERROR(INDEX(Leccion[selectorLeccion],SMALL(IF(ED$1=Leccion[SubSección],MATCH(ROW(Leccion[SubSección]),ROW(Leccion[SubSección]))),ROW(EC31))),"")</f>
        <v/>
      </c>
      <c r="EE32" s="51" t="str">
        <f t="array" aca="1" ref="EE32" ca="1">IFERROR(INDEX(Leccion[selectorLeccion],SMALL(IF(EE$1=Leccion[SubSección],MATCH(ROW(Leccion[SubSección]),ROW(Leccion[SubSección]))),ROW(ED31))),"")</f>
        <v/>
      </c>
      <c r="EF32" s="51" t="str">
        <f t="array" aca="1" ref="EF32" ca="1">IFERROR(INDEX(Leccion[selectorLeccion],SMALL(IF(EF$1=Leccion[SubSección],MATCH(ROW(Leccion[SubSección]),ROW(Leccion[SubSección]))),ROW(EE31))),"")</f>
        <v/>
      </c>
      <c r="EG32" s="51" t="str">
        <f t="array" aca="1" ref="EG32" ca="1">IFERROR(INDEX(Leccion[selectorLeccion],SMALL(IF(EG$1=Leccion[SubSección],MATCH(ROW(Leccion[SubSección]),ROW(Leccion[SubSección]))),ROW(EF31))),"")</f>
        <v/>
      </c>
      <c r="EH32" s="51" t="str">
        <f t="array" aca="1" ref="EH32" ca="1">IFERROR(INDEX(Leccion[selectorLeccion],SMALL(IF(EH$1=Leccion[SubSección],MATCH(ROW(Leccion[SubSección]),ROW(Leccion[SubSección]))),ROW(EG31))),"")</f>
        <v/>
      </c>
      <c r="EI32" s="51" t="str">
        <f t="array" aca="1" ref="EI32" ca="1">IFERROR(INDEX(Leccion[selectorLeccion],SMALL(IF(EI$1=Leccion[SubSección],MATCH(ROW(Leccion[SubSección]),ROW(Leccion[SubSección]))),ROW(EH31))),"")</f>
        <v/>
      </c>
      <c r="EJ32" s="51" t="str">
        <f t="array" aca="1" ref="EJ32" ca="1">IFERROR(INDEX(Leccion[selectorLeccion],SMALL(IF(EJ$1=Leccion[SubSección],MATCH(ROW(Leccion[SubSección]),ROW(Leccion[SubSección]))),ROW(EI31))),"")</f>
        <v/>
      </c>
      <c r="EK32" s="51" t="str">
        <f t="array" aca="1" ref="EK32" ca="1">IFERROR(INDEX(Leccion[selectorLeccion],SMALL(IF(EK$1=Leccion[SubSección],MATCH(ROW(Leccion[SubSección]),ROW(Leccion[SubSección]))),ROW(EJ31))),"")</f>
        <v/>
      </c>
      <c r="EL32" s="51" t="str">
        <f t="array" aca="1" ref="EL32" ca="1">IFERROR(INDEX(Leccion[selectorLeccion],SMALL(IF(EL$1=Leccion[SubSección],MATCH(ROW(Leccion[SubSección]),ROW(Leccion[SubSección]))),ROW(EK31))),"")</f>
        <v/>
      </c>
      <c r="EM32" s="51" t="str">
        <f t="array" aca="1" ref="EM32" ca="1">IFERROR(INDEX(Leccion[selectorLeccion],SMALL(IF(EM$1=Leccion[SubSección],MATCH(ROW(Leccion[SubSección]),ROW(Leccion[SubSección]))),ROW(EL31))),"")</f>
        <v/>
      </c>
      <c r="EN32" s="51" t="str">
        <f t="array" aca="1" ref="EN32" ca="1">IFERROR(INDEX(Leccion[selectorLeccion],SMALL(IF(EN$1=Leccion[SubSección],MATCH(ROW(Leccion[SubSección]),ROW(Leccion[SubSección]))),ROW(EM31))),"")</f>
        <v/>
      </c>
      <c r="EO32" s="51" t="str">
        <f t="array" aca="1" ref="EO32" ca="1">IFERROR(INDEX(Leccion[selectorLeccion],SMALL(IF(EO$1=Leccion[SubSección],MATCH(ROW(Leccion[SubSección]),ROW(Leccion[SubSección]))),ROW(EN31))),"")</f>
        <v/>
      </c>
      <c r="EP32" s="51" t="str">
        <f t="array" aca="1" ref="EP32" ca="1">IFERROR(INDEX(Leccion[selectorLeccion],SMALL(IF(EP$1=Leccion[SubSección],MATCH(ROW(Leccion[SubSección]),ROW(Leccion[SubSección]))),ROW(EO31))),"")</f>
        <v/>
      </c>
      <c r="EQ32" s="51" t="str">
        <f t="array" aca="1" ref="EQ32" ca="1">IFERROR(INDEX(Leccion[selectorLeccion],SMALL(IF(EQ$1=Leccion[SubSección],MATCH(ROW(Leccion[SubSección]),ROW(Leccion[SubSección]))),ROW(EP31))),"")</f>
        <v/>
      </c>
      <c r="ER32" s="51" t="str">
        <f t="array" aca="1" ref="ER32" ca="1">IFERROR(INDEX(Leccion[selectorLeccion],SMALL(IF(ER$1=Leccion[SubSección],MATCH(ROW(Leccion[SubSección]),ROW(Leccion[SubSección]))),ROW(EQ31))),"")</f>
        <v/>
      </c>
      <c r="ES32" s="51" t="str">
        <f t="array" aca="1" ref="ES32" ca="1">IFERROR(INDEX(Leccion[selectorLeccion],SMALL(IF(ES$1=Leccion[SubSección],MATCH(ROW(Leccion[SubSección]),ROW(Leccion[SubSección]))),ROW(ER31))),"")</f>
        <v/>
      </c>
      <c r="ET32" s="51" t="str">
        <f t="array" aca="1" ref="ET32" ca="1">IFERROR(INDEX(Leccion[selectorLeccion],SMALL(IF(ET$1=Leccion[SubSección],MATCH(ROW(Leccion[SubSección]),ROW(Leccion[SubSección]))),ROW(ES31))),"")</f>
        <v/>
      </c>
      <c r="EU32" s="51" t="str">
        <f t="array" aca="1" ref="EU32" ca="1">IFERROR(INDEX(Leccion[selectorLeccion],SMALL(IF(EU$1=Leccion[SubSección],MATCH(ROW(Leccion[SubSección]),ROW(Leccion[SubSección]))),ROW(ET31))),"")</f>
        <v/>
      </c>
      <c r="EV32" s="51" t="str">
        <f t="array" aca="1" ref="EV32" ca="1">IFERROR(INDEX(Leccion[selectorLeccion],SMALL(IF(EV$1=Leccion[SubSección],MATCH(ROW(Leccion[SubSección]),ROW(Leccion[SubSección]))),ROW(EU31))),"")</f>
        <v/>
      </c>
      <c r="EW32" s="51" t="str">
        <f t="array" aca="1" ref="EW32" ca="1">IFERROR(INDEX(Leccion[selectorLeccion],SMALL(IF(EW$1=Leccion[SubSección],MATCH(ROW(Leccion[SubSección]),ROW(Leccion[SubSección]))),ROW(EV31))),"")</f>
        <v/>
      </c>
      <c r="EX32" s="51" t="str">
        <f t="array" aca="1" ref="EX32" ca="1">IFERROR(INDEX(Leccion[selectorLeccion],SMALL(IF(EX$1=Leccion[SubSección],MATCH(ROW(Leccion[SubSección]),ROW(Leccion[SubSección]))),ROW(EW31))),"")</f>
        <v/>
      </c>
      <c r="EY32" s="51" t="str">
        <f t="array" aca="1" ref="EY32" ca="1">IFERROR(INDEX(Leccion[selectorLeccion],SMALL(IF(EY$1=Leccion[SubSección],MATCH(ROW(Leccion[SubSección]),ROW(Leccion[SubSección]))),ROW(EX31))),"")</f>
        <v/>
      </c>
      <c r="EZ32" s="51" t="str">
        <f t="array" aca="1" ref="EZ32" ca="1">IFERROR(INDEX(Leccion[selectorLeccion],SMALL(IF(EZ$1=Leccion[SubSección],MATCH(ROW(Leccion[SubSección]),ROW(Leccion[SubSección]))),ROW(EY31))),"")</f>
        <v/>
      </c>
    </row>
    <row r="33" spans="2:156" x14ac:dyDescent="0.3">
      <c r="B33" s="51" t="str">
        <f t="array" aca="1" ref="B33" ca="1">IFERROR(INDEX(Leccion[selectorLeccion],SMALL(IF(B$1=Leccion[SubSección],MATCH(ROW(Leccion[SubSección]),ROW(Leccion[SubSección]))),ROW(A32))),"")</f>
        <v/>
      </c>
      <c r="C33" s="51" t="str">
        <f t="array" aca="1" ref="C33" ca="1">IFERROR(INDEX(Leccion[selectorLeccion],SMALL(IF(C$1=Leccion[SubSección],MATCH(ROW(Leccion[SubSección]),ROW(Leccion[SubSección]))),ROW(B32))),"")</f>
        <v/>
      </c>
      <c r="D33" s="51" t="str">
        <f t="array" aca="1" ref="D33" ca="1">IFERROR(INDEX(Leccion[selectorLeccion],SMALL(IF(D$1=Leccion[SubSección],MATCH(ROW(Leccion[SubSección]),ROW(Leccion[SubSección]))),ROW(C32))),"")</f>
        <v/>
      </c>
      <c r="E33" s="51" t="str">
        <f t="array" aca="1" ref="E33" ca="1">IFERROR(INDEX(Leccion[selectorLeccion],SMALL(IF(E$1=Leccion[SubSección],MATCH(ROW(Leccion[SubSección]),ROW(Leccion[SubSección]))),ROW(D32))),"")</f>
        <v/>
      </c>
      <c r="F33" s="51" t="str">
        <f t="array" aca="1" ref="F33" ca="1">IFERROR(INDEX(Leccion[selectorLeccion],SMALL(IF(F$1=Leccion[SubSección],MATCH(ROW(Leccion[SubSección]),ROW(Leccion[SubSección]))),ROW(E32))),"")</f>
        <v/>
      </c>
      <c r="G33" s="51" t="str">
        <f t="array" aca="1" ref="G33" ca="1">IFERROR(INDEX(Leccion[selectorLeccion],SMALL(IF(G$1=Leccion[SubSección],MATCH(ROW(Leccion[SubSección]),ROW(Leccion[SubSección]))),ROW(F32))),"")</f>
        <v/>
      </c>
      <c r="H33" s="51" t="str">
        <f t="array" aca="1" ref="H33" ca="1">IFERROR(INDEX(Leccion[selectorLeccion],SMALL(IF(H$1=Leccion[SubSección],MATCH(ROW(Leccion[SubSección]),ROW(Leccion[SubSección]))),ROW(G32))),"")</f>
        <v/>
      </c>
      <c r="I33" s="51" t="str">
        <f t="array" aca="1" ref="I33" ca="1">IFERROR(INDEX(Leccion[selectorLeccion],SMALL(IF(I$1=Leccion[SubSección],MATCH(ROW(Leccion[SubSección]),ROW(Leccion[SubSección]))),ROW(H32))),"")</f>
        <v/>
      </c>
      <c r="J33" s="51" t="str">
        <f t="array" aca="1" ref="J33" ca="1">IFERROR(INDEX(Leccion[selectorLeccion],SMALL(IF(J$1=Leccion[SubSección],MATCH(ROW(Leccion[SubSección]),ROW(Leccion[SubSección]))),ROW(I32))),"")</f>
        <v/>
      </c>
      <c r="K33" s="51" t="str">
        <f t="array" aca="1" ref="K33" ca="1">IFERROR(INDEX(Leccion[selectorLeccion],SMALL(IF(K$1=Leccion[SubSección],MATCH(ROW(Leccion[SubSección]),ROW(Leccion[SubSección]))),ROW(J32))),"")</f>
        <v/>
      </c>
      <c r="L33" s="51" t="str">
        <f t="array" aca="1" ref="L33" ca="1">IFERROR(INDEX(Leccion[selectorLeccion],SMALL(IF(L$1=Leccion[SubSección],MATCH(ROW(Leccion[SubSección]),ROW(Leccion[SubSección]))),ROW(K32))),"")</f>
        <v/>
      </c>
      <c r="M33" s="51" t="str">
        <f t="array" aca="1" ref="M33" ca="1">IFERROR(INDEX(Leccion[selectorLeccion],SMALL(IF(M$1=Leccion[SubSección],MATCH(ROW(Leccion[SubSección]),ROW(Leccion[SubSección]))),ROW(L32))),"")</f>
        <v/>
      </c>
      <c r="N33" s="51" t="str">
        <f t="array" aca="1" ref="N33" ca="1">IFERROR(INDEX(Leccion[selectorLeccion],SMALL(IF(N$1=Leccion[SubSección],MATCH(ROW(Leccion[SubSección]),ROW(Leccion[SubSección]))),ROW(M32))),"")</f>
        <v/>
      </c>
      <c r="O33" s="51" t="str">
        <f t="array" aca="1" ref="O33" ca="1">IFERROR(INDEX(Leccion[selectorLeccion],SMALL(IF(O$1=Leccion[SubSección],MATCH(ROW(Leccion[SubSección]),ROW(Leccion[SubSección]))),ROW(N32))),"")</f>
        <v/>
      </c>
      <c r="P33" s="51" t="str">
        <f t="array" aca="1" ref="P33" ca="1">IFERROR(INDEX(Leccion[selectorLeccion],SMALL(IF(P$1=Leccion[SubSección],MATCH(ROW(Leccion[SubSección]),ROW(Leccion[SubSección]))),ROW(O32))),"")</f>
        <v/>
      </c>
      <c r="Q33" s="51" t="str">
        <f t="array" aca="1" ref="Q33" ca="1">IFERROR(INDEX(Leccion[selectorLeccion],SMALL(IF(Q$1=Leccion[SubSección],MATCH(ROW(Leccion[SubSección]),ROW(Leccion[SubSección]))),ROW(P32))),"")</f>
        <v/>
      </c>
      <c r="R33" s="51" t="str">
        <f t="array" aca="1" ref="R33" ca="1">IFERROR(INDEX(Leccion[selectorLeccion],SMALL(IF(R$1=Leccion[SubSección],MATCH(ROW(Leccion[SubSección]),ROW(Leccion[SubSección]))),ROW(Q32))),"")</f>
        <v/>
      </c>
      <c r="S33" s="51" t="str">
        <f t="array" aca="1" ref="S33" ca="1">IFERROR(INDEX(Leccion[selectorLeccion],SMALL(IF(S$1=Leccion[SubSección],MATCH(ROW(Leccion[SubSección]),ROW(Leccion[SubSección]))),ROW(R32))),"")</f>
        <v/>
      </c>
      <c r="T33" s="51" t="str">
        <f t="array" aca="1" ref="T33" ca="1">IFERROR(INDEX(Leccion[selectorLeccion],SMALL(IF(T$1=Leccion[SubSección],MATCH(ROW(Leccion[SubSección]),ROW(Leccion[SubSección]))),ROW(S32))),"")</f>
        <v/>
      </c>
      <c r="U33" s="51" t="str">
        <f t="array" aca="1" ref="U33" ca="1">IFERROR(INDEX(Leccion[selectorLeccion],SMALL(IF(U$1=Leccion[SubSección],MATCH(ROW(Leccion[SubSección]),ROW(Leccion[SubSección]))),ROW(T32))),"")</f>
        <v/>
      </c>
      <c r="V33" s="51" t="str">
        <f t="array" aca="1" ref="V33" ca="1">IFERROR(INDEX(Leccion[selectorLeccion],SMALL(IF(V$1=Leccion[SubSección],MATCH(ROW(Leccion[SubSección]),ROW(Leccion[SubSección]))),ROW(U32))),"")</f>
        <v/>
      </c>
      <c r="W33" s="51" t="str">
        <f t="array" aca="1" ref="W33" ca="1">IFERROR(INDEX(Leccion[selectorLeccion],SMALL(IF(W$1=Leccion[SubSección],MATCH(ROW(Leccion[SubSección]),ROW(Leccion[SubSección]))),ROW(V32))),"")</f>
        <v/>
      </c>
      <c r="X33" s="51" t="str">
        <f t="array" aca="1" ref="X33" ca="1">IFERROR(INDEX(Leccion[selectorLeccion],SMALL(IF(X$1=Leccion[SubSección],MATCH(ROW(Leccion[SubSección]),ROW(Leccion[SubSección]))),ROW(W32))),"")</f>
        <v/>
      </c>
      <c r="Y33" s="51" t="str">
        <f t="array" aca="1" ref="Y33" ca="1">IFERROR(INDEX(Leccion[selectorLeccion],SMALL(IF(Y$1=Leccion[SubSección],MATCH(ROW(Leccion[SubSección]),ROW(Leccion[SubSección]))),ROW(X32))),"")</f>
        <v/>
      </c>
      <c r="Z33" s="51" t="str">
        <f t="array" aca="1" ref="Z33" ca="1">IFERROR(INDEX(Leccion[selectorLeccion],SMALL(IF(Z$1=Leccion[SubSección],MATCH(ROW(Leccion[SubSección]),ROW(Leccion[SubSección]))),ROW(Y32))),"")</f>
        <v/>
      </c>
      <c r="AA33" s="51" t="str">
        <f t="array" aca="1" ref="AA33" ca="1">IFERROR(INDEX(Leccion[selectorLeccion],SMALL(IF(AA$1=Leccion[SubSección],MATCH(ROW(Leccion[SubSección]),ROW(Leccion[SubSección]))),ROW(Z32))),"")</f>
        <v/>
      </c>
      <c r="AB33" s="51" t="str">
        <f t="array" aca="1" ref="AB33" ca="1">IFERROR(INDEX(Leccion[selectorLeccion],SMALL(IF(AB$1=Leccion[SubSección],MATCH(ROW(Leccion[SubSección]),ROW(Leccion[SubSección]))),ROW(AA32))),"")</f>
        <v/>
      </c>
      <c r="AC33" s="51" t="str">
        <f t="array" aca="1" ref="AC33" ca="1">IFERROR(INDEX(Leccion[selectorLeccion],SMALL(IF(AC$1=Leccion[SubSección],MATCH(ROW(Leccion[SubSección]),ROW(Leccion[SubSección]))),ROW(AB32))),"")</f>
        <v/>
      </c>
      <c r="AD33" s="51" t="str">
        <f t="array" aca="1" ref="AD33" ca="1">IFERROR(INDEX(Leccion[selectorLeccion],SMALL(IF(AD$1=Leccion[SubSección],MATCH(ROW(Leccion[SubSección]),ROW(Leccion[SubSección]))),ROW(AC32))),"")</f>
        <v/>
      </c>
      <c r="AE33" s="51" t="str">
        <f t="array" aca="1" ref="AE33" ca="1">IFERROR(INDEX(Leccion[selectorLeccion],SMALL(IF(AE$1=Leccion[SubSección],MATCH(ROW(Leccion[SubSección]),ROW(Leccion[SubSección]))),ROW(AD32))),"")</f>
        <v/>
      </c>
      <c r="AF33" s="51" t="str">
        <f t="array" aca="1" ref="AF33" ca="1">IFERROR(INDEX(Leccion[selectorLeccion],SMALL(IF(AF$1=Leccion[SubSección],MATCH(ROW(Leccion[SubSección]),ROW(Leccion[SubSección]))),ROW(AE32))),"")</f>
        <v/>
      </c>
      <c r="AG33" s="51" t="str">
        <f t="array" aca="1" ref="AG33" ca="1">IFERROR(INDEX(Leccion[selectorLeccion],SMALL(IF(AG$1=Leccion[SubSección],MATCH(ROW(Leccion[SubSección]),ROW(Leccion[SubSección]))),ROW(AF32))),"")</f>
        <v/>
      </c>
      <c r="AH33" s="51" t="str">
        <f t="array" aca="1" ref="AH33" ca="1">IFERROR(INDEX(Leccion[selectorLeccion],SMALL(IF(AH$1=Leccion[SubSección],MATCH(ROW(Leccion[SubSección]),ROW(Leccion[SubSección]))),ROW(AG32))),"")</f>
        <v/>
      </c>
      <c r="AI33" s="51" t="str">
        <f t="array" aca="1" ref="AI33" ca="1">IFERROR(INDEX(Leccion[selectorLeccion],SMALL(IF(AI$1=Leccion[SubSección],MATCH(ROW(Leccion[SubSección]),ROW(Leccion[SubSección]))),ROW(AH32))),"")</f>
        <v/>
      </c>
      <c r="AJ33" s="51" t="str">
        <f t="array" aca="1" ref="AJ33" ca="1">IFERROR(INDEX(Leccion[selectorLeccion],SMALL(IF(AJ$1=Leccion[SubSección],MATCH(ROW(Leccion[SubSección]),ROW(Leccion[SubSección]))),ROW(AI32))),"")</f>
        <v/>
      </c>
      <c r="AK33" s="51" t="str">
        <f t="array" aca="1" ref="AK33" ca="1">IFERROR(INDEX(Leccion[selectorLeccion],SMALL(IF(AK$1=Leccion[SubSección],MATCH(ROW(Leccion[SubSección]),ROW(Leccion[SubSección]))),ROW(AJ32))),"")</f>
        <v/>
      </c>
      <c r="AL33" s="51" t="str">
        <f t="array" aca="1" ref="AL33" ca="1">IFERROR(INDEX(Leccion[selectorLeccion],SMALL(IF(AL$1=Leccion[SubSección],MATCH(ROW(Leccion[SubSección]),ROW(Leccion[SubSección]))),ROW(AK32))),"")</f>
        <v/>
      </c>
      <c r="AM33" s="51" t="str">
        <f t="array" aca="1" ref="AM33" ca="1">IFERROR(INDEX(Leccion[selectorLeccion],SMALL(IF(AM$1=Leccion[SubSección],MATCH(ROW(Leccion[SubSección]),ROW(Leccion[SubSección]))),ROW(AL32))),"")</f>
        <v/>
      </c>
      <c r="AN33" s="51" t="str">
        <f t="array" aca="1" ref="AN33" ca="1">IFERROR(INDEX(Leccion[selectorLeccion],SMALL(IF(AN$1=Leccion[SubSección],MATCH(ROW(Leccion[SubSección]),ROW(Leccion[SubSección]))),ROW(AM32))),"")</f>
        <v/>
      </c>
      <c r="AO33" s="51" t="str">
        <f t="array" aca="1" ref="AO33" ca="1">IFERROR(INDEX(Leccion[selectorLeccion],SMALL(IF(AO$1=Leccion[SubSección],MATCH(ROW(Leccion[SubSección]),ROW(Leccion[SubSección]))),ROW(AN32))),"")</f>
        <v/>
      </c>
      <c r="AP33" s="51" t="str">
        <f t="array" aca="1" ref="AP33" ca="1">IFERROR(INDEX(Leccion[selectorLeccion],SMALL(IF(AP$1=Leccion[SubSección],MATCH(ROW(Leccion[SubSección]),ROW(Leccion[SubSección]))),ROW(AO32))),"")</f>
        <v/>
      </c>
      <c r="AQ33" s="51" t="str">
        <f t="array" aca="1" ref="AQ33" ca="1">IFERROR(INDEX(Leccion[selectorLeccion],SMALL(IF(AQ$1=Leccion[SubSección],MATCH(ROW(Leccion[SubSección]),ROW(Leccion[SubSección]))),ROW(AP32))),"")</f>
        <v/>
      </c>
      <c r="AR33" s="51" t="str">
        <f t="array" aca="1" ref="AR33" ca="1">IFERROR(INDEX(Leccion[selectorLeccion],SMALL(IF(AR$1=Leccion[SubSección],MATCH(ROW(Leccion[SubSección]),ROW(Leccion[SubSección]))),ROW(AQ32))),"")</f>
        <v/>
      </c>
      <c r="AS33" s="51" t="str">
        <f t="array" aca="1" ref="AS33" ca="1">IFERROR(INDEX(Leccion[selectorLeccion],SMALL(IF(AS$1=Leccion[SubSección],MATCH(ROW(Leccion[SubSección]),ROW(Leccion[SubSección]))),ROW(AR32))),"")</f>
        <v/>
      </c>
      <c r="AT33" s="51" t="str">
        <f t="array" aca="1" ref="AT33" ca="1">IFERROR(INDEX(Leccion[selectorLeccion],SMALL(IF(AT$1=Leccion[SubSección],MATCH(ROW(Leccion[SubSección]),ROW(Leccion[SubSección]))),ROW(AS32))),"")</f>
        <v/>
      </c>
      <c r="AU33" s="51" t="str">
        <f t="array" aca="1" ref="AU33" ca="1">IFERROR(INDEX(Leccion[selectorLeccion],SMALL(IF(AU$1=Leccion[SubSección],MATCH(ROW(Leccion[SubSección]),ROW(Leccion[SubSección]))),ROW(AT32))),"")</f>
        <v/>
      </c>
      <c r="AV33" s="51" t="str">
        <f t="array" aca="1" ref="AV33" ca="1">IFERROR(INDEX(Leccion[selectorLeccion],SMALL(IF(AV$1=Leccion[SubSección],MATCH(ROW(Leccion[SubSección]),ROW(Leccion[SubSección]))),ROW(AU32))),"")</f>
        <v/>
      </c>
      <c r="AW33" s="51" t="str">
        <f t="array" aca="1" ref="AW33" ca="1">IFERROR(INDEX(Leccion[selectorLeccion],SMALL(IF(AW$1=Leccion[SubSección],MATCH(ROW(Leccion[SubSección]),ROW(Leccion[SubSección]))),ROW(AV32))),"")</f>
        <v/>
      </c>
      <c r="AX33" s="51" t="str">
        <f t="array" aca="1" ref="AX33" ca="1">IFERROR(INDEX(Leccion[selectorLeccion],SMALL(IF(AX$1=Leccion[SubSección],MATCH(ROW(Leccion[SubSección]),ROW(Leccion[SubSección]))),ROW(AW32))),"")</f>
        <v/>
      </c>
      <c r="AY33" s="51" t="str">
        <f t="array" aca="1" ref="AY33" ca="1">IFERROR(INDEX(Leccion[selectorLeccion],SMALL(IF(AY$1=Leccion[SubSección],MATCH(ROW(Leccion[SubSección]),ROW(Leccion[SubSección]))),ROW(AX32))),"")</f>
        <v/>
      </c>
      <c r="AZ33" s="51" t="str">
        <f t="array" aca="1" ref="AZ33" ca="1">IFERROR(INDEX(Leccion[selectorLeccion],SMALL(IF(AZ$1=Leccion[SubSección],MATCH(ROW(Leccion[SubSección]),ROW(Leccion[SubSección]))),ROW(AY32))),"")</f>
        <v/>
      </c>
      <c r="BA33" s="51" t="str">
        <f t="array" aca="1" ref="BA33" ca="1">IFERROR(INDEX(Leccion[selectorLeccion],SMALL(IF(BA$1=Leccion[SubSección],MATCH(ROW(Leccion[SubSección]),ROW(Leccion[SubSección]))),ROW(AZ32))),"")</f>
        <v/>
      </c>
      <c r="BB33" s="51" t="str">
        <f t="array" aca="1" ref="BB33" ca="1">IFERROR(INDEX(Leccion[selectorLeccion],SMALL(IF(BB$1=Leccion[SubSección],MATCH(ROW(Leccion[SubSección]),ROW(Leccion[SubSección]))),ROW(BA32))),"")</f>
        <v/>
      </c>
      <c r="BC33" s="51" t="str">
        <f t="array" aca="1" ref="BC33" ca="1">IFERROR(INDEX(Leccion[selectorLeccion],SMALL(IF(BC$1=Leccion[SubSección],MATCH(ROW(Leccion[SubSección]),ROW(Leccion[SubSección]))),ROW(BB32))),"")</f>
        <v/>
      </c>
      <c r="BD33" s="51" t="str">
        <f t="array" aca="1" ref="BD33" ca="1">IFERROR(INDEX(Leccion[selectorLeccion],SMALL(IF(BD$1=Leccion[SubSección],MATCH(ROW(Leccion[SubSección]),ROW(Leccion[SubSección]))),ROW(BC32))),"")</f>
        <v/>
      </c>
      <c r="BE33" s="51" t="str">
        <f t="array" aca="1" ref="BE33" ca="1">IFERROR(INDEX(Leccion[selectorLeccion],SMALL(IF(BE$1=Leccion[SubSección],MATCH(ROW(Leccion[SubSección]),ROW(Leccion[SubSección]))),ROW(BD32))),"")</f>
        <v/>
      </c>
      <c r="BF33" s="51" t="str">
        <f t="array" aca="1" ref="BF33" ca="1">IFERROR(INDEX(Leccion[selectorLeccion],SMALL(IF(BF$1=Leccion[SubSección],MATCH(ROW(Leccion[SubSección]),ROW(Leccion[SubSección]))),ROW(BE32))),"")</f>
        <v/>
      </c>
      <c r="BG33" s="51" t="str">
        <f t="array" aca="1" ref="BG33" ca="1">IFERROR(INDEX(Leccion[selectorLeccion],SMALL(IF(BG$1=Leccion[SubSección],MATCH(ROW(Leccion[SubSección]),ROW(Leccion[SubSección]))),ROW(BF32))),"")</f>
        <v/>
      </c>
      <c r="BH33" s="51" t="str">
        <f t="array" aca="1" ref="BH33" ca="1">IFERROR(INDEX(Leccion[selectorLeccion],SMALL(IF(BH$1=Leccion[SubSección],MATCH(ROW(Leccion[SubSección]),ROW(Leccion[SubSección]))),ROW(BG32))),"")</f>
        <v/>
      </c>
      <c r="BI33" s="51" t="str">
        <f t="array" aca="1" ref="BI33" ca="1">IFERROR(INDEX(Leccion[selectorLeccion],SMALL(IF(BI$1=Leccion[SubSección],MATCH(ROW(Leccion[SubSección]),ROW(Leccion[SubSección]))),ROW(BH32))),"")</f>
        <v/>
      </c>
      <c r="BJ33" s="51" t="str">
        <f t="array" aca="1" ref="BJ33" ca="1">IFERROR(INDEX(Leccion[selectorLeccion],SMALL(IF(BJ$1=Leccion[SubSección],MATCH(ROW(Leccion[SubSección]),ROW(Leccion[SubSección]))),ROW(BI32))),"")</f>
        <v/>
      </c>
      <c r="BK33" s="51" t="str">
        <f t="array" aca="1" ref="BK33" ca="1">IFERROR(INDEX(Leccion[selectorLeccion],SMALL(IF(BK$1=Leccion[SubSección],MATCH(ROW(Leccion[SubSección]),ROW(Leccion[SubSección]))),ROW(BJ32))),"")</f>
        <v/>
      </c>
      <c r="BL33" s="51" t="str">
        <f t="array" aca="1" ref="BL33" ca="1">IFERROR(INDEX(Leccion[selectorLeccion],SMALL(IF(BL$1=Leccion[SubSección],MATCH(ROW(Leccion[SubSección]),ROW(Leccion[SubSección]))),ROW(BK32))),"")</f>
        <v/>
      </c>
      <c r="BM33" s="51" t="str">
        <f t="array" aca="1" ref="BM33" ca="1">IFERROR(INDEX(Leccion[selectorLeccion],SMALL(IF(BM$1=Leccion[SubSección],MATCH(ROW(Leccion[SubSección]),ROW(Leccion[SubSección]))),ROW(BL32))),"")</f>
        <v/>
      </c>
      <c r="BN33" s="51" t="str">
        <f t="array" aca="1" ref="BN33" ca="1">IFERROR(INDEX(Leccion[selectorLeccion],SMALL(IF(BN$1=Leccion[SubSección],MATCH(ROW(Leccion[SubSección]),ROW(Leccion[SubSección]))),ROW(BM32))),"")</f>
        <v/>
      </c>
      <c r="BO33" s="51" t="str">
        <f t="array" aca="1" ref="BO33" ca="1">IFERROR(INDEX(Leccion[selectorLeccion],SMALL(IF(BO$1=Leccion[SubSección],MATCH(ROW(Leccion[SubSección]),ROW(Leccion[SubSección]))),ROW(BN32))),"")</f>
        <v/>
      </c>
      <c r="BP33" s="51" t="str">
        <f t="array" aca="1" ref="BP33" ca="1">IFERROR(INDEX(Leccion[selectorLeccion],SMALL(IF(BP$1=Leccion[SubSección],MATCH(ROW(Leccion[SubSección]),ROW(Leccion[SubSección]))),ROW(BO32))),"")</f>
        <v/>
      </c>
      <c r="BQ33" s="51" t="str">
        <f t="array" aca="1" ref="BQ33" ca="1">IFERROR(INDEX(Leccion[selectorLeccion],SMALL(IF(BQ$1=Leccion[SubSección],MATCH(ROW(Leccion[SubSección]),ROW(Leccion[SubSección]))),ROW(BP32))),"")</f>
        <v/>
      </c>
      <c r="BR33" s="51" t="str">
        <f t="array" aca="1" ref="BR33" ca="1">IFERROR(INDEX(Leccion[selectorLeccion],SMALL(IF(BR$1=Leccion[SubSección],MATCH(ROW(Leccion[SubSección]),ROW(Leccion[SubSección]))),ROW(BQ32))),"")</f>
        <v/>
      </c>
      <c r="BS33" s="51" t="str">
        <f t="array" aca="1" ref="BS33" ca="1">IFERROR(INDEX(Leccion[selectorLeccion],SMALL(IF(BS$1=Leccion[SubSección],MATCH(ROW(Leccion[SubSección]),ROW(Leccion[SubSección]))),ROW(BR32))),"")</f>
        <v/>
      </c>
      <c r="BT33" s="51" t="str">
        <f t="array" aca="1" ref="BT33" ca="1">IFERROR(INDEX(Leccion[selectorLeccion],SMALL(IF(BT$1=Leccion[SubSección],MATCH(ROW(Leccion[SubSección]),ROW(Leccion[SubSección]))),ROW(BS32))),"")</f>
        <v/>
      </c>
      <c r="BU33" s="51" t="str">
        <f t="array" aca="1" ref="BU33" ca="1">IFERROR(INDEX(Leccion[selectorLeccion],SMALL(IF(BU$1=Leccion[SubSección],MATCH(ROW(Leccion[SubSección]),ROW(Leccion[SubSección]))),ROW(BT32))),"")</f>
        <v/>
      </c>
      <c r="BV33" s="51" t="str">
        <f t="array" aca="1" ref="BV33" ca="1">IFERROR(INDEX(Leccion[selectorLeccion],SMALL(IF(BV$1=Leccion[SubSección],MATCH(ROW(Leccion[SubSección]),ROW(Leccion[SubSección]))),ROW(BU32))),"")</f>
        <v/>
      </c>
      <c r="BW33" s="51" t="str">
        <f t="array" aca="1" ref="BW33" ca="1">IFERROR(INDEX(Leccion[selectorLeccion],SMALL(IF(BW$1=Leccion[SubSección],MATCH(ROW(Leccion[SubSección]),ROW(Leccion[SubSección]))),ROW(BV32))),"")</f>
        <v/>
      </c>
      <c r="BX33" s="51" t="str">
        <f t="array" aca="1" ref="BX33" ca="1">IFERROR(INDEX(Leccion[selectorLeccion],SMALL(IF(BX$1=Leccion[SubSección],MATCH(ROW(Leccion[SubSección]),ROW(Leccion[SubSección]))),ROW(BW32))),"")</f>
        <v/>
      </c>
      <c r="BY33" s="51" t="str">
        <f t="array" aca="1" ref="BY33" ca="1">IFERROR(INDEX(Leccion[selectorLeccion],SMALL(IF(BY$1=Leccion[SubSección],MATCH(ROW(Leccion[SubSección]),ROW(Leccion[SubSección]))),ROW(BX32))),"")</f>
        <v/>
      </c>
      <c r="BZ33" s="51" t="str">
        <f t="array" aca="1" ref="BZ33" ca="1">IFERROR(INDEX(Leccion[selectorLeccion],SMALL(IF(BZ$1=Leccion[SubSección],MATCH(ROW(Leccion[SubSección]),ROW(Leccion[SubSección]))),ROW(BY32))),"")</f>
        <v/>
      </c>
      <c r="CA33" s="51" t="str">
        <f t="array" aca="1" ref="CA33" ca="1">IFERROR(INDEX(Leccion[selectorLeccion],SMALL(IF(CA$1=Leccion[SubSección],MATCH(ROW(Leccion[SubSección]),ROW(Leccion[SubSección]))),ROW(BZ32))),"")</f>
        <v/>
      </c>
      <c r="CB33" s="51" t="str">
        <f t="array" aca="1" ref="CB33" ca="1">IFERROR(INDEX(Leccion[selectorLeccion],SMALL(IF(CB$1=Leccion[SubSección],MATCH(ROW(Leccion[SubSección]),ROW(Leccion[SubSección]))),ROW(CA32))),"")</f>
        <v/>
      </c>
      <c r="CC33" s="51" t="str">
        <f t="array" aca="1" ref="CC33" ca="1">IFERROR(INDEX(Leccion[selectorLeccion],SMALL(IF(CC$1=Leccion[SubSección],MATCH(ROW(Leccion[SubSección]),ROW(Leccion[SubSección]))),ROW(CB32))),"")</f>
        <v/>
      </c>
      <c r="CD33" s="51" t="str">
        <f t="array" aca="1" ref="CD33" ca="1">IFERROR(INDEX(Leccion[selectorLeccion],SMALL(IF(CD$1=Leccion[SubSección],MATCH(ROW(Leccion[SubSección]),ROW(Leccion[SubSección]))),ROW(CC32))),"")</f>
        <v/>
      </c>
      <c r="CE33" s="51" t="str">
        <f t="array" aca="1" ref="CE33" ca="1">IFERROR(INDEX(Leccion[selectorLeccion],SMALL(IF(CE$1=Leccion[SubSección],MATCH(ROW(Leccion[SubSección]),ROW(Leccion[SubSección]))),ROW(CD32))),"")</f>
        <v/>
      </c>
      <c r="CF33" s="51" t="str">
        <f t="array" aca="1" ref="CF33" ca="1">IFERROR(INDEX(Leccion[selectorLeccion],SMALL(IF(CF$1=Leccion[SubSección],MATCH(ROW(Leccion[SubSección]),ROW(Leccion[SubSección]))),ROW(CE32))),"")</f>
        <v/>
      </c>
      <c r="CG33" s="51" t="str">
        <f t="array" aca="1" ref="CG33" ca="1">IFERROR(INDEX(Leccion[selectorLeccion],SMALL(IF(CG$1=Leccion[SubSección],MATCH(ROW(Leccion[SubSección]),ROW(Leccion[SubSección]))),ROW(CF32))),"")</f>
        <v/>
      </c>
      <c r="CH33" s="51" t="str">
        <f t="array" aca="1" ref="CH33" ca="1">IFERROR(INDEX(Leccion[selectorLeccion],SMALL(IF(CH$1=Leccion[SubSección],MATCH(ROW(Leccion[SubSección]),ROW(Leccion[SubSección]))),ROW(CG32))),"")</f>
        <v/>
      </c>
      <c r="CI33" s="51" t="str">
        <f t="array" aca="1" ref="CI33" ca="1">IFERROR(INDEX(Leccion[selectorLeccion],SMALL(IF(CI$1=Leccion[SubSección],MATCH(ROW(Leccion[SubSección]),ROW(Leccion[SubSección]))),ROW(CH32))),"")</f>
        <v/>
      </c>
      <c r="CJ33" s="51" t="str">
        <f t="array" aca="1" ref="CJ33" ca="1">IFERROR(INDEX(Leccion[selectorLeccion],SMALL(IF(CJ$1=Leccion[SubSección],MATCH(ROW(Leccion[SubSección]),ROW(Leccion[SubSección]))),ROW(CI32))),"")</f>
        <v/>
      </c>
      <c r="CK33" s="51" t="str">
        <f t="array" aca="1" ref="CK33" ca="1">IFERROR(INDEX(Leccion[selectorLeccion],SMALL(IF(CK$1=Leccion[SubSección],MATCH(ROW(Leccion[SubSección]),ROW(Leccion[SubSección]))),ROW(CJ32))),"")</f>
        <v/>
      </c>
      <c r="CL33" s="51" t="str">
        <f t="array" aca="1" ref="CL33" ca="1">IFERROR(INDEX(Leccion[selectorLeccion],SMALL(IF(CL$1=Leccion[SubSección],MATCH(ROW(Leccion[SubSección]),ROW(Leccion[SubSección]))),ROW(CK32))),"")</f>
        <v/>
      </c>
      <c r="CM33" s="51" t="str">
        <f t="array" aca="1" ref="CM33" ca="1">IFERROR(INDEX(Leccion[selectorLeccion],SMALL(IF(CM$1=Leccion[SubSección],MATCH(ROW(Leccion[SubSección]),ROW(Leccion[SubSección]))),ROW(CL32))),"")</f>
        <v/>
      </c>
      <c r="CN33" s="51" t="str">
        <f t="array" aca="1" ref="CN33" ca="1">IFERROR(INDEX(Leccion[selectorLeccion],SMALL(IF(CN$1=Leccion[SubSección],MATCH(ROW(Leccion[SubSección]),ROW(Leccion[SubSección]))),ROW(CM32))),"")</f>
        <v/>
      </c>
      <c r="CO33" s="51" t="str">
        <f t="array" aca="1" ref="CO33" ca="1">IFERROR(INDEX(Leccion[selectorLeccion],SMALL(IF(CO$1=Leccion[SubSección],MATCH(ROW(Leccion[SubSección]),ROW(Leccion[SubSección]))),ROW(CN32))),"")</f>
        <v/>
      </c>
      <c r="CP33" s="51" t="str">
        <f t="array" aca="1" ref="CP33" ca="1">IFERROR(INDEX(Leccion[selectorLeccion],SMALL(IF(CP$1=Leccion[SubSección],MATCH(ROW(Leccion[SubSección]),ROW(Leccion[SubSección]))),ROW(CO32))),"")</f>
        <v/>
      </c>
      <c r="CQ33" s="51" t="str">
        <f t="array" aca="1" ref="CQ33" ca="1">IFERROR(INDEX(Leccion[selectorLeccion],SMALL(IF(CQ$1=Leccion[SubSección],MATCH(ROW(Leccion[SubSección]),ROW(Leccion[SubSección]))),ROW(CP32))),"")</f>
        <v/>
      </c>
      <c r="CR33" s="51" t="str">
        <f t="array" aca="1" ref="CR33" ca="1">IFERROR(INDEX(Leccion[selectorLeccion],SMALL(IF(CR$1=Leccion[SubSección],MATCH(ROW(Leccion[SubSección]),ROW(Leccion[SubSección]))),ROW(CQ32))),"")</f>
        <v/>
      </c>
      <c r="CS33" s="51" t="str">
        <f t="array" aca="1" ref="CS33" ca="1">IFERROR(INDEX(Leccion[selectorLeccion],SMALL(IF(CS$1=Leccion[SubSección],MATCH(ROW(Leccion[SubSección]),ROW(Leccion[SubSección]))),ROW(CR32))),"")</f>
        <v/>
      </c>
      <c r="CT33" s="51" t="str">
        <f t="array" aca="1" ref="CT33" ca="1">IFERROR(INDEX(Leccion[selectorLeccion],SMALL(IF(CT$1=Leccion[SubSección],MATCH(ROW(Leccion[SubSección]),ROW(Leccion[SubSección]))),ROW(CS32))),"")</f>
        <v/>
      </c>
      <c r="CU33" s="51" t="str">
        <f t="array" aca="1" ref="CU33" ca="1">IFERROR(INDEX(Leccion[selectorLeccion],SMALL(IF(CU$1=Leccion[SubSección],MATCH(ROW(Leccion[SubSección]),ROW(Leccion[SubSección]))),ROW(CT32))),"")</f>
        <v/>
      </c>
      <c r="CV33" s="51" t="str">
        <f t="array" aca="1" ref="CV33" ca="1">IFERROR(INDEX(Leccion[selectorLeccion],SMALL(IF(CV$1=Leccion[SubSección],MATCH(ROW(Leccion[SubSección]),ROW(Leccion[SubSección]))),ROW(CU32))),"")</f>
        <v/>
      </c>
      <c r="CW33" s="51" t="str">
        <f t="array" aca="1" ref="CW33" ca="1">IFERROR(INDEX(Leccion[selectorLeccion],SMALL(IF(CW$1=Leccion[SubSección],MATCH(ROW(Leccion[SubSección]),ROW(Leccion[SubSección]))),ROW(CV32))),"")</f>
        <v/>
      </c>
      <c r="CX33" s="51" t="str">
        <f t="array" aca="1" ref="CX33" ca="1">IFERROR(INDEX(Leccion[selectorLeccion],SMALL(IF(CX$1=Leccion[SubSección],MATCH(ROW(Leccion[SubSección]),ROW(Leccion[SubSección]))),ROW(CW32))),"")</f>
        <v/>
      </c>
      <c r="CY33" s="51" t="str">
        <f t="array" aca="1" ref="CY33" ca="1">IFERROR(INDEX(Leccion[selectorLeccion],SMALL(IF(CY$1=Leccion[SubSección],MATCH(ROW(Leccion[SubSección]),ROW(Leccion[SubSección]))),ROW(CX32))),"")</f>
        <v/>
      </c>
      <c r="CZ33" s="51" t="str">
        <f t="array" aca="1" ref="CZ33" ca="1">IFERROR(INDEX(Leccion[selectorLeccion],SMALL(IF(CZ$1=Leccion[SubSección],MATCH(ROW(Leccion[SubSección]),ROW(Leccion[SubSección]))),ROW(CY32))),"")</f>
        <v/>
      </c>
      <c r="DA33" s="51" t="str">
        <f t="array" aca="1" ref="DA33" ca="1">IFERROR(INDEX(Leccion[selectorLeccion],SMALL(IF(DA$1=Leccion[SubSección],MATCH(ROW(Leccion[SubSección]),ROW(Leccion[SubSección]))),ROW(CZ32))),"")</f>
        <v/>
      </c>
      <c r="DB33" s="51" t="str">
        <f t="array" aca="1" ref="DB33" ca="1">IFERROR(INDEX(Leccion[selectorLeccion],SMALL(IF(DB$1=Leccion[SubSección],MATCH(ROW(Leccion[SubSección]),ROW(Leccion[SubSección]))),ROW(DA32))),"")</f>
        <v/>
      </c>
      <c r="DC33" s="51" t="str">
        <f t="array" aca="1" ref="DC33" ca="1">IFERROR(INDEX(Leccion[selectorLeccion],SMALL(IF(DC$1=Leccion[SubSección],MATCH(ROW(Leccion[SubSección]),ROW(Leccion[SubSección]))),ROW(DB32))),"")</f>
        <v/>
      </c>
      <c r="DD33" s="51" t="str">
        <f t="array" aca="1" ref="DD33" ca="1">IFERROR(INDEX(Leccion[selectorLeccion],SMALL(IF(DD$1=Leccion[SubSección],MATCH(ROW(Leccion[SubSección]),ROW(Leccion[SubSección]))),ROW(DC32))),"")</f>
        <v/>
      </c>
      <c r="DE33" s="51" t="str">
        <f t="array" aca="1" ref="DE33" ca="1">IFERROR(INDEX(Leccion[selectorLeccion],SMALL(IF(DE$1=Leccion[SubSección],MATCH(ROW(Leccion[SubSección]),ROW(Leccion[SubSección]))),ROW(DD32))),"")</f>
        <v/>
      </c>
      <c r="DF33" s="51" t="str">
        <f t="array" aca="1" ref="DF33" ca="1">IFERROR(INDEX(Leccion[selectorLeccion],SMALL(IF(DF$1=Leccion[SubSección],MATCH(ROW(Leccion[SubSección]),ROW(Leccion[SubSección]))),ROW(DE32))),"")</f>
        <v/>
      </c>
      <c r="DG33" s="51" t="str">
        <f t="array" aca="1" ref="DG33" ca="1">IFERROR(INDEX(Leccion[selectorLeccion],SMALL(IF(DG$1=Leccion[SubSección],MATCH(ROW(Leccion[SubSección]),ROW(Leccion[SubSección]))),ROW(DF32))),"")</f>
        <v/>
      </c>
      <c r="DH33" s="51" t="str">
        <f t="array" aca="1" ref="DH33" ca="1">IFERROR(INDEX(Leccion[selectorLeccion],SMALL(IF(DH$1=Leccion[SubSección],MATCH(ROW(Leccion[SubSección]),ROW(Leccion[SubSección]))),ROW(DG32))),"")</f>
        <v/>
      </c>
      <c r="DI33" s="51" t="str">
        <f t="array" aca="1" ref="DI33" ca="1">IFERROR(INDEX(Leccion[selectorLeccion],SMALL(IF(DI$1=Leccion[SubSección],MATCH(ROW(Leccion[SubSección]),ROW(Leccion[SubSección]))),ROW(DH32))),"")</f>
        <v/>
      </c>
      <c r="DJ33" s="51" t="str">
        <f t="array" aca="1" ref="DJ33" ca="1">IFERROR(INDEX(Leccion[selectorLeccion],SMALL(IF(DJ$1=Leccion[SubSección],MATCH(ROW(Leccion[SubSección]),ROW(Leccion[SubSección]))),ROW(DI32))),"")</f>
        <v/>
      </c>
      <c r="DK33" s="51" t="str">
        <f t="array" aca="1" ref="DK33" ca="1">IFERROR(INDEX(Leccion[selectorLeccion],SMALL(IF(DK$1=Leccion[SubSección],MATCH(ROW(Leccion[SubSección]),ROW(Leccion[SubSección]))),ROW(DJ32))),"")</f>
        <v/>
      </c>
      <c r="DL33" s="51" t="str">
        <f t="array" aca="1" ref="DL33" ca="1">IFERROR(INDEX(Leccion[selectorLeccion],SMALL(IF(DL$1=Leccion[SubSección],MATCH(ROW(Leccion[SubSección]),ROW(Leccion[SubSección]))),ROW(DK32))),"")</f>
        <v/>
      </c>
      <c r="DM33" s="51" t="str">
        <f t="array" aca="1" ref="DM33" ca="1">IFERROR(INDEX(Leccion[selectorLeccion],SMALL(IF(DM$1=Leccion[SubSección],MATCH(ROW(Leccion[SubSección]),ROW(Leccion[SubSección]))),ROW(DL32))),"")</f>
        <v/>
      </c>
      <c r="DN33" s="51" t="str">
        <f t="array" aca="1" ref="DN33" ca="1">IFERROR(INDEX(Leccion[selectorLeccion],SMALL(IF(DN$1=Leccion[SubSección],MATCH(ROW(Leccion[SubSección]),ROW(Leccion[SubSección]))),ROW(DM32))),"")</f>
        <v/>
      </c>
      <c r="DO33" s="51" t="str">
        <f t="array" aca="1" ref="DO33" ca="1">IFERROR(INDEX(Leccion[selectorLeccion],SMALL(IF(DO$1=Leccion[SubSección],MATCH(ROW(Leccion[SubSección]),ROW(Leccion[SubSección]))),ROW(DN32))),"")</f>
        <v/>
      </c>
      <c r="DP33" s="51" t="str">
        <f t="array" aca="1" ref="DP33" ca="1">IFERROR(INDEX(Leccion[selectorLeccion],SMALL(IF(DP$1=Leccion[SubSección],MATCH(ROW(Leccion[SubSección]),ROW(Leccion[SubSección]))),ROW(DO32))),"")</f>
        <v/>
      </c>
      <c r="DQ33" s="51" t="str">
        <f t="array" aca="1" ref="DQ33" ca="1">IFERROR(INDEX(Leccion[selectorLeccion],SMALL(IF(DQ$1=Leccion[SubSección],MATCH(ROW(Leccion[SubSección]),ROW(Leccion[SubSección]))),ROW(DP32))),"")</f>
        <v/>
      </c>
      <c r="DR33" s="51" t="str">
        <f t="array" aca="1" ref="DR33" ca="1">IFERROR(INDEX(Leccion[selectorLeccion],SMALL(IF(DR$1=Leccion[SubSección],MATCH(ROW(Leccion[SubSección]),ROW(Leccion[SubSección]))),ROW(DQ32))),"")</f>
        <v/>
      </c>
      <c r="DS33" s="51" t="str">
        <f t="array" aca="1" ref="DS33" ca="1">IFERROR(INDEX(Leccion[selectorLeccion],SMALL(IF(DS$1=Leccion[SubSección],MATCH(ROW(Leccion[SubSección]),ROW(Leccion[SubSección]))),ROW(DR32))),"")</f>
        <v/>
      </c>
      <c r="DT33" s="51" t="str">
        <f t="array" aca="1" ref="DT33" ca="1">IFERROR(INDEX(Leccion[selectorLeccion],SMALL(IF(DT$1=Leccion[SubSección],MATCH(ROW(Leccion[SubSección]),ROW(Leccion[SubSección]))),ROW(DS32))),"")</f>
        <v/>
      </c>
      <c r="DU33" s="51" t="str">
        <f t="array" aca="1" ref="DU33" ca="1">IFERROR(INDEX(Leccion[selectorLeccion],SMALL(IF(DU$1=Leccion[SubSección],MATCH(ROW(Leccion[SubSección]),ROW(Leccion[SubSección]))),ROW(DT32))),"")</f>
        <v/>
      </c>
      <c r="DV33" s="51" t="str">
        <f t="array" aca="1" ref="DV33" ca="1">IFERROR(INDEX(Leccion[selectorLeccion],SMALL(IF(DV$1=Leccion[SubSección],MATCH(ROW(Leccion[SubSección]),ROW(Leccion[SubSección]))),ROW(DU32))),"")</f>
        <v/>
      </c>
      <c r="DW33" s="51" t="str">
        <f t="array" aca="1" ref="DW33" ca="1">IFERROR(INDEX(Leccion[selectorLeccion],SMALL(IF(DW$1=Leccion[SubSección],MATCH(ROW(Leccion[SubSección]),ROW(Leccion[SubSección]))),ROW(DV32))),"")</f>
        <v/>
      </c>
      <c r="DX33" s="51" t="str">
        <f t="array" aca="1" ref="DX33" ca="1">IFERROR(INDEX(Leccion[selectorLeccion],SMALL(IF(DX$1=Leccion[SubSección],MATCH(ROW(Leccion[SubSección]),ROW(Leccion[SubSección]))),ROW(DW32))),"")</f>
        <v/>
      </c>
      <c r="DY33" s="51" t="str">
        <f t="array" aca="1" ref="DY33" ca="1">IFERROR(INDEX(Leccion[selectorLeccion],SMALL(IF(DY$1=Leccion[SubSección],MATCH(ROW(Leccion[SubSección]),ROW(Leccion[SubSección]))),ROW(DX32))),"")</f>
        <v/>
      </c>
      <c r="DZ33" s="51" t="str">
        <f t="array" aca="1" ref="DZ33" ca="1">IFERROR(INDEX(Leccion[selectorLeccion],SMALL(IF(DZ$1=Leccion[SubSección],MATCH(ROW(Leccion[SubSección]),ROW(Leccion[SubSección]))),ROW(DY32))),"")</f>
        <v/>
      </c>
      <c r="EA33" s="51" t="str">
        <f t="array" aca="1" ref="EA33" ca="1">IFERROR(INDEX(Leccion[selectorLeccion],SMALL(IF(EA$1=Leccion[SubSección],MATCH(ROW(Leccion[SubSección]),ROW(Leccion[SubSección]))),ROW(DZ32))),"")</f>
        <v/>
      </c>
      <c r="EB33" s="51" t="str">
        <f t="array" aca="1" ref="EB33" ca="1">IFERROR(INDEX(Leccion[selectorLeccion],SMALL(IF(EB$1=Leccion[SubSección],MATCH(ROW(Leccion[SubSección]),ROW(Leccion[SubSección]))),ROW(EA32))),"")</f>
        <v/>
      </c>
      <c r="EC33" s="51" t="str">
        <f t="array" aca="1" ref="EC33" ca="1">IFERROR(INDEX(Leccion[selectorLeccion],SMALL(IF(EC$1=Leccion[SubSección],MATCH(ROW(Leccion[SubSección]),ROW(Leccion[SubSección]))),ROW(EB32))),"")</f>
        <v/>
      </c>
      <c r="ED33" s="51" t="str">
        <f t="array" aca="1" ref="ED33" ca="1">IFERROR(INDEX(Leccion[selectorLeccion],SMALL(IF(ED$1=Leccion[SubSección],MATCH(ROW(Leccion[SubSección]),ROW(Leccion[SubSección]))),ROW(EC32))),"")</f>
        <v/>
      </c>
      <c r="EE33" s="51" t="str">
        <f t="array" aca="1" ref="EE33" ca="1">IFERROR(INDEX(Leccion[selectorLeccion],SMALL(IF(EE$1=Leccion[SubSección],MATCH(ROW(Leccion[SubSección]),ROW(Leccion[SubSección]))),ROW(ED32))),"")</f>
        <v/>
      </c>
      <c r="EF33" s="51" t="str">
        <f t="array" aca="1" ref="EF33" ca="1">IFERROR(INDEX(Leccion[selectorLeccion],SMALL(IF(EF$1=Leccion[SubSección],MATCH(ROW(Leccion[SubSección]),ROW(Leccion[SubSección]))),ROW(EE32))),"")</f>
        <v/>
      </c>
      <c r="EG33" s="51" t="str">
        <f t="array" aca="1" ref="EG33" ca="1">IFERROR(INDEX(Leccion[selectorLeccion],SMALL(IF(EG$1=Leccion[SubSección],MATCH(ROW(Leccion[SubSección]),ROW(Leccion[SubSección]))),ROW(EF32))),"")</f>
        <v/>
      </c>
      <c r="EH33" s="51" t="str">
        <f t="array" aca="1" ref="EH33" ca="1">IFERROR(INDEX(Leccion[selectorLeccion],SMALL(IF(EH$1=Leccion[SubSección],MATCH(ROW(Leccion[SubSección]),ROW(Leccion[SubSección]))),ROW(EG32))),"")</f>
        <v/>
      </c>
      <c r="EI33" s="51" t="str">
        <f t="array" aca="1" ref="EI33" ca="1">IFERROR(INDEX(Leccion[selectorLeccion],SMALL(IF(EI$1=Leccion[SubSección],MATCH(ROW(Leccion[SubSección]),ROW(Leccion[SubSección]))),ROW(EH32))),"")</f>
        <v/>
      </c>
      <c r="EJ33" s="51" t="str">
        <f t="array" aca="1" ref="EJ33" ca="1">IFERROR(INDEX(Leccion[selectorLeccion],SMALL(IF(EJ$1=Leccion[SubSección],MATCH(ROW(Leccion[SubSección]),ROW(Leccion[SubSección]))),ROW(EI32))),"")</f>
        <v/>
      </c>
      <c r="EK33" s="51" t="str">
        <f t="array" aca="1" ref="EK33" ca="1">IFERROR(INDEX(Leccion[selectorLeccion],SMALL(IF(EK$1=Leccion[SubSección],MATCH(ROW(Leccion[SubSección]),ROW(Leccion[SubSección]))),ROW(EJ32))),"")</f>
        <v/>
      </c>
      <c r="EL33" s="51" t="str">
        <f t="array" aca="1" ref="EL33" ca="1">IFERROR(INDEX(Leccion[selectorLeccion],SMALL(IF(EL$1=Leccion[SubSección],MATCH(ROW(Leccion[SubSección]),ROW(Leccion[SubSección]))),ROW(EK32))),"")</f>
        <v/>
      </c>
      <c r="EM33" s="51" t="str">
        <f t="array" aca="1" ref="EM33" ca="1">IFERROR(INDEX(Leccion[selectorLeccion],SMALL(IF(EM$1=Leccion[SubSección],MATCH(ROW(Leccion[SubSección]),ROW(Leccion[SubSección]))),ROW(EL32))),"")</f>
        <v/>
      </c>
      <c r="EN33" s="51" t="str">
        <f t="array" aca="1" ref="EN33" ca="1">IFERROR(INDEX(Leccion[selectorLeccion],SMALL(IF(EN$1=Leccion[SubSección],MATCH(ROW(Leccion[SubSección]),ROW(Leccion[SubSección]))),ROW(EM32))),"")</f>
        <v/>
      </c>
      <c r="EO33" s="51" t="str">
        <f t="array" aca="1" ref="EO33" ca="1">IFERROR(INDEX(Leccion[selectorLeccion],SMALL(IF(EO$1=Leccion[SubSección],MATCH(ROW(Leccion[SubSección]),ROW(Leccion[SubSección]))),ROW(EN32))),"")</f>
        <v/>
      </c>
      <c r="EP33" s="51" t="str">
        <f t="array" aca="1" ref="EP33" ca="1">IFERROR(INDEX(Leccion[selectorLeccion],SMALL(IF(EP$1=Leccion[SubSección],MATCH(ROW(Leccion[SubSección]),ROW(Leccion[SubSección]))),ROW(EO32))),"")</f>
        <v/>
      </c>
      <c r="EQ33" s="51" t="str">
        <f t="array" aca="1" ref="EQ33" ca="1">IFERROR(INDEX(Leccion[selectorLeccion],SMALL(IF(EQ$1=Leccion[SubSección],MATCH(ROW(Leccion[SubSección]),ROW(Leccion[SubSección]))),ROW(EP32))),"")</f>
        <v/>
      </c>
      <c r="ER33" s="51" t="str">
        <f t="array" aca="1" ref="ER33" ca="1">IFERROR(INDEX(Leccion[selectorLeccion],SMALL(IF(ER$1=Leccion[SubSección],MATCH(ROW(Leccion[SubSección]),ROW(Leccion[SubSección]))),ROW(EQ32))),"")</f>
        <v/>
      </c>
      <c r="ES33" s="51" t="str">
        <f t="array" aca="1" ref="ES33" ca="1">IFERROR(INDEX(Leccion[selectorLeccion],SMALL(IF(ES$1=Leccion[SubSección],MATCH(ROW(Leccion[SubSección]),ROW(Leccion[SubSección]))),ROW(ER32))),"")</f>
        <v/>
      </c>
      <c r="ET33" s="51" t="str">
        <f t="array" aca="1" ref="ET33" ca="1">IFERROR(INDEX(Leccion[selectorLeccion],SMALL(IF(ET$1=Leccion[SubSección],MATCH(ROW(Leccion[SubSección]),ROW(Leccion[SubSección]))),ROW(ES32))),"")</f>
        <v/>
      </c>
      <c r="EU33" s="51" t="str">
        <f t="array" aca="1" ref="EU33" ca="1">IFERROR(INDEX(Leccion[selectorLeccion],SMALL(IF(EU$1=Leccion[SubSección],MATCH(ROW(Leccion[SubSección]),ROW(Leccion[SubSección]))),ROW(ET32))),"")</f>
        <v/>
      </c>
      <c r="EV33" s="51" t="str">
        <f t="array" aca="1" ref="EV33" ca="1">IFERROR(INDEX(Leccion[selectorLeccion],SMALL(IF(EV$1=Leccion[SubSección],MATCH(ROW(Leccion[SubSección]),ROW(Leccion[SubSección]))),ROW(EU32))),"")</f>
        <v/>
      </c>
      <c r="EW33" s="51" t="str">
        <f t="array" aca="1" ref="EW33" ca="1">IFERROR(INDEX(Leccion[selectorLeccion],SMALL(IF(EW$1=Leccion[SubSección],MATCH(ROW(Leccion[SubSección]),ROW(Leccion[SubSección]))),ROW(EV32))),"")</f>
        <v/>
      </c>
      <c r="EX33" s="51" t="str">
        <f t="array" aca="1" ref="EX33" ca="1">IFERROR(INDEX(Leccion[selectorLeccion],SMALL(IF(EX$1=Leccion[SubSección],MATCH(ROW(Leccion[SubSección]),ROW(Leccion[SubSección]))),ROW(EW32))),"")</f>
        <v/>
      </c>
      <c r="EY33" s="51" t="str">
        <f t="array" aca="1" ref="EY33" ca="1">IFERROR(INDEX(Leccion[selectorLeccion],SMALL(IF(EY$1=Leccion[SubSección],MATCH(ROW(Leccion[SubSección]),ROW(Leccion[SubSección]))),ROW(EX32))),"")</f>
        <v/>
      </c>
      <c r="EZ33" s="51" t="str">
        <f t="array" aca="1" ref="EZ33" ca="1">IFERROR(INDEX(Leccion[selectorLeccion],SMALL(IF(EZ$1=Leccion[SubSección],MATCH(ROW(Leccion[SubSección]),ROW(Leccion[SubSección]))),ROW(EY32))),"")</f>
        <v/>
      </c>
    </row>
    <row r="34" spans="2:156" x14ac:dyDescent="0.3">
      <c r="B34" s="51" t="str">
        <f t="array" aca="1" ref="B34" ca="1">IFERROR(INDEX(Leccion[selectorLeccion],SMALL(IF(B$1=Leccion[SubSección],MATCH(ROW(Leccion[SubSección]),ROW(Leccion[SubSección]))),ROW(A33))),"")</f>
        <v/>
      </c>
      <c r="C34" s="51" t="str">
        <f t="array" aca="1" ref="C34" ca="1">IFERROR(INDEX(Leccion[selectorLeccion],SMALL(IF(C$1=Leccion[SubSección],MATCH(ROW(Leccion[SubSección]),ROW(Leccion[SubSección]))),ROW(B33))),"")</f>
        <v/>
      </c>
      <c r="D34" s="51" t="str">
        <f t="array" aca="1" ref="D34" ca="1">IFERROR(INDEX(Leccion[selectorLeccion],SMALL(IF(D$1=Leccion[SubSección],MATCH(ROW(Leccion[SubSección]),ROW(Leccion[SubSección]))),ROW(C33))),"")</f>
        <v/>
      </c>
      <c r="E34" s="51" t="str">
        <f t="array" aca="1" ref="E34" ca="1">IFERROR(INDEX(Leccion[selectorLeccion],SMALL(IF(E$1=Leccion[SubSección],MATCH(ROW(Leccion[SubSección]),ROW(Leccion[SubSección]))),ROW(D33))),"")</f>
        <v/>
      </c>
      <c r="F34" s="51" t="str">
        <f t="array" aca="1" ref="F34" ca="1">IFERROR(INDEX(Leccion[selectorLeccion],SMALL(IF(F$1=Leccion[SubSección],MATCH(ROW(Leccion[SubSección]),ROW(Leccion[SubSección]))),ROW(E33))),"")</f>
        <v/>
      </c>
      <c r="G34" s="51" t="str">
        <f t="array" aca="1" ref="G34" ca="1">IFERROR(INDEX(Leccion[selectorLeccion],SMALL(IF(G$1=Leccion[SubSección],MATCH(ROW(Leccion[SubSección]),ROW(Leccion[SubSección]))),ROW(F33))),"")</f>
        <v/>
      </c>
      <c r="H34" s="51" t="str">
        <f t="array" aca="1" ref="H34" ca="1">IFERROR(INDEX(Leccion[selectorLeccion],SMALL(IF(H$1=Leccion[SubSección],MATCH(ROW(Leccion[SubSección]),ROW(Leccion[SubSección]))),ROW(G33))),"")</f>
        <v/>
      </c>
      <c r="I34" s="51" t="str">
        <f t="array" aca="1" ref="I34" ca="1">IFERROR(INDEX(Leccion[selectorLeccion],SMALL(IF(I$1=Leccion[SubSección],MATCH(ROW(Leccion[SubSección]),ROW(Leccion[SubSección]))),ROW(H33))),"")</f>
        <v/>
      </c>
      <c r="J34" s="51" t="str">
        <f t="array" aca="1" ref="J34" ca="1">IFERROR(INDEX(Leccion[selectorLeccion],SMALL(IF(J$1=Leccion[SubSección],MATCH(ROW(Leccion[SubSección]),ROW(Leccion[SubSección]))),ROW(I33))),"")</f>
        <v/>
      </c>
      <c r="K34" s="51" t="str">
        <f t="array" aca="1" ref="K34" ca="1">IFERROR(INDEX(Leccion[selectorLeccion],SMALL(IF(K$1=Leccion[SubSección],MATCH(ROW(Leccion[SubSección]),ROW(Leccion[SubSección]))),ROW(J33))),"")</f>
        <v/>
      </c>
      <c r="L34" s="51" t="str">
        <f t="array" aca="1" ref="L34" ca="1">IFERROR(INDEX(Leccion[selectorLeccion],SMALL(IF(L$1=Leccion[SubSección],MATCH(ROW(Leccion[SubSección]),ROW(Leccion[SubSección]))),ROW(K33))),"")</f>
        <v/>
      </c>
      <c r="M34" s="51" t="str">
        <f t="array" aca="1" ref="M34" ca="1">IFERROR(INDEX(Leccion[selectorLeccion],SMALL(IF(M$1=Leccion[SubSección],MATCH(ROW(Leccion[SubSección]),ROW(Leccion[SubSección]))),ROW(L33))),"")</f>
        <v/>
      </c>
      <c r="N34" s="51" t="str">
        <f t="array" aca="1" ref="N34" ca="1">IFERROR(INDEX(Leccion[selectorLeccion],SMALL(IF(N$1=Leccion[SubSección],MATCH(ROW(Leccion[SubSección]),ROW(Leccion[SubSección]))),ROW(M33))),"")</f>
        <v/>
      </c>
      <c r="O34" s="51" t="str">
        <f t="array" aca="1" ref="O34" ca="1">IFERROR(INDEX(Leccion[selectorLeccion],SMALL(IF(O$1=Leccion[SubSección],MATCH(ROW(Leccion[SubSección]),ROW(Leccion[SubSección]))),ROW(N33))),"")</f>
        <v/>
      </c>
      <c r="P34" s="51" t="str">
        <f t="array" aca="1" ref="P34" ca="1">IFERROR(INDEX(Leccion[selectorLeccion],SMALL(IF(P$1=Leccion[SubSección],MATCH(ROW(Leccion[SubSección]),ROW(Leccion[SubSección]))),ROW(O33))),"")</f>
        <v/>
      </c>
      <c r="Q34" s="51" t="str">
        <f t="array" aca="1" ref="Q34" ca="1">IFERROR(INDEX(Leccion[selectorLeccion],SMALL(IF(Q$1=Leccion[SubSección],MATCH(ROW(Leccion[SubSección]),ROW(Leccion[SubSección]))),ROW(P33))),"")</f>
        <v/>
      </c>
      <c r="R34" s="51" t="str">
        <f t="array" aca="1" ref="R34" ca="1">IFERROR(INDEX(Leccion[selectorLeccion],SMALL(IF(R$1=Leccion[SubSección],MATCH(ROW(Leccion[SubSección]),ROW(Leccion[SubSección]))),ROW(Q33))),"")</f>
        <v/>
      </c>
      <c r="S34" s="51" t="str">
        <f t="array" aca="1" ref="S34" ca="1">IFERROR(INDEX(Leccion[selectorLeccion],SMALL(IF(S$1=Leccion[SubSección],MATCH(ROW(Leccion[SubSección]),ROW(Leccion[SubSección]))),ROW(R33))),"")</f>
        <v/>
      </c>
      <c r="T34" s="51" t="str">
        <f t="array" aca="1" ref="T34" ca="1">IFERROR(INDEX(Leccion[selectorLeccion],SMALL(IF(T$1=Leccion[SubSección],MATCH(ROW(Leccion[SubSección]),ROW(Leccion[SubSección]))),ROW(S33))),"")</f>
        <v/>
      </c>
      <c r="U34" s="51" t="str">
        <f t="array" aca="1" ref="U34" ca="1">IFERROR(INDEX(Leccion[selectorLeccion],SMALL(IF(U$1=Leccion[SubSección],MATCH(ROW(Leccion[SubSección]),ROW(Leccion[SubSección]))),ROW(T33))),"")</f>
        <v/>
      </c>
      <c r="V34" s="51" t="str">
        <f t="array" aca="1" ref="V34" ca="1">IFERROR(INDEX(Leccion[selectorLeccion],SMALL(IF(V$1=Leccion[SubSección],MATCH(ROW(Leccion[SubSección]),ROW(Leccion[SubSección]))),ROW(U33))),"")</f>
        <v/>
      </c>
      <c r="W34" s="51" t="str">
        <f t="array" aca="1" ref="W34" ca="1">IFERROR(INDEX(Leccion[selectorLeccion],SMALL(IF(W$1=Leccion[SubSección],MATCH(ROW(Leccion[SubSección]),ROW(Leccion[SubSección]))),ROW(V33))),"")</f>
        <v/>
      </c>
      <c r="X34" s="51" t="str">
        <f t="array" aca="1" ref="X34" ca="1">IFERROR(INDEX(Leccion[selectorLeccion],SMALL(IF(X$1=Leccion[SubSección],MATCH(ROW(Leccion[SubSección]),ROW(Leccion[SubSección]))),ROW(W33))),"")</f>
        <v/>
      </c>
      <c r="Y34" s="51" t="str">
        <f t="array" aca="1" ref="Y34" ca="1">IFERROR(INDEX(Leccion[selectorLeccion],SMALL(IF(Y$1=Leccion[SubSección],MATCH(ROW(Leccion[SubSección]),ROW(Leccion[SubSección]))),ROW(X33))),"")</f>
        <v/>
      </c>
      <c r="Z34" s="51" t="str">
        <f t="array" aca="1" ref="Z34" ca="1">IFERROR(INDEX(Leccion[selectorLeccion],SMALL(IF(Z$1=Leccion[SubSección],MATCH(ROW(Leccion[SubSección]),ROW(Leccion[SubSección]))),ROW(Y33))),"")</f>
        <v/>
      </c>
      <c r="AA34" s="51" t="str">
        <f t="array" aca="1" ref="AA34" ca="1">IFERROR(INDEX(Leccion[selectorLeccion],SMALL(IF(AA$1=Leccion[SubSección],MATCH(ROW(Leccion[SubSección]),ROW(Leccion[SubSección]))),ROW(Z33))),"")</f>
        <v/>
      </c>
      <c r="AB34" s="51" t="str">
        <f t="array" aca="1" ref="AB34" ca="1">IFERROR(INDEX(Leccion[selectorLeccion],SMALL(IF(AB$1=Leccion[SubSección],MATCH(ROW(Leccion[SubSección]),ROW(Leccion[SubSección]))),ROW(AA33))),"")</f>
        <v/>
      </c>
      <c r="AC34" s="51" t="str">
        <f t="array" aca="1" ref="AC34" ca="1">IFERROR(INDEX(Leccion[selectorLeccion],SMALL(IF(AC$1=Leccion[SubSección],MATCH(ROW(Leccion[SubSección]),ROW(Leccion[SubSección]))),ROW(AB33))),"")</f>
        <v/>
      </c>
      <c r="AD34" s="51" t="str">
        <f t="array" aca="1" ref="AD34" ca="1">IFERROR(INDEX(Leccion[selectorLeccion],SMALL(IF(AD$1=Leccion[SubSección],MATCH(ROW(Leccion[SubSección]),ROW(Leccion[SubSección]))),ROW(AC33))),"")</f>
        <v/>
      </c>
      <c r="AE34" s="51" t="str">
        <f t="array" aca="1" ref="AE34" ca="1">IFERROR(INDEX(Leccion[selectorLeccion],SMALL(IF(AE$1=Leccion[SubSección],MATCH(ROW(Leccion[SubSección]),ROW(Leccion[SubSección]))),ROW(AD33))),"")</f>
        <v/>
      </c>
      <c r="AF34" s="51" t="str">
        <f t="array" aca="1" ref="AF34" ca="1">IFERROR(INDEX(Leccion[selectorLeccion],SMALL(IF(AF$1=Leccion[SubSección],MATCH(ROW(Leccion[SubSección]),ROW(Leccion[SubSección]))),ROW(AE33))),"")</f>
        <v/>
      </c>
      <c r="AG34" s="51" t="str">
        <f t="array" aca="1" ref="AG34" ca="1">IFERROR(INDEX(Leccion[selectorLeccion],SMALL(IF(AG$1=Leccion[SubSección],MATCH(ROW(Leccion[SubSección]),ROW(Leccion[SubSección]))),ROW(AF33))),"")</f>
        <v/>
      </c>
      <c r="AH34" s="51" t="str">
        <f t="array" aca="1" ref="AH34" ca="1">IFERROR(INDEX(Leccion[selectorLeccion],SMALL(IF(AH$1=Leccion[SubSección],MATCH(ROW(Leccion[SubSección]),ROW(Leccion[SubSección]))),ROW(AG33))),"")</f>
        <v/>
      </c>
      <c r="AI34" s="51" t="str">
        <f t="array" aca="1" ref="AI34" ca="1">IFERROR(INDEX(Leccion[selectorLeccion],SMALL(IF(AI$1=Leccion[SubSección],MATCH(ROW(Leccion[SubSección]),ROW(Leccion[SubSección]))),ROW(AH33))),"")</f>
        <v/>
      </c>
      <c r="AJ34" s="51" t="str">
        <f t="array" aca="1" ref="AJ34" ca="1">IFERROR(INDEX(Leccion[selectorLeccion],SMALL(IF(AJ$1=Leccion[SubSección],MATCH(ROW(Leccion[SubSección]),ROW(Leccion[SubSección]))),ROW(AI33))),"")</f>
        <v/>
      </c>
      <c r="AK34" s="51" t="str">
        <f t="array" aca="1" ref="AK34" ca="1">IFERROR(INDEX(Leccion[selectorLeccion],SMALL(IF(AK$1=Leccion[SubSección],MATCH(ROW(Leccion[SubSección]),ROW(Leccion[SubSección]))),ROW(AJ33))),"")</f>
        <v/>
      </c>
      <c r="AL34" s="51" t="str">
        <f t="array" aca="1" ref="AL34" ca="1">IFERROR(INDEX(Leccion[selectorLeccion],SMALL(IF(AL$1=Leccion[SubSección],MATCH(ROW(Leccion[SubSección]),ROW(Leccion[SubSección]))),ROW(AK33))),"")</f>
        <v/>
      </c>
      <c r="AM34" s="51" t="str">
        <f t="array" aca="1" ref="AM34" ca="1">IFERROR(INDEX(Leccion[selectorLeccion],SMALL(IF(AM$1=Leccion[SubSección],MATCH(ROW(Leccion[SubSección]),ROW(Leccion[SubSección]))),ROW(AL33))),"")</f>
        <v/>
      </c>
      <c r="AN34" s="51" t="str">
        <f t="array" aca="1" ref="AN34" ca="1">IFERROR(INDEX(Leccion[selectorLeccion],SMALL(IF(AN$1=Leccion[SubSección],MATCH(ROW(Leccion[SubSección]),ROW(Leccion[SubSección]))),ROW(AM33))),"")</f>
        <v/>
      </c>
      <c r="AO34" s="51" t="str">
        <f t="array" aca="1" ref="AO34" ca="1">IFERROR(INDEX(Leccion[selectorLeccion],SMALL(IF(AO$1=Leccion[SubSección],MATCH(ROW(Leccion[SubSección]),ROW(Leccion[SubSección]))),ROW(AN33))),"")</f>
        <v/>
      </c>
      <c r="AP34" s="51" t="str">
        <f t="array" aca="1" ref="AP34" ca="1">IFERROR(INDEX(Leccion[selectorLeccion],SMALL(IF(AP$1=Leccion[SubSección],MATCH(ROW(Leccion[SubSección]),ROW(Leccion[SubSección]))),ROW(AO33))),"")</f>
        <v/>
      </c>
      <c r="AQ34" s="51" t="str">
        <f t="array" aca="1" ref="AQ34" ca="1">IFERROR(INDEX(Leccion[selectorLeccion],SMALL(IF(AQ$1=Leccion[SubSección],MATCH(ROW(Leccion[SubSección]),ROW(Leccion[SubSección]))),ROW(AP33))),"")</f>
        <v/>
      </c>
      <c r="AR34" s="51" t="str">
        <f t="array" aca="1" ref="AR34" ca="1">IFERROR(INDEX(Leccion[selectorLeccion],SMALL(IF(AR$1=Leccion[SubSección],MATCH(ROW(Leccion[SubSección]),ROW(Leccion[SubSección]))),ROW(AQ33))),"")</f>
        <v/>
      </c>
      <c r="AS34" s="51" t="str">
        <f t="array" aca="1" ref="AS34" ca="1">IFERROR(INDEX(Leccion[selectorLeccion],SMALL(IF(AS$1=Leccion[SubSección],MATCH(ROW(Leccion[SubSección]),ROW(Leccion[SubSección]))),ROW(AR33))),"")</f>
        <v/>
      </c>
      <c r="AT34" s="51" t="str">
        <f t="array" aca="1" ref="AT34" ca="1">IFERROR(INDEX(Leccion[selectorLeccion],SMALL(IF(AT$1=Leccion[SubSección],MATCH(ROW(Leccion[SubSección]),ROW(Leccion[SubSección]))),ROW(AS33))),"")</f>
        <v/>
      </c>
      <c r="AU34" s="51" t="str">
        <f t="array" aca="1" ref="AU34" ca="1">IFERROR(INDEX(Leccion[selectorLeccion],SMALL(IF(AU$1=Leccion[SubSección],MATCH(ROW(Leccion[SubSección]),ROW(Leccion[SubSección]))),ROW(AT33))),"")</f>
        <v/>
      </c>
      <c r="AV34" s="51" t="str">
        <f t="array" aca="1" ref="AV34" ca="1">IFERROR(INDEX(Leccion[selectorLeccion],SMALL(IF(AV$1=Leccion[SubSección],MATCH(ROW(Leccion[SubSección]),ROW(Leccion[SubSección]))),ROW(AU33))),"")</f>
        <v/>
      </c>
      <c r="AW34" s="51" t="str">
        <f t="array" aca="1" ref="AW34" ca="1">IFERROR(INDEX(Leccion[selectorLeccion],SMALL(IF(AW$1=Leccion[SubSección],MATCH(ROW(Leccion[SubSección]),ROW(Leccion[SubSección]))),ROW(AV33))),"")</f>
        <v/>
      </c>
      <c r="AX34" s="51" t="str">
        <f t="array" aca="1" ref="AX34" ca="1">IFERROR(INDEX(Leccion[selectorLeccion],SMALL(IF(AX$1=Leccion[SubSección],MATCH(ROW(Leccion[SubSección]),ROW(Leccion[SubSección]))),ROW(AW33))),"")</f>
        <v/>
      </c>
      <c r="AY34" s="51" t="str">
        <f t="array" aca="1" ref="AY34" ca="1">IFERROR(INDEX(Leccion[selectorLeccion],SMALL(IF(AY$1=Leccion[SubSección],MATCH(ROW(Leccion[SubSección]),ROW(Leccion[SubSección]))),ROW(AX33))),"")</f>
        <v/>
      </c>
      <c r="AZ34" s="51" t="str">
        <f t="array" aca="1" ref="AZ34" ca="1">IFERROR(INDEX(Leccion[selectorLeccion],SMALL(IF(AZ$1=Leccion[SubSección],MATCH(ROW(Leccion[SubSección]),ROW(Leccion[SubSección]))),ROW(AY33))),"")</f>
        <v/>
      </c>
      <c r="BA34" s="51" t="str">
        <f t="array" aca="1" ref="BA34" ca="1">IFERROR(INDEX(Leccion[selectorLeccion],SMALL(IF(BA$1=Leccion[SubSección],MATCH(ROW(Leccion[SubSección]),ROW(Leccion[SubSección]))),ROW(AZ33))),"")</f>
        <v/>
      </c>
      <c r="BB34" s="51" t="str">
        <f t="array" aca="1" ref="BB34" ca="1">IFERROR(INDEX(Leccion[selectorLeccion],SMALL(IF(BB$1=Leccion[SubSección],MATCH(ROW(Leccion[SubSección]),ROW(Leccion[SubSección]))),ROW(BA33))),"")</f>
        <v/>
      </c>
      <c r="BC34" s="51" t="str">
        <f t="array" aca="1" ref="BC34" ca="1">IFERROR(INDEX(Leccion[selectorLeccion],SMALL(IF(BC$1=Leccion[SubSección],MATCH(ROW(Leccion[SubSección]),ROW(Leccion[SubSección]))),ROW(BB33))),"")</f>
        <v/>
      </c>
      <c r="BD34" s="51" t="str">
        <f t="array" aca="1" ref="BD34" ca="1">IFERROR(INDEX(Leccion[selectorLeccion],SMALL(IF(BD$1=Leccion[SubSección],MATCH(ROW(Leccion[SubSección]),ROW(Leccion[SubSección]))),ROW(BC33))),"")</f>
        <v/>
      </c>
      <c r="BE34" s="51" t="str">
        <f t="array" aca="1" ref="BE34" ca="1">IFERROR(INDEX(Leccion[selectorLeccion],SMALL(IF(BE$1=Leccion[SubSección],MATCH(ROW(Leccion[SubSección]),ROW(Leccion[SubSección]))),ROW(BD33))),"")</f>
        <v/>
      </c>
      <c r="BF34" s="51" t="str">
        <f t="array" aca="1" ref="BF34" ca="1">IFERROR(INDEX(Leccion[selectorLeccion],SMALL(IF(BF$1=Leccion[SubSección],MATCH(ROW(Leccion[SubSección]),ROW(Leccion[SubSección]))),ROW(BE33))),"")</f>
        <v/>
      </c>
      <c r="BG34" s="51" t="str">
        <f t="array" aca="1" ref="BG34" ca="1">IFERROR(INDEX(Leccion[selectorLeccion],SMALL(IF(BG$1=Leccion[SubSección],MATCH(ROW(Leccion[SubSección]),ROW(Leccion[SubSección]))),ROW(BF33))),"")</f>
        <v/>
      </c>
      <c r="BH34" s="51" t="str">
        <f t="array" aca="1" ref="BH34" ca="1">IFERROR(INDEX(Leccion[selectorLeccion],SMALL(IF(BH$1=Leccion[SubSección],MATCH(ROW(Leccion[SubSección]),ROW(Leccion[SubSección]))),ROW(BG33))),"")</f>
        <v/>
      </c>
      <c r="BI34" s="51" t="str">
        <f t="array" aca="1" ref="BI34" ca="1">IFERROR(INDEX(Leccion[selectorLeccion],SMALL(IF(BI$1=Leccion[SubSección],MATCH(ROW(Leccion[SubSección]),ROW(Leccion[SubSección]))),ROW(BH33))),"")</f>
        <v/>
      </c>
      <c r="BJ34" s="51" t="str">
        <f t="array" aca="1" ref="BJ34" ca="1">IFERROR(INDEX(Leccion[selectorLeccion],SMALL(IF(BJ$1=Leccion[SubSección],MATCH(ROW(Leccion[SubSección]),ROW(Leccion[SubSección]))),ROW(BI33))),"")</f>
        <v/>
      </c>
      <c r="BK34" s="51" t="str">
        <f t="array" aca="1" ref="BK34" ca="1">IFERROR(INDEX(Leccion[selectorLeccion],SMALL(IF(BK$1=Leccion[SubSección],MATCH(ROW(Leccion[SubSección]),ROW(Leccion[SubSección]))),ROW(BJ33))),"")</f>
        <v/>
      </c>
      <c r="BL34" s="51" t="str">
        <f t="array" aca="1" ref="BL34" ca="1">IFERROR(INDEX(Leccion[selectorLeccion],SMALL(IF(BL$1=Leccion[SubSección],MATCH(ROW(Leccion[SubSección]),ROW(Leccion[SubSección]))),ROW(BK33))),"")</f>
        <v/>
      </c>
      <c r="BM34" s="51" t="str">
        <f t="array" aca="1" ref="BM34" ca="1">IFERROR(INDEX(Leccion[selectorLeccion],SMALL(IF(BM$1=Leccion[SubSección],MATCH(ROW(Leccion[SubSección]),ROW(Leccion[SubSección]))),ROW(BL33))),"")</f>
        <v/>
      </c>
      <c r="BN34" s="51" t="str">
        <f t="array" aca="1" ref="BN34" ca="1">IFERROR(INDEX(Leccion[selectorLeccion],SMALL(IF(BN$1=Leccion[SubSección],MATCH(ROW(Leccion[SubSección]),ROW(Leccion[SubSección]))),ROW(BM33))),"")</f>
        <v/>
      </c>
      <c r="BO34" s="51" t="str">
        <f t="array" aca="1" ref="BO34" ca="1">IFERROR(INDEX(Leccion[selectorLeccion],SMALL(IF(BO$1=Leccion[SubSección],MATCH(ROW(Leccion[SubSección]),ROW(Leccion[SubSección]))),ROW(BN33))),"")</f>
        <v/>
      </c>
      <c r="BP34" s="51" t="str">
        <f t="array" aca="1" ref="BP34" ca="1">IFERROR(INDEX(Leccion[selectorLeccion],SMALL(IF(BP$1=Leccion[SubSección],MATCH(ROW(Leccion[SubSección]),ROW(Leccion[SubSección]))),ROW(BO33))),"")</f>
        <v/>
      </c>
      <c r="BQ34" s="51" t="str">
        <f t="array" aca="1" ref="BQ34" ca="1">IFERROR(INDEX(Leccion[selectorLeccion],SMALL(IF(BQ$1=Leccion[SubSección],MATCH(ROW(Leccion[SubSección]),ROW(Leccion[SubSección]))),ROW(BP33))),"")</f>
        <v/>
      </c>
      <c r="BR34" s="51" t="str">
        <f t="array" aca="1" ref="BR34" ca="1">IFERROR(INDEX(Leccion[selectorLeccion],SMALL(IF(BR$1=Leccion[SubSección],MATCH(ROW(Leccion[SubSección]),ROW(Leccion[SubSección]))),ROW(BQ33))),"")</f>
        <v/>
      </c>
      <c r="BS34" s="51" t="str">
        <f t="array" aca="1" ref="BS34" ca="1">IFERROR(INDEX(Leccion[selectorLeccion],SMALL(IF(BS$1=Leccion[SubSección],MATCH(ROW(Leccion[SubSección]),ROW(Leccion[SubSección]))),ROW(BR33))),"")</f>
        <v/>
      </c>
      <c r="BT34" s="51" t="str">
        <f t="array" aca="1" ref="BT34" ca="1">IFERROR(INDEX(Leccion[selectorLeccion],SMALL(IF(BT$1=Leccion[SubSección],MATCH(ROW(Leccion[SubSección]),ROW(Leccion[SubSección]))),ROW(BS33))),"")</f>
        <v/>
      </c>
      <c r="BU34" s="51" t="str">
        <f t="array" aca="1" ref="BU34" ca="1">IFERROR(INDEX(Leccion[selectorLeccion],SMALL(IF(BU$1=Leccion[SubSección],MATCH(ROW(Leccion[SubSección]),ROW(Leccion[SubSección]))),ROW(BT33))),"")</f>
        <v/>
      </c>
      <c r="BV34" s="51" t="str">
        <f t="array" aca="1" ref="BV34" ca="1">IFERROR(INDEX(Leccion[selectorLeccion],SMALL(IF(BV$1=Leccion[SubSección],MATCH(ROW(Leccion[SubSección]),ROW(Leccion[SubSección]))),ROW(BU33))),"")</f>
        <v/>
      </c>
      <c r="BW34" s="51" t="str">
        <f t="array" aca="1" ref="BW34" ca="1">IFERROR(INDEX(Leccion[selectorLeccion],SMALL(IF(BW$1=Leccion[SubSección],MATCH(ROW(Leccion[SubSección]),ROW(Leccion[SubSección]))),ROW(BV33))),"")</f>
        <v/>
      </c>
      <c r="BX34" s="51" t="str">
        <f t="array" aca="1" ref="BX34" ca="1">IFERROR(INDEX(Leccion[selectorLeccion],SMALL(IF(BX$1=Leccion[SubSección],MATCH(ROW(Leccion[SubSección]),ROW(Leccion[SubSección]))),ROW(BW33))),"")</f>
        <v/>
      </c>
      <c r="BY34" s="51" t="str">
        <f t="array" aca="1" ref="BY34" ca="1">IFERROR(INDEX(Leccion[selectorLeccion],SMALL(IF(BY$1=Leccion[SubSección],MATCH(ROW(Leccion[SubSección]),ROW(Leccion[SubSección]))),ROW(BX33))),"")</f>
        <v/>
      </c>
      <c r="BZ34" s="51" t="str">
        <f t="array" aca="1" ref="BZ34" ca="1">IFERROR(INDEX(Leccion[selectorLeccion],SMALL(IF(BZ$1=Leccion[SubSección],MATCH(ROW(Leccion[SubSección]),ROW(Leccion[SubSección]))),ROW(BY33))),"")</f>
        <v/>
      </c>
      <c r="CA34" s="51" t="str">
        <f t="array" aca="1" ref="CA34" ca="1">IFERROR(INDEX(Leccion[selectorLeccion],SMALL(IF(CA$1=Leccion[SubSección],MATCH(ROW(Leccion[SubSección]),ROW(Leccion[SubSección]))),ROW(BZ33))),"")</f>
        <v/>
      </c>
      <c r="CB34" s="51" t="str">
        <f t="array" aca="1" ref="CB34" ca="1">IFERROR(INDEX(Leccion[selectorLeccion],SMALL(IF(CB$1=Leccion[SubSección],MATCH(ROW(Leccion[SubSección]),ROW(Leccion[SubSección]))),ROW(CA33))),"")</f>
        <v/>
      </c>
      <c r="CC34" s="51" t="str">
        <f t="array" aca="1" ref="CC34" ca="1">IFERROR(INDEX(Leccion[selectorLeccion],SMALL(IF(CC$1=Leccion[SubSección],MATCH(ROW(Leccion[SubSección]),ROW(Leccion[SubSección]))),ROW(CB33))),"")</f>
        <v/>
      </c>
      <c r="CD34" s="51" t="str">
        <f t="array" aca="1" ref="CD34" ca="1">IFERROR(INDEX(Leccion[selectorLeccion],SMALL(IF(CD$1=Leccion[SubSección],MATCH(ROW(Leccion[SubSección]),ROW(Leccion[SubSección]))),ROW(CC33))),"")</f>
        <v/>
      </c>
      <c r="CE34" s="51" t="str">
        <f t="array" aca="1" ref="CE34" ca="1">IFERROR(INDEX(Leccion[selectorLeccion],SMALL(IF(CE$1=Leccion[SubSección],MATCH(ROW(Leccion[SubSección]),ROW(Leccion[SubSección]))),ROW(CD33))),"")</f>
        <v/>
      </c>
      <c r="CF34" s="51" t="str">
        <f t="array" aca="1" ref="CF34" ca="1">IFERROR(INDEX(Leccion[selectorLeccion],SMALL(IF(CF$1=Leccion[SubSección],MATCH(ROW(Leccion[SubSección]),ROW(Leccion[SubSección]))),ROW(CE33))),"")</f>
        <v/>
      </c>
      <c r="CG34" s="51" t="str">
        <f t="array" aca="1" ref="CG34" ca="1">IFERROR(INDEX(Leccion[selectorLeccion],SMALL(IF(CG$1=Leccion[SubSección],MATCH(ROW(Leccion[SubSección]),ROW(Leccion[SubSección]))),ROW(CF33))),"")</f>
        <v/>
      </c>
      <c r="CH34" s="51" t="str">
        <f t="array" aca="1" ref="CH34" ca="1">IFERROR(INDEX(Leccion[selectorLeccion],SMALL(IF(CH$1=Leccion[SubSección],MATCH(ROW(Leccion[SubSección]),ROW(Leccion[SubSección]))),ROW(CG33))),"")</f>
        <v/>
      </c>
      <c r="CI34" s="51" t="str">
        <f t="array" aca="1" ref="CI34" ca="1">IFERROR(INDEX(Leccion[selectorLeccion],SMALL(IF(CI$1=Leccion[SubSección],MATCH(ROW(Leccion[SubSección]),ROW(Leccion[SubSección]))),ROW(CH33))),"")</f>
        <v/>
      </c>
      <c r="CJ34" s="51" t="str">
        <f t="array" aca="1" ref="CJ34" ca="1">IFERROR(INDEX(Leccion[selectorLeccion],SMALL(IF(CJ$1=Leccion[SubSección],MATCH(ROW(Leccion[SubSección]),ROW(Leccion[SubSección]))),ROW(CI33))),"")</f>
        <v/>
      </c>
      <c r="CK34" s="51" t="str">
        <f t="array" aca="1" ref="CK34" ca="1">IFERROR(INDEX(Leccion[selectorLeccion],SMALL(IF(CK$1=Leccion[SubSección],MATCH(ROW(Leccion[SubSección]),ROW(Leccion[SubSección]))),ROW(CJ33))),"")</f>
        <v/>
      </c>
      <c r="CL34" s="51" t="str">
        <f t="array" aca="1" ref="CL34" ca="1">IFERROR(INDEX(Leccion[selectorLeccion],SMALL(IF(CL$1=Leccion[SubSección],MATCH(ROW(Leccion[SubSección]),ROW(Leccion[SubSección]))),ROW(CK33))),"")</f>
        <v/>
      </c>
      <c r="CM34" s="51" t="str">
        <f t="array" aca="1" ref="CM34" ca="1">IFERROR(INDEX(Leccion[selectorLeccion],SMALL(IF(CM$1=Leccion[SubSección],MATCH(ROW(Leccion[SubSección]),ROW(Leccion[SubSección]))),ROW(CL33))),"")</f>
        <v/>
      </c>
      <c r="CN34" s="51" t="str">
        <f t="array" aca="1" ref="CN34" ca="1">IFERROR(INDEX(Leccion[selectorLeccion],SMALL(IF(CN$1=Leccion[SubSección],MATCH(ROW(Leccion[SubSección]),ROW(Leccion[SubSección]))),ROW(CM33))),"")</f>
        <v/>
      </c>
      <c r="CO34" s="51" t="str">
        <f t="array" aca="1" ref="CO34" ca="1">IFERROR(INDEX(Leccion[selectorLeccion],SMALL(IF(CO$1=Leccion[SubSección],MATCH(ROW(Leccion[SubSección]),ROW(Leccion[SubSección]))),ROW(CN33))),"")</f>
        <v/>
      </c>
      <c r="CP34" s="51" t="str">
        <f t="array" aca="1" ref="CP34" ca="1">IFERROR(INDEX(Leccion[selectorLeccion],SMALL(IF(CP$1=Leccion[SubSección],MATCH(ROW(Leccion[SubSección]),ROW(Leccion[SubSección]))),ROW(CO33))),"")</f>
        <v/>
      </c>
      <c r="CQ34" s="51" t="str">
        <f t="array" aca="1" ref="CQ34" ca="1">IFERROR(INDEX(Leccion[selectorLeccion],SMALL(IF(CQ$1=Leccion[SubSección],MATCH(ROW(Leccion[SubSección]),ROW(Leccion[SubSección]))),ROW(CP33))),"")</f>
        <v/>
      </c>
      <c r="CR34" s="51" t="str">
        <f t="array" aca="1" ref="CR34" ca="1">IFERROR(INDEX(Leccion[selectorLeccion],SMALL(IF(CR$1=Leccion[SubSección],MATCH(ROW(Leccion[SubSección]),ROW(Leccion[SubSección]))),ROW(CQ33))),"")</f>
        <v/>
      </c>
      <c r="CS34" s="51" t="str">
        <f t="array" aca="1" ref="CS34" ca="1">IFERROR(INDEX(Leccion[selectorLeccion],SMALL(IF(CS$1=Leccion[SubSección],MATCH(ROW(Leccion[SubSección]),ROW(Leccion[SubSección]))),ROW(CR33))),"")</f>
        <v/>
      </c>
      <c r="CT34" s="51" t="str">
        <f t="array" aca="1" ref="CT34" ca="1">IFERROR(INDEX(Leccion[selectorLeccion],SMALL(IF(CT$1=Leccion[SubSección],MATCH(ROW(Leccion[SubSección]),ROW(Leccion[SubSección]))),ROW(CS33))),"")</f>
        <v/>
      </c>
      <c r="CU34" s="51" t="str">
        <f t="array" aca="1" ref="CU34" ca="1">IFERROR(INDEX(Leccion[selectorLeccion],SMALL(IF(CU$1=Leccion[SubSección],MATCH(ROW(Leccion[SubSección]),ROW(Leccion[SubSección]))),ROW(CT33))),"")</f>
        <v/>
      </c>
      <c r="CV34" s="51" t="str">
        <f t="array" aca="1" ref="CV34" ca="1">IFERROR(INDEX(Leccion[selectorLeccion],SMALL(IF(CV$1=Leccion[SubSección],MATCH(ROW(Leccion[SubSección]),ROW(Leccion[SubSección]))),ROW(CU33))),"")</f>
        <v/>
      </c>
      <c r="CW34" s="51" t="str">
        <f t="array" aca="1" ref="CW34" ca="1">IFERROR(INDEX(Leccion[selectorLeccion],SMALL(IF(CW$1=Leccion[SubSección],MATCH(ROW(Leccion[SubSección]),ROW(Leccion[SubSección]))),ROW(CV33))),"")</f>
        <v/>
      </c>
      <c r="CX34" s="51" t="str">
        <f t="array" aca="1" ref="CX34" ca="1">IFERROR(INDEX(Leccion[selectorLeccion],SMALL(IF(CX$1=Leccion[SubSección],MATCH(ROW(Leccion[SubSección]),ROW(Leccion[SubSección]))),ROW(CW33))),"")</f>
        <v/>
      </c>
      <c r="CY34" s="51" t="str">
        <f t="array" aca="1" ref="CY34" ca="1">IFERROR(INDEX(Leccion[selectorLeccion],SMALL(IF(CY$1=Leccion[SubSección],MATCH(ROW(Leccion[SubSección]),ROW(Leccion[SubSección]))),ROW(CX33))),"")</f>
        <v/>
      </c>
      <c r="CZ34" s="51" t="str">
        <f t="array" aca="1" ref="CZ34" ca="1">IFERROR(INDEX(Leccion[selectorLeccion],SMALL(IF(CZ$1=Leccion[SubSección],MATCH(ROW(Leccion[SubSección]),ROW(Leccion[SubSección]))),ROW(CY33))),"")</f>
        <v/>
      </c>
      <c r="DA34" s="51" t="str">
        <f t="array" aca="1" ref="DA34" ca="1">IFERROR(INDEX(Leccion[selectorLeccion],SMALL(IF(DA$1=Leccion[SubSección],MATCH(ROW(Leccion[SubSección]),ROW(Leccion[SubSección]))),ROW(CZ33))),"")</f>
        <v/>
      </c>
      <c r="DB34" s="51" t="str">
        <f t="array" aca="1" ref="DB34" ca="1">IFERROR(INDEX(Leccion[selectorLeccion],SMALL(IF(DB$1=Leccion[SubSección],MATCH(ROW(Leccion[SubSección]),ROW(Leccion[SubSección]))),ROW(DA33))),"")</f>
        <v/>
      </c>
      <c r="DC34" s="51" t="str">
        <f t="array" aca="1" ref="DC34" ca="1">IFERROR(INDEX(Leccion[selectorLeccion],SMALL(IF(DC$1=Leccion[SubSección],MATCH(ROW(Leccion[SubSección]),ROW(Leccion[SubSección]))),ROW(DB33))),"")</f>
        <v/>
      </c>
      <c r="DD34" s="51" t="str">
        <f t="array" aca="1" ref="DD34" ca="1">IFERROR(INDEX(Leccion[selectorLeccion],SMALL(IF(DD$1=Leccion[SubSección],MATCH(ROW(Leccion[SubSección]),ROW(Leccion[SubSección]))),ROW(DC33))),"")</f>
        <v/>
      </c>
      <c r="DE34" s="51" t="str">
        <f t="array" aca="1" ref="DE34" ca="1">IFERROR(INDEX(Leccion[selectorLeccion],SMALL(IF(DE$1=Leccion[SubSección],MATCH(ROW(Leccion[SubSección]),ROW(Leccion[SubSección]))),ROW(DD33))),"")</f>
        <v/>
      </c>
      <c r="DF34" s="51" t="str">
        <f t="array" aca="1" ref="DF34" ca="1">IFERROR(INDEX(Leccion[selectorLeccion],SMALL(IF(DF$1=Leccion[SubSección],MATCH(ROW(Leccion[SubSección]),ROW(Leccion[SubSección]))),ROW(DE33))),"")</f>
        <v/>
      </c>
      <c r="DG34" s="51" t="str">
        <f t="array" aca="1" ref="DG34" ca="1">IFERROR(INDEX(Leccion[selectorLeccion],SMALL(IF(DG$1=Leccion[SubSección],MATCH(ROW(Leccion[SubSección]),ROW(Leccion[SubSección]))),ROW(DF33))),"")</f>
        <v/>
      </c>
      <c r="DH34" s="51" t="str">
        <f t="array" aca="1" ref="DH34" ca="1">IFERROR(INDEX(Leccion[selectorLeccion],SMALL(IF(DH$1=Leccion[SubSección],MATCH(ROW(Leccion[SubSección]),ROW(Leccion[SubSección]))),ROW(DG33))),"")</f>
        <v/>
      </c>
      <c r="DI34" s="51" t="str">
        <f t="array" aca="1" ref="DI34" ca="1">IFERROR(INDEX(Leccion[selectorLeccion],SMALL(IF(DI$1=Leccion[SubSección],MATCH(ROW(Leccion[SubSección]),ROW(Leccion[SubSección]))),ROW(DH33))),"")</f>
        <v/>
      </c>
      <c r="DJ34" s="51" t="str">
        <f t="array" aca="1" ref="DJ34" ca="1">IFERROR(INDEX(Leccion[selectorLeccion],SMALL(IF(DJ$1=Leccion[SubSección],MATCH(ROW(Leccion[SubSección]),ROW(Leccion[SubSección]))),ROW(DI33))),"")</f>
        <v/>
      </c>
      <c r="DK34" s="51" t="str">
        <f t="array" aca="1" ref="DK34" ca="1">IFERROR(INDEX(Leccion[selectorLeccion],SMALL(IF(DK$1=Leccion[SubSección],MATCH(ROW(Leccion[SubSección]),ROW(Leccion[SubSección]))),ROW(DJ33))),"")</f>
        <v/>
      </c>
      <c r="DL34" s="51" t="str">
        <f t="array" aca="1" ref="DL34" ca="1">IFERROR(INDEX(Leccion[selectorLeccion],SMALL(IF(DL$1=Leccion[SubSección],MATCH(ROW(Leccion[SubSección]),ROW(Leccion[SubSección]))),ROW(DK33))),"")</f>
        <v/>
      </c>
      <c r="DM34" s="51" t="str">
        <f t="array" aca="1" ref="DM34" ca="1">IFERROR(INDEX(Leccion[selectorLeccion],SMALL(IF(DM$1=Leccion[SubSección],MATCH(ROW(Leccion[SubSección]),ROW(Leccion[SubSección]))),ROW(DL33))),"")</f>
        <v/>
      </c>
      <c r="DN34" s="51" t="str">
        <f t="array" aca="1" ref="DN34" ca="1">IFERROR(INDEX(Leccion[selectorLeccion],SMALL(IF(DN$1=Leccion[SubSección],MATCH(ROW(Leccion[SubSección]),ROW(Leccion[SubSección]))),ROW(DM33))),"")</f>
        <v/>
      </c>
      <c r="DO34" s="51" t="str">
        <f t="array" aca="1" ref="DO34" ca="1">IFERROR(INDEX(Leccion[selectorLeccion],SMALL(IF(DO$1=Leccion[SubSección],MATCH(ROW(Leccion[SubSección]),ROW(Leccion[SubSección]))),ROW(DN33))),"")</f>
        <v/>
      </c>
      <c r="DP34" s="51" t="str">
        <f t="array" aca="1" ref="DP34" ca="1">IFERROR(INDEX(Leccion[selectorLeccion],SMALL(IF(DP$1=Leccion[SubSección],MATCH(ROW(Leccion[SubSección]),ROW(Leccion[SubSección]))),ROW(DO33))),"")</f>
        <v/>
      </c>
      <c r="DQ34" s="51" t="str">
        <f t="array" aca="1" ref="DQ34" ca="1">IFERROR(INDEX(Leccion[selectorLeccion],SMALL(IF(DQ$1=Leccion[SubSección],MATCH(ROW(Leccion[SubSección]),ROW(Leccion[SubSección]))),ROW(DP33))),"")</f>
        <v/>
      </c>
      <c r="DR34" s="51" t="str">
        <f t="array" aca="1" ref="DR34" ca="1">IFERROR(INDEX(Leccion[selectorLeccion],SMALL(IF(DR$1=Leccion[SubSección],MATCH(ROW(Leccion[SubSección]),ROW(Leccion[SubSección]))),ROW(DQ33))),"")</f>
        <v/>
      </c>
      <c r="DS34" s="51" t="str">
        <f t="array" aca="1" ref="DS34" ca="1">IFERROR(INDEX(Leccion[selectorLeccion],SMALL(IF(DS$1=Leccion[SubSección],MATCH(ROW(Leccion[SubSección]),ROW(Leccion[SubSección]))),ROW(DR33))),"")</f>
        <v/>
      </c>
      <c r="DT34" s="51" t="str">
        <f t="array" aca="1" ref="DT34" ca="1">IFERROR(INDEX(Leccion[selectorLeccion],SMALL(IF(DT$1=Leccion[SubSección],MATCH(ROW(Leccion[SubSección]),ROW(Leccion[SubSección]))),ROW(DS33))),"")</f>
        <v/>
      </c>
      <c r="DU34" s="51" t="str">
        <f t="array" aca="1" ref="DU34" ca="1">IFERROR(INDEX(Leccion[selectorLeccion],SMALL(IF(DU$1=Leccion[SubSección],MATCH(ROW(Leccion[SubSección]),ROW(Leccion[SubSección]))),ROW(DT33))),"")</f>
        <v/>
      </c>
      <c r="DV34" s="51" t="str">
        <f t="array" aca="1" ref="DV34" ca="1">IFERROR(INDEX(Leccion[selectorLeccion],SMALL(IF(DV$1=Leccion[SubSección],MATCH(ROW(Leccion[SubSección]),ROW(Leccion[SubSección]))),ROW(DU33))),"")</f>
        <v/>
      </c>
      <c r="DW34" s="51" t="str">
        <f t="array" aca="1" ref="DW34" ca="1">IFERROR(INDEX(Leccion[selectorLeccion],SMALL(IF(DW$1=Leccion[SubSección],MATCH(ROW(Leccion[SubSección]),ROW(Leccion[SubSección]))),ROW(DV33))),"")</f>
        <v/>
      </c>
      <c r="DX34" s="51" t="str">
        <f t="array" aca="1" ref="DX34" ca="1">IFERROR(INDEX(Leccion[selectorLeccion],SMALL(IF(DX$1=Leccion[SubSección],MATCH(ROW(Leccion[SubSección]),ROW(Leccion[SubSección]))),ROW(DW33))),"")</f>
        <v/>
      </c>
      <c r="DY34" s="51" t="str">
        <f t="array" aca="1" ref="DY34" ca="1">IFERROR(INDEX(Leccion[selectorLeccion],SMALL(IF(DY$1=Leccion[SubSección],MATCH(ROW(Leccion[SubSección]),ROW(Leccion[SubSección]))),ROW(DX33))),"")</f>
        <v/>
      </c>
      <c r="DZ34" s="51" t="str">
        <f t="array" aca="1" ref="DZ34" ca="1">IFERROR(INDEX(Leccion[selectorLeccion],SMALL(IF(DZ$1=Leccion[SubSección],MATCH(ROW(Leccion[SubSección]),ROW(Leccion[SubSección]))),ROW(DY33))),"")</f>
        <v/>
      </c>
      <c r="EA34" s="51" t="str">
        <f t="array" aca="1" ref="EA34" ca="1">IFERROR(INDEX(Leccion[selectorLeccion],SMALL(IF(EA$1=Leccion[SubSección],MATCH(ROW(Leccion[SubSección]),ROW(Leccion[SubSección]))),ROW(DZ33))),"")</f>
        <v/>
      </c>
      <c r="EB34" s="51" t="str">
        <f t="array" aca="1" ref="EB34" ca="1">IFERROR(INDEX(Leccion[selectorLeccion],SMALL(IF(EB$1=Leccion[SubSección],MATCH(ROW(Leccion[SubSección]),ROW(Leccion[SubSección]))),ROW(EA33))),"")</f>
        <v/>
      </c>
      <c r="EC34" s="51" t="str">
        <f t="array" aca="1" ref="EC34" ca="1">IFERROR(INDEX(Leccion[selectorLeccion],SMALL(IF(EC$1=Leccion[SubSección],MATCH(ROW(Leccion[SubSección]),ROW(Leccion[SubSección]))),ROW(EB33))),"")</f>
        <v/>
      </c>
      <c r="ED34" s="51" t="str">
        <f t="array" aca="1" ref="ED34" ca="1">IFERROR(INDEX(Leccion[selectorLeccion],SMALL(IF(ED$1=Leccion[SubSección],MATCH(ROW(Leccion[SubSección]),ROW(Leccion[SubSección]))),ROW(EC33))),"")</f>
        <v/>
      </c>
      <c r="EE34" s="51" t="str">
        <f t="array" aca="1" ref="EE34" ca="1">IFERROR(INDEX(Leccion[selectorLeccion],SMALL(IF(EE$1=Leccion[SubSección],MATCH(ROW(Leccion[SubSección]),ROW(Leccion[SubSección]))),ROW(ED33))),"")</f>
        <v/>
      </c>
      <c r="EF34" s="51" t="str">
        <f t="array" aca="1" ref="EF34" ca="1">IFERROR(INDEX(Leccion[selectorLeccion],SMALL(IF(EF$1=Leccion[SubSección],MATCH(ROW(Leccion[SubSección]),ROW(Leccion[SubSección]))),ROW(EE33))),"")</f>
        <v/>
      </c>
      <c r="EG34" s="51" t="str">
        <f t="array" aca="1" ref="EG34" ca="1">IFERROR(INDEX(Leccion[selectorLeccion],SMALL(IF(EG$1=Leccion[SubSección],MATCH(ROW(Leccion[SubSección]),ROW(Leccion[SubSección]))),ROW(EF33))),"")</f>
        <v/>
      </c>
      <c r="EH34" s="51" t="str">
        <f t="array" aca="1" ref="EH34" ca="1">IFERROR(INDEX(Leccion[selectorLeccion],SMALL(IF(EH$1=Leccion[SubSección],MATCH(ROW(Leccion[SubSección]),ROW(Leccion[SubSección]))),ROW(EG33))),"")</f>
        <v/>
      </c>
      <c r="EI34" s="51" t="str">
        <f t="array" aca="1" ref="EI34" ca="1">IFERROR(INDEX(Leccion[selectorLeccion],SMALL(IF(EI$1=Leccion[SubSección],MATCH(ROW(Leccion[SubSección]),ROW(Leccion[SubSección]))),ROW(EH33))),"")</f>
        <v/>
      </c>
      <c r="EJ34" s="51" t="str">
        <f t="array" aca="1" ref="EJ34" ca="1">IFERROR(INDEX(Leccion[selectorLeccion],SMALL(IF(EJ$1=Leccion[SubSección],MATCH(ROW(Leccion[SubSección]),ROW(Leccion[SubSección]))),ROW(EI33))),"")</f>
        <v/>
      </c>
      <c r="EK34" s="51" t="str">
        <f t="array" aca="1" ref="EK34" ca="1">IFERROR(INDEX(Leccion[selectorLeccion],SMALL(IF(EK$1=Leccion[SubSección],MATCH(ROW(Leccion[SubSección]),ROW(Leccion[SubSección]))),ROW(EJ33))),"")</f>
        <v/>
      </c>
      <c r="EL34" s="51" t="str">
        <f t="array" aca="1" ref="EL34" ca="1">IFERROR(INDEX(Leccion[selectorLeccion],SMALL(IF(EL$1=Leccion[SubSección],MATCH(ROW(Leccion[SubSección]),ROW(Leccion[SubSección]))),ROW(EK33))),"")</f>
        <v/>
      </c>
      <c r="EM34" s="51" t="str">
        <f t="array" aca="1" ref="EM34" ca="1">IFERROR(INDEX(Leccion[selectorLeccion],SMALL(IF(EM$1=Leccion[SubSección],MATCH(ROW(Leccion[SubSección]),ROW(Leccion[SubSección]))),ROW(EL33))),"")</f>
        <v/>
      </c>
      <c r="EN34" s="51" t="str">
        <f t="array" aca="1" ref="EN34" ca="1">IFERROR(INDEX(Leccion[selectorLeccion],SMALL(IF(EN$1=Leccion[SubSección],MATCH(ROW(Leccion[SubSección]),ROW(Leccion[SubSección]))),ROW(EM33))),"")</f>
        <v/>
      </c>
      <c r="EO34" s="51" t="str">
        <f t="array" aca="1" ref="EO34" ca="1">IFERROR(INDEX(Leccion[selectorLeccion],SMALL(IF(EO$1=Leccion[SubSección],MATCH(ROW(Leccion[SubSección]),ROW(Leccion[SubSección]))),ROW(EN33))),"")</f>
        <v/>
      </c>
      <c r="EP34" s="51" t="str">
        <f t="array" aca="1" ref="EP34" ca="1">IFERROR(INDEX(Leccion[selectorLeccion],SMALL(IF(EP$1=Leccion[SubSección],MATCH(ROW(Leccion[SubSección]),ROW(Leccion[SubSección]))),ROW(EO33))),"")</f>
        <v/>
      </c>
      <c r="EQ34" s="51" t="str">
        <f t="array" aca="1" ref="EQ34" ca="1">IFERROR(INDEX(Leccion[selectorLeccion],SMALL(IF(EQ$1=Leccion[SubSección],MATCH(ROW(Leccion[SubSección]),ROW(Leccion[SubSección]))),ROW(EP33))),"")</f>
        <v/>
      </c>
      <c r="ER34" s="51" t="str">
        <f t="array" aca="1" ref="ER34" ca="1">IFERROR(INDEX(Leccion[selectorLeccion],SMALL(IF(ER$1=Leccion[SubSección],MATCH(ROW(Leccion[SubSección]),ROW(Leccion[SubSección]))),ROW(EQ33))),"")</f>
        <v/>
      </c>
      <c r="ES34" s="51" t="str">
        <f t="array" aca="1" ref="ES34" ca="1">IFERROR(INDEX(Leccion[selectorLeccion],SMALL(IF(ES$1=Leccion[SubSección],MATCH(ROW(Leccion[SubSección]),ROW(Leccion[SubSección]))),ROW(ER33))),"")</f>
        <v/>
      </c>
      <c r="ET34" s="51" t="str">
        <f t="array" aca="1" ref="ET34" ca="1">IFERROR(INDEX(Leccion[selectorLeccion],SMALL(IF(ET$1=Leccion[SubSección],MATCH(ROW(Leccion[SubSección]),ROW(Leccion[SubSección]))),ROW(ES33))),"")</f>
        <v/>
      </c>
      <c r="EU34" s="51" t="str">
        <f t="array" aca="1" ref="EU34" ca="1">IFERROR(INDEX(Leccion[selectorLeccion],SMALL(IF(EU$1=Leccion[SubSección],MATCH(ROW(Leccion[SubSección]),ROW(Leccion[SubSección]))),ROW(ET33))),"")</f>
        <v/>
      </c>
      <c r="EV34" s="51" t="str">
        <f t="array" aca="1" ref="EV34" ca="1">IFERROR(INDEX(Leccion[selectorLeccion],SMALL(IF(EV$1=Leccion[SubSección],MATCH(ROW(Leccion[SubSección]),ROW(Leccion[SubSección]))),ROW(EU33))),"")</f>
        <v/>
      </c>
      <c r="EW34" s="51" t="str">
        <f t="array" aca="1" ref="EW34" ca="1">IFERROR(INDEX(Leccion[selectorLeccion],SMALL(IF(EW$1=Leccion[SubSección],MATCH(ROW(Leccion[SubSección]),ROW(Leccion[SubSección]))),ROW(EV33))),"")</f>
        <v/>
      </c>
      <c r="EX34" s="51" t="str">
        <f t="array" aca="1" ref="EX34" ca="1">IFERROR(INDEX(Leccion[selectorLeccion],SMALL(IF(EX$1=Leccion[SubSección],MATCH(ROW(Leccion[SubSección]),ROW(Leccion[SubSección]))),ROW(EW33))),"")</f>
        <v/>
      </c>
      <c r="EY34" s="51" t="str">
        <f t="array" aca="1" ref="EY34" ca="1">IFERROR(INDEX(Leccion[selectorLeccion],SMALL(IF(EY$1=Leccion[SubSección],MATCH(ROW(Leccion[SubSección]),ROW(Leccion[SubSección]))),ROW(EX33))),"")</f>
        <v/>
      </c>
      <c r="EZ34" s="51" t="str">
        <f t="array" aca="1" ref="EZ34" ca="1">IFERROR(INDEX(Leccion[selectorLeccion],SMALL(IF(EZ$1=Leccion[SubSección],MATCH(ROW(Leccion[SubSección]),ROW(Leccion[SubSección]))),ROW(EY33))),"")</f>
        <v/>
      </c>
    </row>
    <row r="35" spans="2:156" x14ac:dyDescent="0.3">
      <c r="B35" s="51" t="str">
        <f t="array" aca="1" ref="B35" ca="1">IFERROR(INDEX(Leccion[selectorLeccion],SMALL(IF(B$1=Leccion[SubSección],MATCH(ROW(Leccion[SubSección]),ROW(Leccion[SubSección]))),ROW(A34))),"")</f>
        <v/>
      </c>
      <c r="C35" s="51" t="str">
        <f t="array" aca="1" ref="C35" ca="1">IFERROR(INDEX(Leccion[selectorLeccion],SMALL(IF(C$1=Leccion[SubSección],MATCH(ROW(Leccion[SubSección]),ROW(Leccion[SubSección]))),ROW(B34))),"")</f>
        <v/>
      </c>
      <c r="D35" s="51" t="str">
        <f t="array" aca="1" ref="D35" ca="1">IFERROR(INDEX(Leccion[selectorLeccion],SMALL(IF(D$1=Leccion[SubSección],MATCH(ROW(Leccion[SubSección]),ROW(Leccion[SubSección]))),ROW(C34))),"")</f>
        <v/>
      </c>
      <c r="E35" s="51" t="str">
        <f t="array" aca="1" ref="E35" ca="1">IFERROR(INDEX(Leccion[selectorLeccion],SMALL(IF(E$1=Leccion[SubSección],MATCH(ROW(Leccion[SubSección]),ROW(Leccion[SubSección]))),ROW(D34))),"")</f>
        <v/>
      </c>
      <c r="F35" s="51" t="str">
        <f t="array" aca="1" ref="F35" ca="1">IFERROR(INDEX(Leccion[selectorLeccion],SMALL(IF(F$1=Leccion[SubSección],MATCH(ROW(Leccion[SubSección]),ROW(Leccion[SubSección]))),ROW(E34))),"")</f>
        <v/>
      </c>
      <c r="G35" s="51" t="str">
        <f t="array" aca="1" ref="G35" ca="1">IFERROR(INDEX(Leccion[selectorLeccion],SMALL(IF(G$1=Leccion[SubSección],MATCH(ROW(Leccion[SubSección]),ROW(Leccion[SubSección]))),ROW(F34))),"")</f>
        <v/>
      </c>
      <c r="H35" s="51" t="str">
        <f t="array" aca="1" ref="H35" ca="1">IFERROR(INDEX(Leccion[selectorLeccion],SMALL(IF(H$1=Leccion[SubSección],MATCH(ROW(Leccion[SubSección]),ROW(Leccion[SubSección]))),ROW(G34))),"")</f>
        <v/>
      </c>
      <c r="I35" s="51" t="str">
        <f t="array" aca="1" ref="I35" ca="1">IFERROR(INDEX(Leccion[selectorLeccion],SMALL(IF(I$1=Leccion[SubSección],MATCH(ROW(Leccion[SubSección]),ROW(Leccion[SubSección]))),ROW(H34))),"")</f>
        <v/>
      </c>
      <c r="J35" s="51" t="str">
        <f t="array" aca="1" ref="J35" ca="1">IFERROR(INDEX(Leccion[selectorLeccion],SMALL(IF(J$1=Leccion[SubSección],MATCH(ROW(Leccion[SubSección]),ROW(Leccion[SubSección]))),ROW(I34))),"")</f>
        <v/>
      </c>
      <c r="K35" s="51" t="str">
        <f t="array" aca="1" ref="K35" ca="1">IFERROR(INDEX(Leccion[selectorLeccion],SMALL(IF(K$1=Leccion[SubSección],MATCH(ROW(Leccion[SubSección]),ROW(Leccion[SubSección]))),ROW(J34))),"")</f>
        <v/>
      </c>
      <c r="L35" s="51" t="str">
        <f t="array" aca="1" ref="L35" ca="1">IFERROR(INDEX(Leccion[selectorLeccion],SMALL(IF(L$1=Leccion[SubSección],MATCH(ROW(Leccion[SubSección]),ROW(Leccion[SubSección]))),ROW(K34))),"")</f>
        <v/>
      </c>
      <c r="M35" s="51" t="str">
        <f t="array" aca="1" ref="M35" ca="1">IFERROR(INDEX(Leccion[selectorLeccion],SMALL(IF(M$1=Leccion[SubSección],MATCH(ROW(Leccion[SubSección]),ROW(Leccion[SubSección]))),ROW(L34))),"")</f>
        <v/>
      </c>
      <c r="N35" s="51" t="str">
        <f t="array" aca="1" ref="N35" ca="1">IFERROR(INDEX(Leccion[selectorLeccion],SMALL(IF(N$1=Leccion[SubSección],MATCH(ROW(Leccion[SubSección]),ROW(Leccion[SubSección]))),ROW(M34))),"")</f>
        <v/>
      </c>
      <c r="O35" s="51" t="str">
        <f t="array" aca="1" ref="O35" ca="1">IFERROR(INDEX(Leccion[selectorLeccion],SMALL(IF(O$1=Leccion[SubSección],MATCH(ROW(Leccion[SubSección]),ROW(Leccion[SubSección]))),ROW(N34))),"")</f>
        <v/>
      </c>
      <c r="P35" s="51" t="str">
        <f t="array" aca="1" ref="P35" ca="1">IFERROR(INDEX(Leccion[selectorLeccion],SMALL(IF(P$1=Leccion[SubSección],MATCH(ROW(Leccion[SubSección]),ROW(Leccion[SubSección]))),ROW(O34))),"")</f>
        <v/>
      </c>
      <c r="Q35" s="51" t="str">
        <f t="array" aca="1" ref="Q35" ca="1">IFERROR(INDEX(Leccion[selectorLeccion],SMALL(IF(Q$1=Leccion[SubSección],MATCH(ROW(Leccion[SubSección]),ROW(Leccion[SubSección]))),ROW(P34))),"")</f>
        <v/>
      </c>
      <c r="R35" s="51" t="str">
        <f t="array" aca="1" ref="R35" ca="1">IFERROR(INDEX(Leccion[selectorLeccion],SMALL(IF(R$1=Leccion[SubSección],MATCH(ROW(Leccion[SubSección]),ROW(Leccion[SubSección]))),ROW(Q34))),"")</f>
        <v/>
      </c>
      <c r="S35" s="51" t="str">
        <f t="array" aca="1" ref="S35" ca="1">IFERROR(INDEX(Leccion[selectorLeccion],SMALL(IF(S$1=Leccion[SubSección],MATCH(ROW(Leccion[SubSección]),ROW(Leccion[SubSección]))),ROW(R34))),"")</f>
        <v/>
      </c>
      <c r="T35" s="51" t="str">
        <f t="array" aca="1" ref="T35" ca="1">IFERROR(INDEX(Leccion[selectorLeccion],SMALL(IF(T$1=Leccion[SubSección],MATCH(ROW(Leccion[SubSección]),ROW(Leccion[SubSección]))),ROW(S34))),"")</f>
        <v/>
      </c>
      <c r="U35" s="51" t="str">
        <f t="array" aca="1" ref="U35" ca="1">IFERROR(INDEX(Leccion[selectorLeccion],SMALL(IF(U$1=Leccion[SubSección],MATCH(ROW(Leccion[SubSección]),ROW(Leccion[SubSección]))),ROW(T34))),"")</f>
        <v/>
      </c>
      <c r="V35" s="51" t="str">
        <f t="array" aca="1" ref="V35" ca="1">IFERROR(INDEX(Leccion[selectorLeccion],SMALL(IF(V$1=Leccion[SubSección],MATCH(ROW(Leccion[SubSección]),ROW(Leccion[SubSección]))),ROW(U34))),"")</f>
        <v/>
      </c>
      <c r="W35" s="51" t="str">
        <f t="array" aca="1" ref="W35" ca="1">IFERROR(INDEX(Leccion[selectorLeccion],SMALL(IF(W$1=Leccion[SubSección],MATCH(ROW(Leccion[SubSección]),ROW(Leccion[SubSección]))),ROW(V34))),"")</f>
        <v/>
      </c>
      <c r="X35" s="51" t="str">
        <f t="array" aca="1" ref="X35" ca="1">IFERROR(INDEX(Leccion[selectorLeccion],SMALL(IF(X$1=Leccion[SubSección],MATCH(ROW(Leccion[SubSección]),ROW(Leccion[SubSección]))),ROW(W34))),"")</f>
        <v/>
      </c>
      <c r="Y35" s="51" t="str">
        <f t="array" aca="1" ref="Y35" ca="1">IFERROR(INDEX(Leccion[selectorLeccion],SMALL(IF(Y$1=Leccion[SubSección],MATCH(ROW(Leccion[SubSección]),ROW(Leccion[SubSección]))),ROW(X34))),"")</f>
        <v/>
      </c>
      <c r="Z35" s="51" t="str">
        <f t="array" aca="1" ref="Z35" ca="1">IFERROR(INDEX(Leccion[selectorLeccion],SMALL(IF(Z$1=Leccion[SubSección],MATCH(ROW(Leccion[SubSección]),ROW(Leccion[SubSección]))),ROW(Y34))),"")</f>
        <v/>
      </c>
      <c r="AA35" s="51" t="str">
        <f t="array" aca="1" ref="AA35" ca="1">IFERROR(INDEX(Leccion[selectorLeccion],SMALL(IF(AA$1=Leccion[SubSección],MATCH(ROW(Leccion[SubSección]),ROW(Leccion[SubSección]))),ROW(Z34))),"")</f>
        <v/>
      </c>
      <c r="AB35" s="51" t="str">
        <f t="array" aca="1" ref="AB35" ca="1">IFERROR(INDEX(Leccion[selectorLeccion],SMALL(IF(AB$1=Leccion[SubSección],MATCH(ROW(Leccion[SubSección]),ROW(Leccion[SubSección]))),ROW(AA34))),"")</f>
        <v/>
      </c>
      <c r="AC35" s="51" t="str">
        <f t="array" aca="1" ref="AC35" ca="1">IFERROR(INDEX(Leccion[selectorLeccion],SMALL(IF(AC$1=Leccion[SubSección],MATCH(ROW(Leccion[SubSección]),ROW(Leccion[SubSección]))),ROW(AB34))),"")</f>
        <v/>
      </c>
      <c r="AD35" s="51" t="str">
        <f t="array" aca="1" ref="AD35" ca="1">IFERROR(INDEX(Leccion[selectorLeccion],SMALL(IF(AD$1=Leccion[SubSección],MATCH(ROW(Leccion[SubSección]),ROW(Leccion[SubSección]))),ROW(AC34))),"")</f>
        <v/>
      </c>
      <c r="AE35" s="51" t="str">
        <f t="array" aca="1" ref="AE35" ca="1">IFERROR(INDEX(Leccion[selectorLeccion],SMALL(IF(AE$1=Leccion[SubSección],MATCH(ROW(Leccion[SubSección]),ROW(Leccion[SubSección]))),ROW(AD34))),"")</f>
        <v/>
      </c>
      <c r="AF35" s="51" t="str">
        <f t="array" aca="1" ref="AF35" ca="1">IFERROR(INDEX(Leccion[selectorLeccion],SMALL(IF(AF$1=Leccion[SubSección],MATCH(ROW(Leccion[SubSección]),ROW(Leccion[SubSección]))),ROW(AE34))),"")</f>
        <v/>
      </c>
      <c r="AG35" s="51" t="str">
        <f t="array" aca="1" ref="AG35" ca="1">IFERROR(INDEX(Leccion[selectorLeccion],SMALL(IF(AG$1=Leccion[SubSección],MATCH(ROW(Leccion[SubSección]),ROW(Leccion[SubSección]))),ROW(AF34))),"")</f>
        <v/>
      </c>
      <c r="AH35" s="51" t="str">
        <f t="array" aca="1" ref="AH35" ca="1">IFERROR(INDEX(Leccion[selectorLeccion],SMALL(IF(AH$1=Leccion[SubSección],MATCH(ROW(Leccion[SubSección]),ROW(Leccion[SubSección]))),ROW(AG34))),"")</f>
        <v/>
      </c>
      <c r="AI35" s="51" t="str">
        <f t="array" aca="1" ref="AI35" ca="1">IFERROR(INDEX(Leccion[selectorLeccion],SMALL(IF(AI$1=Leccion[SubSección],MATCH(ROW(Leccion[SubSección]),ROW(Leccion[SubSección]))),ROW(AH34))),"")</f>
        <v/>
      </c>
      <c r="AJ35" s="51" t="str">
        <f t="array" aca="1" ref="AJ35" ca="1">IFERROR(INDEX(Leccion[selectorLeccion],SMALL(IF(AJ$1=Leccion[SubSección],MATCH(ROW(Leccion[SubSección]),ROW(Leccion[SubSección]))),ROW(AI34))),"")</f>
        <v/>
      </c>
      <c r="AK35" s="51" t="str">
        <f t="array" aca="1" ref="AK35" ca="1">IFERROR(INDEX(Leccion[selectorLeccion],SMALL(IF(AK$1=Leccion[SubSección],MATCH(ROW(Leccion[SubSección]),ROW(Leccion[SubSección]))),ROW(AJ34))),"")</f>
        <v/>
      </c>
      <c r="AL35" s="51" t="str">
        <f t="array" aca="1" ref="AL35" ca="1">IFERROR(INDEX(Leccion[selectorLeccion],SMALL(IF(AL$1=Leccion[SubSección],MATCH(ROW(Leccion[SubSección]),ROW(Leccion[SubSección]))),ROW(AK34))),"")</f>
        <v/>
      </c>
      <c r="AM35" s="51" t="str">
        <f t="array" aca="1" ref="AM35" ca="1">IFERROR(INDEX(Leccion[selectorLeccion],SMALL(IF(AM$1=Leccion[SubSección],MATCH(ROW(Leccion[SubSección]),ROW(Leccion[SubSección]))),ROW(AL34))),"")</f>
        <v/>
      </c>
      <c r="AN35" s="51" t="str">
        <f t="array" aca="1" ref="AN35" ca="1">IFERROR(INDEX(Leccion[selectorLeccion],SMALL(IF(AN$1=Leccion[SubSección],MATCH(ROW(Leccion[SubSección]),ROW(Leccion[SubSección]))),ROW(AM34))),"")</f>
        <v/>
      </c>
      <c r="AO35" s="51" t="str">
        <f t="array" aca="1" ref="AO35" ca="1">IFERROR(INDEX(Leccion[selectorLeccion],SMALL(IF(AO$1=Leccion[SubSección],MATCH(ROW(Leccion[SubSección]),ROW(Leccion[SubSección]))),ROW(AN34))),"")</f>
        <v/>
      </c>
      <c r="AP35" s="51" t="str">
        <f t="array" aca="1" ref="AP35" ca="1">IFERROR(INDEX(Leccion[selectorLeccion],SMALL(IF(AP$1=Leccion[SubSección],MATCH(ROW(Leccion[SubSección]),ROW(Leccion[SubSección]))),ROW(AO34))),"")</f>
        <v/>
      </c>
      <c r="AQ35" s="51" t="str">
        <f t="array" aca="1" ref="AQ35" ca="1">IFERROR(INDEX(Leccion[selectorLeccion],SMALL(IF(AQ$1=Leccion[SubSección],MATCH(ROW(Leccion[SubSección]),ROW(Leccion[SubSección]))),ROW(AP34))),"")</f>
        <v/>
      </c>
      <c r="AR35" s="51" t="str">
        <f t="array" aca="1" ref="AR35" ca="1">IFERROR(INDEX(Leccion[selectorLeccion],SMALL(IF(AR$1=Leccion[SubSección],MATCH(ROW(Leccion[SubSección]),ROW(Leccion[SubSección]))),ROW(AQ34))),"")</f>
        <v/>
      </c>
      <c r="AS35" s="51" t="str">
        <f t="array" aca="1" ref="AS35" ca="1">IFERROR(INDEX(Leccion[selectorLeccion],SMALL(IF(AS$1=Leccion[SubSección],MATCH(ROW(Leccion[SubSección]),ROW(Leccion[SubSección]))),ROW(AR34))),"")</f>
        <v/>
      </c>
      <c r="AT35" s="51" t="str">
        <f t="array" aca="1" ref="AT35" ca="1">IFERROR(INDEX(Leccion[selectorLeccion],SMALL(IF(AT$1=Leccion[SubSección],MATCH(ROW(Leccion[SubSección]),ROW(Leccion[SubSección]))),ROW(AS34))),"")</f>
        <v/>
      </c>
      <c r="AU35" s="51" t="str">
        <f t="array" aca="1" ref="AU35" ca="1">IFERROR(INDEX(Leccion[selectorLeccion],SMALL(IF(AU$1=Leccion[SubSección],MATCH(ROW(Leccion[SubSección]),ROW(Leccion[SubSección]))),ROW(AT34))),"")</f>
        <v/>
      </c>
      <c r="AV35" s="51" t="str">
        <f t="array" aca="1" ref="AV35" ca="1">IFERROR(INDEX(Leccion[selectorLeccion],SMALL(IF(AV$1=Leccion[SubSección],MATCH(ROW(Leccion[SubSección]),ROW(Leccion[SubSección]))),ROW(AU34))),"")</f>
        <v/>
      </c>
      <c r="AW35" s="51" t="str">
        <f t="array" aca="1" ref="AW35" ca="1">IFERROR(INDEX(Leccion[selectorLeccion],SMALL(IF(AW$1=Leccion[SubSección],MATCH(ROW(Leccion[SubSección]),ROW(Leccion[SubSección]))),ROW(AV34))),"")</f>
        <v/>
      </c>
      <c r="AX35" s="51" t="str">
        <f t="array" aca="1" ref="AX35" ca="1">IFERROR(INDEX(Leccion[selectorLeccion],SMALL(IF(AX$1=Leccion[SubSección],MATCH(ROW(Leccion[SubSección]),ROW(Leccion[SubSección]))),ROW(AW34))),"")</f>
        <v/>
      </c>
      <c r="AY35" s="51" t="str">
        <f t="array" aca="1" ref="AY35" ca="1">IFERROR(INDEX(Leccion[selectorLeccion],SMALL(IF(AY$1=Leccion[SubSección],MATCH(ROW(Leccion[SubSección]),ROW(Leccion[SubSección]))),ROW(AX34))),"")</f>
        <v/>
      </c>
      <c r="AZ35" s="51" t="str">
        <f t="array" aca="1" ref="AZ35" ca="1">IFERROR(INDEX(Leccion[selectorLeccion],SMALL(IF(AZ$1=Leccion[SubSección],MATCH(ROW(Leccion[SubSección]),ROW(Leccion[SubSección]))),ROW(AY34))),"")</f>
        <v/>
      </c>
      <c r="BA35" s="51" t="str">
        <f t="array" aca="1" ref="BA35" ca="1">IFERROR(INDEX(Leccion[selectorLeccion],SMALL(IF(BA$1=Leccion[SubSección],MATCH(ROW(Leccion[SubSección]),ROW(Leccion[SubSección]))),ROW(AZ34))),"")</f>
        <v/>
      </c>
      <c r="BB35" s="51" t="str">
        <f t="array" aca="1" ref="BB35" ca="1">IFERROR(INDEX(Leccion[selectorLeccion],SMALL(IF(BB$1=Leccion[SubSección],MATCH(ROW(Leccion[SubSección]),ROW(Leccion[SubSección]))),ROW(BA34))),"")</f>
        <v/>
      </c>
      <c r="BC35" s="51" t="str">
        <f t="array" aca="1" ref="BC35" ca="1">IFERROR(INDEX(Leccion[selectorLeccion],SMALL(IF(BC$1=Leccion[SubSección],MATCH(ROW(Leccion[SubSección]),ROW(Leccion[SubSección]))),ROW(BB34))),"")</f>
        <v/>
      </c>
      <c r="BD35" s="51" t="str">
        <f t="array" aca="1" ref="BD35" ca="1">IFERROR(INDEX(Leccion[selectorLeccion],SMALL(IF(BD$1=Leccion[SubSección],MATCH(ROW(Leccion[SubSección]),ROW(Leccion[SubSección]))),ROW(BC34))),"")</f>
        <v/>
      </c>
      <c r="BE35" s="51" t="str">
        <f t="array" aca="1" ref="BE35" ca="1">IFERROR(INDEX(Leccion[selectorLeccion],SMALL(IF(BE$1=Leccion[SubSección],MATCH(ROW(Leccion[SubSección]),ROW(Leccion[SubSección]))),ROW(BD34))),"")</f>
        <v/>
      </c>
      <c r="BF35" s="51" t="str">
        <f t="array" aca="1" ref="BF35" ca="1">IFERROR(INDEX(Leccion[selectorLeccion],SMALL(IF(BF$1=Leccion[SubSección],MATCH(ROW(Leccion[SubSección]),ROW(Leccion[SubSección]))),ROW(BE34))),"")</f>
        <v/>
      </c>
      <c r="BG35" s="51" t="str">
        <f t="array" aca="1" ref="BG35" ca="1">IFERROR(INDEX(Leccion[selectorLeccion],SMALL(IF(BG$1=Leccion[SubSección],MATCH(ROW(Leccion[SubSección]),ROW(Leccion[SubSección]))),ROW(BF34))),"")</f>
        <v/>
      </c>
      <c r="BH35" s="51" t="str">
        <f t="array" aca="1" ref="BH35" ca="1">IFERROR(INDEX(Leccion[selectorLeccion],SMALL(IF(BH$1=Leccion[SubSección],MATCH(ROW(Leccion[SubSección]),ROW(Leccion[SubSección]))),ROW(BG34))),"")</f>
        <v/>
      </c>
      <c r="BI35" s="51" t="str">
        <f t="array" aca="1" ref="BI35" ca="1">IFERROR(INDEX(Leccion[selectorLeccion],SMALL(IF(BI$1=Leccion[SubSección],MATCH(ROW(Leccion[SubSección]),ROW(Leccion[SubSección]))),ROW(BH34))),"")</f>
        <v/>
      </c>
      <c r="BJ35" s="51" t="str">
        <f t="array" aca="1" ref="BJ35" ca="1">IFERROR(INDEX(Leccion[selectorLeccion],SMALL(IF(BJ$1=Leccion[SubSección],MATCH(ROW(Leccion[SubSección]),ROW(Leccion[SubSección]))),ROW(BI34))),"")</f>
        <v/>
      </c>
      <c r="BK35" s="51" t="str">
        <f t="array" aca="1" ref="BK35" ca="1">IFERROR(INDEX(Leccion[selectorLeccion],SMALL(IF(BK$1=Leccion[SubSección],MATCH(ROW(Leccion[SubSección]),ROW(Leccion[SubSección]))),ROW(BJ34))),"")</f>
        <v/>
      </c>
      <c r="BL35" s="51" t="str">
        <f t="array" aca="1" ref="BL35" ca="1">IFERROR(INDEX(Leccion[selectorLeccion],SMALL(IF(BL$1=Leccion[SubSección],MATCH(ROW(Leccion[SubSección]),ROW(Leccion[SubSección]))),ROW(BK34))),"")</f>
        <v/>
      </c>
      <c r="BM35" s="51" t="str">
        <f t="array" aca="1" ref="BM35" ca="1">IFERROR(INDEX(Leccion[selectorLeccion],SMALL(IF(BM$1=Leccion[SubSección],MATCH(ROW(Leccion[SubSección]),ROW(Leccion[SubSección]))),ROW(BL34))),"")</f>
        <v/>
      </c>
      <c r="BN35" s="51" t="str">
        <f t="array" aca="1" ref="BN35" ca="1">IFERROR(INDEX(Leccion[selectorLeccion],SMALL(IF(BN$1=Leccion[SubSección],MATCH(ROW(Leccion[SubSección]),ROW(Leccion[SubSección]))),ROW(BM34))),"")</f>
        <v/>
      </c>
      <c r="BO35" s="51" t="str">
        <f t="array" aca="1" ref="BO35" ca="1">IFERROR(INDEX(Leccion[selectorLeccion],SMALL(IF(BO$1=Leccion[SubSección],MATCH(ROW(Leccion[SubSección]),ROW(Leccion[SubSección]))),ROW(BN34))),"")</f>
        <v/>
      </c>
      <c r="BP35" s="51" t="str">
        <f t="array" aca="1" ref="BP35" ca="1">IFERROR(INDEX(Leccion[selectorLeccion],SMALL(IF(BP$1=Leccion[SubSección],MATCH(ROW(Leccion[SubSección]),ROW(Leccion[SubSección]))),ROW(BO34))),"")</f>
        <v/>
      </c>
      <c r="BQ35" s="51" t="str">
        <f t="array" aca="1" ref="BQ35" ca="1">IFERROR(INDEX(Leccion[selectorLeccion],SMALL(IF(BQ$1=Leccion[SubSección],MATCH(ROW(Leccion[SubSección]),ROW(Leccion[SubSección]))),ROW(BP34))),"")</f>
        <v/>
      </c>
      <c r="BR35" s="51" t="str">
        <f t="array" aca="1" ref="BR35" ca="1">IFERROR(INDEX(Leccion[selectorLeccion],SMALL(IF(BR$1=Leccion[SubSección],MATCH(ROW(Leccion[SubSección]),ROW(Leccion[SubSección]))),ROW(BQ34))),"")</f>
        <v/>
      </c>
      <c r="BS35" s="51" t="str">
        <f t="array" aca="1" ref="BS35" ca="1">IFERROR(INDEX(Leccion[selectorLeccion],SMALL(IF(BS$1=Leccion[SubSección],MATCH(ROW(Leccion[SubSección]),ROW(Leccion[SubSección]))),ROW(BR34))),"")</f>
        <v/>
      </c>
      <c r="BT35" s="51" t="str">
        <f t="array" aca="1" ref="BT35" ca="1">IFERROR(INDEX(Leccion[selectorLeccion],SMALL(IF(BT$1=Leccion[SubSección],MATCH(ROW(Leccion[SubSección]),ROW(Leccion[SubSección]))),ROW(BS34))),"")</f>
        <v/>
      </c>
      <c r="BU35" s="51" t="str">
        <f t="array" aca="1" ref="BU35" ca="1">IFERROR(INDEX(Leccion[selectorLeccion],SMALL(IF(BU$1=Leccion[SubSección],MATCH(ROW(Leccion[SubSección]),ROW(Leccion[SubSección]))),ROW(BT34))),"")</f>
        <v/>
      </c>
      <c r="BV35" s="51" t="str">
        <f t="array" aca="1" ref="BV35" ca="1">IFERROR(INDEX(Leccion[selectorLeccion],SMALL(IF(BV$1=Leccion[SubSección],MATCH(ROW(Leccion[SubSección]),ROW(Leccion[SubSección]))),ROW(BU34))),"")</f>
        <v/>
      </c>
      <c r="BW35" s="51" t="str">
        <f t="array" aca="1" ref="BW35" ca="1">IFERROR(INDEX(Leccion[selectorLeccion],SMALL(IF(BW$1=Leccion[SubSección],MATCH(ROW(Leccion[SubSección]),ROW(Leccion[SubSección]))),ROW(BV34))),"")</f>
        <v/>
      </c>
      <c r="BX35" s="51" t="str">
        <f t="array" aca="1" ref="BX35" ca="1">IFERROR(INDEX(Leccion[selectorLeccion],SMALL(IF(BX$1=Leccion[SubSección],MATCH(ROW(Leccion[SubSección]),ROW(Leccion[SubSección]))),ROW(BW34))),"")</f>
        <v/>
      </c>
      <c r="BY35" s="51" t="str">
        <f t="array" aca="1" ref="BY35" ca="1">IFERROR(INDEX(Leccion[selectorLeccion],SMALL(IF(BY$1=Leccion[SubSección],MATCH(ROW(Leccion[SubSección]),ROW(Leccion[SubSección]))),ROW(BX34))),"")</f>
        <v/>
      </c>
      <c r="BZ35" s="51" t="str">
        <f t="array" aca="1" ref="BZ35" ca="1">IFERROR(INDEX(Leccion[selectorLeccion],SMALL(IF(BZ$1=Leccion[SubSección],MATCH(ROW(Leccion[SubSección]),ROW(Leccion[SubSección]))),ROW(BY34))),"")</f>
        <v/>
      </c>
      <c r="CA35" s="51" t="str">
        <f t="array" aca="1" ref="CA35" ca="1">IFERROR(INDEX(Leccion[selectorLeccion],SMALL(IF(CA$1=Leccion[SubSección],MATCH(ROW(Leccion[SubSección]),ROW(Leccion[SubSección]))),ROW(BZ34))),"")</f>
        <v/>
      </c>
      <c r="CB35" s="51" t="str">
        <f t="array" aca="1" ref="CB35" ca="1">IFERROR(INDEX(Leccion[selectorLeccion],SMALL(IF(CB$1=Leccion[SubSección],MATCH(ROW(Leccion[SubSección]),ROW(Leccion[SubSección]))),ROW(CA34))),"")</f>
        <v/>
      </c>
      <c r="CC35" s="51" t="str">
        <f t="array" aca="1" ref="CC35" ca="1">IFERROR(INDEX(Leccion[selectorLeccion],SMALL(IF(CC$1=Leccion[SubSección],MATCH(ROW(Leccion[SubSección]),ROW(Leccion[SubSección]))),ROW(CB34))),"")</f>
        <v/>
      </c>
      <c r="CD35" s="51" t="str">
        <f t="array" aca="1" ref="CD35" ca="1">IFERROR(INDEX(Leccion[selectorLeccion],SMALL(IF(CD$1=Leccion[SubSección],MATCH(ROW(Leccion[SubSección]),ROW(Leccion[SubSección]))),ROW(CC34))),"")</f>
        <v/>
      </c>
      <c r="CE35" s="51" t="str">
        <f t="array" aca="1" ref="CE35" ca="1">IFERROR(INDEX(Leccion[selectorLeccion],SMALL(IF(CE$1=Leccion[SubSección],MATCH(ROW(Leccion[SubSección]),ROW(Leccion[SubSección]))),ROW(CD34))),"")</f>
        <v/>
      </c>
      <c r="CF35" s="51" t="str">
        <f t="array" aca="1" ref="CF35" ca="1">IFERROR(INDEX(Leccion[selectorLeccion],SMALL(IF(CF$1=Leccion[SubSección],MATCH(ROW(Leccion[SubSección]),ROW(Leccion[SubSección]))),ROW(CE34))),"")</f>
        <v/>
      </c>
      <c r="CG35" s="51" t="str">
        <f t="array" aca="1" ref="CG35" ca="1">IFERROR(INDEX(Leccion[selectorLeccion],SMALL(IF(CG$1=Leccion[SubSección],MATCH(ROW(Leccion[SubSección]),ROW(Leccion[SubSección]))),ROW(CF34))),"")</f>
        <v/>
      </c>
      <c r="CH35" s="51" t="str">
        <f t="array" aca="1" ref="CH35" ca="1">IFERROR(INDEX(Leccion[selectorLeccion],SMALL(IF(CH$1=Leccion[SubSección],MATCH(ROW(Leccion[SubSección]),ROW(Leccion[SubSección]))),ROW(CG34))),"")</f>
        <v/>
      </c>
      <c r="CI35" s="51" t="str">
        <f t="array" aca="1" ref="CI35" ca="1">IFERROR(INDEX(Leccion[selectorLeccion],SMALL(IF(CI$1=Leccion[SubSección],MATCH(ROW(Leccion[SubSección]),ROW(Leccion[SubSección]))),ROW(CH34))),"")</f>
        <v/>
      </c>
      <c r="CJ35" s="51" t="str">
        <f t="array" aca="1" ref="CJ35" ca="1">IFERROR(INDEX(Leccion[selectorLeccion],SMALL(IF(CJ$1=Leccion[SubSección],MATCH(ROW(Leccion[SubSección]),ROW(Leccion[SubSección]))),ROW(CI34))),"")</f>
        <v/>
      </c>
      <c r="CK35" s="51" t="str">
        <f t="array" aca="1" ref="CK35" ca="1">IFERROR(INDEX(Leccion[selectorLeccion],SMALL(IF(CK$1=Leccion[SubSección],MATCH(ROW(Leccion[SubSección]),ROW(Leccion[SubSección]))),ROW(CJ34))),"")</f>
        <v/>
      </c>
      <c r="CL35" s="51" t="str">
        <f t="array" aca="1" ref="CL35" ca="1">IFERROR(INDEX(Leccion[selectorLeccion],SMALL(IF(CL$1=Leccion[SubSección],MATCH(ROW(Leccion[SubSección]),ROW(Leccion[SubSección]))),ROW(CK34))),"")</f>
        <v/>
      </c>
      <c r="CM35" s="51" t="str">
        <f t="array" aca="1" ref="CM35" ca="1">IFERROR(INDEX(Leccion[selectorLeccion],SMALL(IF(CM$1=Leccion[SubSección],MATCH(ROW(Leccion[SubSección]),ROW(Leccion[SubSección]))),ROW(CL34))),"")</f>
        <v/>
      </c>
      <c r="CN35" s="51" t="str">
        <f t="array" aca="1" ref="CN35" ca="1">IFERROR(INDEX(Leccion[selectorLeccion],SMALL(IF(CN$1=Leccion[SubSección],MATCH(ROW(Leccion[SubSección]),ROW(Leccion[SubSección]))),ROW(CM34))),"")</f>
        <v/>
      </c>
      <c r="CO35" s="51" t="str">
        <f t="array" aca="1" ref="CO35" ca="1">IFERROR(INDEX(Leccion[selectorLeccion],SMALL(IF(CO$1=Leccion[SubSección],MATCH(ROW(Leccion[SubSección]),ROW(Leccion[SubSección]))),ROW(CN34))),"")</f>
        <v/>
      </c>
      <c r="CP35" s="51" t="str">
        <f t="array" aca="1" ref="CP35" ca="1">IFERROR(INDEX(Leccion[selectorLeccion],SMALL(IF(CP$1=Leccion[SubSección],MATCH(ROW(Leccion[SubSección]),ROW(Leccion[SubSección]))),ROW(CO34))),"")</f>
        <v/>
      </c>
      <c r="CQ35" s="51" t="str">
        <f t="array" aca="1" ref="CQ35" ca="1">IFERROR(INDEX(Leccion[selectorLeccion],SMALL(IF(CQ$1=Leccion[SubSección],MATCH(ROW(Leccion[SubSección]),ROW(Leccion[SubSección]))),ROW(CP34))),"")</f>
        <v/>
      </c>
      <c r="CR35" s="51" t="str">
        <f t="array" aca="1" ref="CR35" ca="1">IFERROR(INDEX(Leccion[selectorLeccion],SMALL(IF(CR$1=Leccion[SubSección],MATCH(ROW(Leccion[SubSección]),ROW(Leccion[SubSección]))),ROW(CQ34))),"")</f>
        <v/>
      </c>
      <c r="CS35" s="51" t="str">
        <f t="array" aca="1" ref="CS35" ca="1">IFERROR(INDEX(Leccion[selectorLeccion],SMALL(IF(CS$1=Leccion[SubSección],MATCH(ROW(Leccion[SubSección]),ROW(Leccion[SubSección]))),ROW(CR34))),"")</f>
        <v/>
      </c>
      <c r="CT35" s="51" t="str">
        <f t="array" aca="1" ref="CT35" ca="1">IFERROR(INDEX(Leccion[selectorLeccion],SMALL(IF(CT$1=Leccion[SubSección],MATCH(ROW(Leccion[SubSección]),ROW(Leccion[SubSección]))),ROW(CS34))),"")</f>
        <v/>
      </c>
      <c r="CU35" s="51" t="str">
        <f t="array" aca="1" ref="CU35" ca="1">IFERROR(INDEX(Leccion[selectorLeccion],SMALL(IF(CU$1=Leccion[SubSección],MATCH(ROW(Leccion[SubSección]),ROW(Leccion[SubSección]))),ROW(CT34))),"")</f>
        <v/>
      </c>
      <c r="CV35" s="51" t="str">
        <f t="array" aca="1" ref="CV35" ca="1">IFERROR(INDEX(Leccion[selectorLeccion],SMALL(IF(CV$1=Leccion[SubSección],MATCH(ROW(Leccion[SubSección]),ROW(Leccion[SubSección]))),ROW(CU34))),"")</f>
        <v/>
      </c>
      <c r="CW35" s="51" t="str">
        <f t="array" aca="1" ref="CW35" ca="1">IFERROR(INDEX(Leccion[selectorLeccion],SMALL(IF(CW$1=Leccion[SubSección],MATCH(ROW(Leccion[SubSección]),ROW(Leccion[SubSección]))),ROW(CV34))),"")</f>
        <v/>
      </c>
      <c r="CX35" s="51" t="str">
        <f t="array" aca="1" ref="CX35" ca="1">IFERROR(INDEX(Leccion[selectorLeccion],SMALL(IF(CX$1=Leccion[SubSección],MATCH(ROW(Leccion[SubSección]),ROW(Leccion[SubSección]))),ROW(CW34))),"")</f>
        <v/>
      </c>
      <c r="CY35" s="51" t="str">
        <f t="array" aca="1" ref="CY35" ca="1">IFERROR(INDEX(Leccion[selectorLeccion],SMALL(IF(CY$1=Leccion[SubSección],MATCH(ROW(Leccion[SubSección]),ROW(Leccion[SubSección]))),ROW(CX34))),"")</f>
        <v/>
      </c>
      <c r="CZ35" s="51" t="str">
        <f t="array" aca="1" ref="CZ35" ca="1">IFERROR(INDEX(Leccion[selectorLeccion],SMALL(IF(CZ$1=Leccion[SubSección],MATCH(ROW(Leccion[SubSección]),ROW(Leccion[SubSección]))),ROW(CY34))),"")</f>
        <v/>
      </c>
      <c r="DA35" s="51" t="str">
        <f t="array" aca="1" ref="DA35" ca="1">IFERROR(INDEX(Leccion[selectorLeccion],SMALL(IF(DA$1=Leccion[SubSección],MATCH(ROW(Leccion[SubSección]),ROW(Leccion[SubSección]))),ROW(CZ34))),"")</f>
        <v/>
      </c>
      <c r="DB35" s="51" t="str">
        <f t="array" aca="1" ref="DB35" ca="1">IFERROR(INDEX(Leccion[selectorLeccion],SMALL(IF(DB$1=Leccion[SubSección],MATCH(ROW(Leccion[SubSección]),ROW(Leccion[SubSección]))),ROW(DA34))),"")</f>
        <v/>
      </c>
      <c r="DC35" s="51" t="str">
        <f t="array" aca="1" ref="DC35" ca="1">IFERROR(INDEX(Leccion[selectorLeccion],SMALL(IF(DC$1=Leccion[SubSección],MATCH(ROW(Leccion[SubSección]),ROW(Leccion[SubSección]))),ROW(DB34))),"")</f>
        <v/>
      </c>
      <c r="DD35" s="51" t="str">
        <f t="array" aca="1" ref="DD35" ca="1">IFERROR(INDEX(Leccion[selectorLeccion],SMALL(IF(DD$1=Leccion[SubSección],MATCH(ROW(Leccion[SubSección]),ROW(Leccion[SubSección]))),ROW(DC34))),"")</f>
        <v/>
      </c>
      <c r="DE35" s="51" t="str">
        <f t="array" aca="1" ref="DE35" ca="1">IFERROR(INDEX(Leccion[selectorLeccion],SMALL(IF(DE$1=Leccion[SubSección],MATCH(ROW(Leccion[SubSección]),ROW(Leccion[SubSección]))),ROW(DD34))),"")</f>
        <v/>
      </c>
      <c r="DF35" s="51" t="str">
        <f t="array" aca="1" ref="DF35" ca="1">IFERROR(INDEX(Leccion[selectorLeccion],SMALL(IF(DF$1=Leccion[SubSección],MATCH(ROW(Leccion[SubSección]),ROW(Leccion[SubSección]))),ROW(DE34))),"")</f>
        <v/>
      </c>
      <c r="DG35" s="51" t="str">
        <f t="array" aca="1" ref="DG35" ca="1">IFERROR(INDEX(Leccion[selectorLeccion],SMALL(IF(DG$1=Leccion[SubSección],MATCH(ROW(Leccion[SubSección]),ROW(Leccion[SubSección]))),ROW(DF34))),"")</f>
        <v/>
      </c>
      <c r="DH35" s="51" t="str">
        <f t="array" aca="1" ref="DH35" ca="1">IFERROR(INDEX(Leccion[selectorLeccion],SMALL(IF(DH$1=Leccion[SubSección],MATCH(ROW(Leccion[SubSección]),ROW(Leccion[SubSección]))),ROW(DG34))),"")</f>
        <v/>
      </c>
      <c r="DI35" s="51" t="str">
        <f t="array" aca="1" ref="DI35" ca="1">IFERROR(INDEX(Leccion[selectorLeccion],SMALL(IF(DI$1=Leccion[SubSección],MATCH(ROW(Leccion[SubSección]),ROW(Leccion[SubSección]))),ROW(DH34))),"")</f>
        <v/>
      </c>
      <c r="DJ35" s="51" t="str">
        <f t="array" aca="1" ref="DJ35" ca="1">IFERROR(INDEX(Leccion[selectorLeccion],SMALL(IF(DJ$1=Leccion[SubSección],MATCH(ROW(Leccion[SubSección]),ROW(Leccion[SubSección]))),ROW(DI34))),"")</f>
        <v/>
      </c>
      <c r="DK35" s="51" t="str">
        <f t="array" aca="1" ref="DK35" ca="1">IFERROR(INDEX(Leccion[selectorLeccion],SMALL(IF(DK$1=Leccion[SubSección],MATCH(ROW(Leccion[SubSección]),ROW(Leccion[SubSección]))),ROW(DJ34))),"")</f>
        <v/>
      </c>
      <c r="DL35" s="51" t="str">
        <f t="array" aca="1" ref="DL35" ca="1">IFERROR(INDEX(Leccion[selectorLeccion],SMALL(IF(DL$1=Leccion[SubSección],MATCH(ROW(Leccion[SubSección]),ROW(Leccion[SubSección]))),ROW(DK34))),"")</f>
        <v/>
      </c>
      <c r="DM35" s="51" t="str">
        <f t="array" aca="1" ref="DM35" ca="1">IFERROR(INDEX(Leccion[selectorLeccion],SMALL(IF(DM$1=Leccion[SubSección],MATCH(ROW(Leccion[SubSección]),ROW(Leccion[SubSección]))),ROW(DL34))),"")</f>
        <v/>
      </c>
      <c r="DN35" s="51" t="str">
        <f t="array" aca="1" ref="DN35" ca="1">IFERROR(INDEX(Leccion[selectorLeccion],SMALL(IF(DN$1=Leccion[SubSección],MATCH(ROW(Leccion[SubSección]),ROW(Leccion[SubSección]))),ROW(DM34))),"")</f>
        <v/>
      </c>
      <c r="DO35" s="51" t="str">
        <f t="array" aca="1" ref="DO35" ca="1">IFERROR(INDEX(Leccion[selectorLeccion],SMALL(IF(DO$1=Leccion[SubSección],MATCH(ROW(Leccion[SubSección]),ROW(Leccion[SubSección]))),ROW(DN34))),"")</f>
        <v/>
      </c>
      <c r="DP35" s="51" t="str">
        <f t="array" aca="1" ref="DP35" ca="1">IFERROR(INDEX(Leccion[selectorLeccion],SMALL(IF(DP$1=Leccion[SubSección],MATCH(ROW(Leccion[SubSección]),ROW(Leccion[SubSección]))),ROW(DO34))),"")</f>
        <v/>
      </c>
      <c r="DQ35" s="51" t="str">
        <f t="array" aca="1" ref="DQ35" ca="1">IFERROR(INDEX(Leccion[selectorLeccion],SMALL(IF(DQ$1=Leccion[SubSección],MATCH(ROW(Leccion[SubSección]),ROW(Leccion[SubSección]))),ROW(DP34))),"")</f>
        <v/>
      </c>
      <c r="DR35" s="51" t="str">
        <f t="array" aca="1" ref="DR35" ca="1">IFERROR(INDEX(Leccion[selectorLeccion],SMALL(IF(DR$1=Leccion[SubSección],MATCH(ROW(Leccion[SubSección]),ROW(Leccion[SubSección]))),ROW(DQ34))),"")</f>
        <v/>
      </c>
      <c r="DS35" s="51" t="str">
        <f t="array" aca="1" ref="DS35" ca="1">IFERROR(INDEX(Leccion[selectorLeccion],SMALL(IF(DS$1=Leccion[SubSección],MATCH(ROW(Leccion[SubSección]),ROW(Leccion[SubSección]))),ROW(DR34))),"")</f>
        <v/>
      </c>
      <c r="DT35" s="51" t="str">
        <f t="array" aca="1" ref="DT35" ca="1">IFERROR(INDEX(Leccion[selectorLeccion],SMALL(IF(DT$1=Leccion[SubSección],MATCH(ROW(Leccion[SubSección]),ROW(Leccion[SubSección]))),ROW(DS34))),"")</f>
        <v/>
      </c>
      <c r="DU35" s="51" t="str">
        <f t="array" aca="1" ref="DU35" ca="1">IFERROR(INDEX(Leccion[selectorLeccion],SMALL(IF(DU$1=Leccion[SubSección],MATCH(ROW(Leccion[SubSección]),ROW(Leccion[SubSección]))),ROW(DT34))),"")</f>
        <v/>
      </c>
      <c r="DV35" s="51" t="str">
        <f t="array" aca="1" ref="DV35" ca="1">IFERROR(INDEX(Leccion[selectorLeccion],SMALL(IF(DV$1=Leccion[SubSección],MATCH(ROW(Leccion[SubSección]),ROW(Leccion[SubSección]))),ROW(DU34))),"")</f>
        <v/>
      </c>
      <c r="DW35" s="51" t="str">
        <f t="array" aca="1" ref="DW35" ca="1">IFERROR(INDEX(Leccion[selectorLeccion],SMALL(IF(DW$1=Leccion[SubSección],MATCH(ROW(Leccion[SubSección]),ROW(Leccion[SubSección]))),ROW(DV34))),"")</f>
        <v/>
      </c>
      <c r="DX35" s="51" t="str">
        <f t="array" aca="1" ref="DX35" ca="1">IFERROR(INDEX(Leccion[selectorLeccion],SMALL(IF(DX$1=Leccion[SubSección],MATCH(ROW(Leccion[SubSección]),ROW(Leccion[SubSección]))),ROW(DW34))),"")</f>
        <v/>
      </c>
      <c r="DY35" s="51" t="str">
        <f t="array" aca="1" ref="DY35" ca="1">IFERROR(INDEX(Leccion[selectorLeccion],SMALL(IF(DY$1=Leccion[SubSección],MATCH(ROW(Leccion[SubSección]),ROW(Leccion[SubSección]))),ROW(DX34))),"")</f>
        <v/>
      </c>
      <c r="DZ35" s="51" t="str">
        <f t="array" aca="1" ref="DZ35" ca="1">IFERROR(INDEX(Leccion[selectorLeccion],SMALL(IF(DZ$1=Leccion[SubSección],MATCH(ROW(Leccion[SubSección]),ROW(Leccion[SubSección]))),ROW(DY34))),"")</f>
        <v/>
      </c>
      <c r="EA35" s="51" t="str">
        <f t="array" aca="1" ref="EA35" ca="1">IFERROR(INDEX(Leccion[selectorLeccion],SMALL(IF(EA$1=Leccion[SubSección],MATCH(ROW(Leccion[SubSección]),ROW(Leccion[SubSección]))),ROW(DZ34))),"")</f>
        <v/>
      </c>
      <c r="EB35" s="51" t="str">
        <f t="array" aca="1" ref="EB35" ca="1">IFERROR(INDEX(Leccion[selectorLeccion],SMALL(IF(EB$1=Leccion[SubSección],MATCH(ROW(Leccion[SubSección]),ROW(Leccion[SubSección]))),ROW(EA34))),"")</f>
        <v/>
      </c>
      <c r="EC35" s="51" t="str">
        <f t="array" aca="1" ref="EC35" ca="1">IFERROR(INDEX(Leccion[selectorLeccion],SMALL(IF(EC$1=Leccion[SubSección],MATCH(ROW(Leccion[SubSección]),ROW(Leccion[SubSección]))),ROW(EB34))),"")</f>
        <v/>
      </c>
      <c r="ED35" s="51" t="str">
        <f t="array" aca="1" ref="ED35" ca="1">IFERROR(INDEX(Leccion[selectorLeccion],SMALL(IF(ED$1=Leccion[SubSección],MATCH(ROW(Leccion[SubSección]),ROW(Leccion[SubSección]))),ROW(EC34))),"")</f>
        <v/>
      </c>
      <c r="EE35" s="51" t="str">
        <f t="array" aca="1" ref="EE35" ca="1">IFERROR(INDEX(Leccion[selectorLeccion],SMALL(IF(EE$1=Leccion[SubSección],MATCH(ROW(Leccion[SubSección]),ROW(Leccion[SubSección]))),ROW(ED34))),"")</f>
        <v/>
      </c>
      <c r="EF35" s="51" t="str">
        <f t="array" aca="1" ref="EF35" ca="1">IFERROR(INDEX(Leccion[selectorLeccion],SMALL(IF(EF$1=Leccion[SubSección],MATCH(ROW(Leccion[SubSección]),ROW(Leccion[SubSección]))),ROW(EE34))),"")</f>
        <v/>
      </c>
      <c r="EG35" s="51" t="str">
        <f t="array" aca="1" ref="EG35" ca="1">IFERROR(INDEX(Leccion[selectorLeccion],SMALL(IF(EG$1=Leccion[SubSección],MATCH(ROW(Leccion[SubSección]),ROW(Leccion[SubSección]))),ROW(EF34))),"")</f>
        <v/>
      </c>
      <c r="EH35" s="51" t="str">
        <f t="array" aca="1" ref="EH35" ca="1">IFERROR(INDEX(Leccion[selectorLeccion],SMALL(IF(EH$1=Leccion[SubSección],MATCH(ROW(Leccion[SubSección]),ROW(Leccion[SubSección]))),ROW(EG34))),"")</f>
        <v/>
      </c>
      <c r="EI35" s="51" t="str">
        <f t="array" aca="1" ref="EI35" ca="1">IFERROR(INDEX(Leccion[selectorLeccion],SMALL(IF(EI$1=Leccion[SubSección],MATCH(ROW(Leccion[SubSección]),ROW(Leccion[SubSección]))),ROW(EH34))),"")</f>
        <v/>
      </c>
      <c r="EJ35" s="51" t="str">
        <f t="array" aca="1" ref="EJ35" ca="1">IFERROR(INDEX(Leccion[selectorLeccion],SMALL(IF(EJ$1=Leccion[SubSección],MATCH(ROW(Leccion[SubSección]),ROW(Leccion[SubSección]))),ROW(EI34))),"")</f>
        <v/>
      </c>
      <c r="EK35" s="51" t="str">
        <f t="array" aca="1" ref="EK35" ca="1">IFERROR(INDEX(Leccion[selectorLeccion],SMALL(IF(EK$1=Leccion[SubSección],MATCH(ROW(Leccion[SubSección]),ROW(Leccion[SubSección]))),ROW(EJ34))),"")</f>
        <v/>
      </c>
      <c r="EL35" s="51" t="str">
        <f t="array" aca="1" ref="EL35" ca="1">IFERROR(INDEX(Leccion[selectorLeccion],SMALL(IF(EL$1=Leccion[SubSección],MATCH(ROW(Leccion[SubSección]),ROW(Leccion[SubSección]))),ROW(EK34))),"")</f>
        <v/>
      </c>
      <c r="EM35" s="51" t="str">
        <f t="array" aca="1" ref="EM35" ca="1">IFERROR(INDEX(Leccion[selectorLeccion],SMALL(IF(EM$1=Leccion[SubSección],MATCH(ROW(Leccion[SubSección]),ROW(Leccion[SubSección]))),ROW(EL34))),"")</f>
        <v/>
      </c>
      <c r="EN35" s="51" t="str">
        <f t="array" aca="1" ref="EN35" ca="1">IFERROR(INDEX(Leccion[selectorLeccion],SMALL(IF(EN$1=Leccion[SubSección],MATCH(ROW(Leccion[SubSección]),ROW(Leccion[SubSección]))),ROW(EM34))),"")</f>
        <v/>
      </c>
      <c r="EO35" s="51" t="str">
        <f t="array" aca="1" ref="EO35" ca="1">IFERROR(INDEX(Leccion[selectorLeccion],SMALL(IF(EO$1=Leccion[SubSección],MATCH(ROW(Leccion[SubSección]),ROW(Leccion[SubSección]))),ROW(EN34))),"")</f>
        <v/>
      </c>
      <c r="EP35" s="51" t="str">
        <f t="array" aca="1" ref="EP35" ca="1">IFERROR(INDEX(Leccion[selectorLeccion],SMALL(IF(EP$1=Leccion[SubSección],MATCH(ROW(Leccion[SubSección]),ROW(Leccion[SubSección]))),ROW(EO34))),"")</f>
        <v/>
      </c>
      <c r="EQ35" s="51" t="str">
        <f t="array" aca="1" ref="EQ35" ca="1">IFERROR(INDEX(Leccion[selectorLeccion],SMALL(IF(EQ$1=Leccion[SubSección],MATCH(ROW(Leccion[SubSección]),ROW(Leccion[SubSección]))),ROW(EP34))),"")</f>
        <v/>
      </c>
      <c r="ER35" s="51" t="str">
        <f t="array" aca="1" ref="ER35" ca="1">IFERROR(INDEX(Leccion[selectorLeccion],SMALL(IF(ER$1=Leccion[SubSección],MATCH(ROW(Leccion[SubSección]),ROW(Leccion[SubSección]))),ROW(EQ34))),"")</f>
        <v/>
      </c>
      <c r="ES35" s="51" t="str">
        <f t="array" aca="1" ref="ES35" ca="1">IFERROR(INDEX(Leccion[selectorLeccion],SMALL(IF(ES$1=Leccion[SubSección],MATCH(ROW(Leccion[SubSección]),ROW(Leccion[SubSección]))),ROW(ER34))),"")</f>
        <v/>
      </c>
      <c r="ET35" s="51" t="str">
        <f t="array" aca="1" ref="ET35" ca="1">IFERROR(INDEX(Leccion[selectorLeccion],SMALL(IF(ET$1=Leccion[SubSección],MATCH(ROW(Leccion[SubSección]),ROW(Leccion[SubSección]))),ROW(ES34))),"")</f>
        <v/>
      </c>
      <c r="EU35" s="51" t="str">
        <f t="array" aca="1" ref="EU35" ca="1">IFERROR(INDEX(Leccion[selectorLeccion],SMALL(IF(EU$1=Leccion[SubSección],MATCH(ROW(Leccion[SubSección]),ROW(Leccion[SubSección]))),ROW(ET34))),"")</f>
        <v/>
      </c>
      <c r="EV35" s="51" t="str">
        <f t="array" aca="1" ref="EV35" ca="1">IFERROR(INDEX(Leccion[selectorLeccion],SMALL(IF(EV$1=Leccion[SubSección],MATCH(ROW(Leccion[SubSección]),ROW(Leccion[SubSección]))),ROW(EU34))),"")</f>
        <v/>
      </c>
      <c r="EW35" s="51" t="str">
        <f t="array" aca="1" ref="EW35" ca="1">IFERROR(INDEX(Leccion[selectorLeccion],SMALL(IF(EW$1=Leccion[SubSección],MATCH(ROW(Leccion[SubSección]),ROW(Leccion[SubSección]))),ROW(EV34))),"")</f>
        <v/>
      </c>
      <c r="EX35" s="51" t="str">
        <f t="array" aca="1" ref="EX35" ca="1">IFERROR(INDEX(Leccion[selectorLeccion],SMALL(IF(EX$1=Leccion[SubSección],MATCH(ROW(Leccion[SubSección]),ROW(Leccion[SubSección]))),ROW(EW34))),"")</f>
        <v/>
      </c>
      <c r="EY35" s="51" t="str">
        <f t="array" aca="1" ref="EY35" ca="1">IFERROR(INDEX(Leccion[selectorLeccion],SMALL(IF(EY$1=Leccion[SubSección],MATCH(ROW(Leccion[SubSección]),ROW(Leccion[SubSección]))),ROW(EX34))),"")</f>
        <v/>
      </c>
      <c r="EZ35" s="51" t="str">
        <f t="array" aca="1" ref="EZ35" ca="1">IFERROR(INDEX(Leccion[selectorLeccion],SMALL(IF(EZ$1=Leccion[SubSección],MATCH(ROW(Leccion[SubSección]),ROW(Leccion[SubSección]))),ROW(EY34))),"")</f>
        <v/>
      </c>
    </row>
    <row r="36" spans="2:156" x14ac:dyDescent="0.3">
      <c r="B36" s="51" t="str">
        <f t="array" aca="1" ref="B36" ca="1">IFERROR(INDEX(Leccion[selectorLeccion],SMALL(IF(B$1=Leccion[SubSección],MATCH(ROW(Leccion[SubSección]),ROW(Leccion[SubSección]))),ROW(A35))),"")</f>
        <v/>
      </c>
      <c r="C36" s="51" t="str">
        <f t="array" aca="1" ref="C36" ca="1">IFERROR(INDEX(Leccion[selectorLeccion],SMALL(IF(C$1=Leccion[SubSección],MATCH(ROW(Leccion[SubSección]),ROW(Leccion[SubSección]))),ROW(B35))),"")</f>
        <v/>
      </c>
      <c r="D36" s="51" t="str">
        <f t="array" aca="1" ref="D36" ca="1">IFERROR(INDEX(Leccion[selectorLeccion],SMALL(IF(D$1=Leccion[SubSección],MATCH(ROW(Leccion[SubSección]),ROW(Leccion[SubSección]))),ROW(C35))),"")</f>
        <v/>
      </c>
      <c r="E36" s="51" t="str">
        <f t="array" aca="1" ref="E36" ca="1">IFERROR(INDEX(Leccion[selectorLeccion],SMALL(IF(E$1=Leccion[SubSección],MATCH(ROW(Leccion[SubSección]),ROW(Leccion[SubSección]))),ROW(D35))),"")</f>
        <v/>
      </c>
      <c r="F36" s="51" t="str">
        <f t="array" aca="1" ref="F36" ca="1">IFERROR(INDEX(Leccion[selectorLeccion],SMALL(IF(F$1=Leccion[SubSección],MATCH(ROW(Leccion[SubSección]),ROW(Leccion[SubSección]))),ROW(E35))),"")</f>
        <v/>
      </c>
      <c r="G36" s="51" t="str">
        <f t="array" aca="1" ref="G36" ca="1">IFERROR(INDEX(Leccion[selectorLeccion],SMALL(IF(G$1=Leccion[SubSección],MATCH(ROW(Leccion[SubSección]),ROW(Leccion[SubSección]))),ROW(F35))),"")</f>
        <v/>
      </c>
      <c r="H36" s="51" t="str">
        <f t="array" aca="1" ref="H36" ca="1">IFERROR(INDEX(Leccion[selectorLeccion],SMALL(IF(H$1=Leccion[SubSección],MATCH(ROW(Leccion[SubSección]),ROW(Leccion[SubSección]))),ROW(G35))),"")</f>
        <v/>
      </c>
      <c r="I36" s="51" t="str">
        <f t="array" aca="1" ref="I36" ca="1">IFERROR(INDEX(Leccion[selectorLeccion],SMALL(IF(I$1=Leccion[SubSección],MATCH(ROW(Leccion[SubSección]),ROW(Leccion[SubSección]))),ROW(H35))),"")</f>
        <v/>
      </c>
      <c r="J36" s="51" t="str">
        <f t="array" aca="1" ref="J36" ca="1">IFERROR(INDEX(Leccion[selectorLeccion],SMALL(IF(J$1=Leccion[SubSección],MATCH(ROW(Leccion[SubSección]),ROW(Leccion[SubSección]))),ROW(I35))),"")</f>
        <v/>
      </c>
      <c r="K36" s="51" t="str">
        <f t="array" aca="1" ref="K36" ca="1">IFERROR(INDEX(Leccion[selectorLeccion],SMALL(IF(K$1=Leccion[SubSección],MATCH(ROW(Leccion[SubSección]),ROW(Leccion[SubSección]))),ROW(J35))),"")</f>
        <v/>
      </c>
      <c r="L36" s="51" t="str">
        <f t="array" aca="1" ref="L36" ca="1">IFERROR(INDEX(Leccion[selectorLeccion],SMALL(IF(L$1=Leccion[SubSección],MATCH(ROW(Leccion[SubSección]),ROW(Leccion[SubSección]))),ROW(K35))),"")</f>
        <v/>
      </c>
      <c r="M36" s="51" t="str">
        <f t="array" aca="1" ref="M36" ca="1">IFERROR(INDEX(Leccion[selectorLeccion],SMALL(IF(M$1=Leccion[SubSección],MATCH(ROW(Leccion[SubSección]),ROW(Leccion[SubSección]))),ROW(L35))),"")</f>
        <v/>
      </c>
      <c r="N36" s="51" t="str">
        <f t="array" aca="1" ref="N36" ca="1">IFERROR(INDEX(Leccion[selectorLeccion],SMALL(IF(N$1=Leccion[SubSección],MATCH(ROW(Leccion[SubSección]),ROW(Leccion[SubSección]))),ROW(M35))),"")</f>
        <v/>
      </c>
      <c r="O36" s="51" t="str">
        <f t="array" aca="1" ref="O36" ca="1">IFERROR(INDEX(Leccion[selectorLeccion],SMALL(IF(O$1=Leccion[SubSección],MATCH(ROW(Leccion[SubSección]),ROW(Leccion[SubSección]))),ROW(N35))),"")</f>
        <v/>
      </c>
      <c r="P36" s="51" t="str">
        <f t="array" aca="1" ref="P36" ca="1">IFERROR(INDEX(Leccion[selectorLeccion],SMALL(IF(P$1=Leccion[SubSección],MATCH(ROW(Leccion[SubSección]),ROW(Leccion[SubSección]))),ROW(O35))),"")</f>
        <v/>
      </c>
      <c r="Q36" s="51" t="str">
        <f t="array" aca="1" ref="Q36" ca="1">IFERROR(INDEX(Leccion[selectorLeccion],SMALL(IF(Q$1=Leccion[SubSección],MATCH(ROW(Leccion[SubSección]),ROW(Leccion[SubSección]))),ROW(P35))),"")</f>
        <v/>
      </c>
      <c r="R36" s="51" t="str">
        <f t="array" aca="1" ref="R36" ca="1">IFERROR(INDEX(Leccion[selectorLeccion],SMALL(IF(R$1=Leccion[SubSección],MATCH(ROW(Leccion[SubSección]),ROW(Leccion[SubSección]))),ROW(Q35))),"")</f>
        <v/>
      </c>
      <c r="S36" s="51" t="str">
        <f t="array" aca="1" ref="S36" ca="1">IFERROR(INDEX(Leccion[selectorLeccion],SMALL(IF(S$1=Leccion[SubSección],MATCH(ROW(Leccion[SubSección]),ROW(Leccion[SubSección]))),ROW(R35))),"")</f>
        <v/>
      </c>
      <c r="T36" s="51" t="str">
        <f t="array" aca="1" ref="T36" ca="1">IFERROR(INDEX(Leccion[selectorLeccion],SMALL(IF(T$1=Leccion[SubSección],MATCH(ROW(Leccion[SubSección]),ROW(Leccion[SubSección]))),ROW(S35))),"")</f>
        <v/>
      </c>
      <c r="U36" s="51" t="str">
        <f t="array" aca="1" ref="U36" ca="1">IFERROR(INDEX(Leccion[selectorLeccion],SMALL(IF(U$1=Leccion[SubSección],MATCH(ROW(Leccion[SubSección]),ROW(Leccion[SubSección]))),ROW(T35))),"")</f>
        <v/>
      </c>
      <c r="V36" s="51" t="str">
        <f t="array" aca="1" ref="V36" ca="1">IFERROR(INDEX(Leccion[selectorLeccion],SMALL(IF(V$1=Leccion[SubSección],MATCH(ROW(Leccion[SubSección]),ROW(Leccion[SubSección]))),ROW(U35))),"")</f>
        <v/>
      </c>
      <c r="W36" s="51" t="str">
        <f t="array" aca="1" ref="W36" ca="1">IFERROR(INDEX(Leccion[selectorLeccion],SMALL(IF(W$1=Leccion[SubSección],MATCH(ROW(Leccion[SubSección]),ROW(Leccion[SubSección]))),ROW(V35))),"")</f>
        <v/>
      </c>
      <c r="X36" s="51" t="str">
        <f t="array" aca="1" ref="X36" ca="1">IFERROR(INDEX(Leccion[selectorLeccion],SMALL(IF(X$1=Leccion[SubSección],MATCH(ROW(Leccion[SubSección]),ROW(Leccion[SubSección]))),ROW(W35))),"")</f>
        <v/>
      </c>
      <c r="Y36" s="51" t="str">
        <f t="array" aca="1" ref="Y36" ca="1">IFERROR(INDEX(Leccion[selectorLeccion],SMALL(IF(Y$1=Leccion[SubSección],MATCH(ROW(Leccion[SubSección]),ROW(Leccion[SubSección]))),ROW(X35))),"")</f>
        <v/>
      </c>
      <c r="Z36" s="51" t="str">
        <f t="array" aca="1" ref="Z36" ca="1">IFERROR(INDEX(Leccion[selectorLeccion],SMALL(IF(Z$1=Leccion[SubSección],MATCH(ROW(Leccion[SubSección]),ROW(Leccion[SubSección]))),ROW(Y35))),"")</f>
        <v/>
      </c>
      <c r="AA36" s="51" t="str">
        <f t="array" aca="1" ref="AA36" ca="1">IFERROR(INDEX(Leccion[selectorLeccion],SMALL(IF(AA$1=Leccion[SubSección],MATCH(ROW(Leccion[SubSección]),ROW(Leccion[SubSección]))),ROW(Z35))),"")</f>
        <v/>
      </c>
      <c r="AB36" s="51" t="str">
        <f t="array" aca="1" ref="AB36" ca="1">IFERROR(INDEX(Leccion[selectorLeccion],SMALL(IF(AB$1=Leccion[SubSección],MATCH(ROW(Leccion[SubSección]),ROW(Leccion[SubSección]))),ROW(AA35))),"")</f>
        <v/>
      </c>
      <c r="AC36" s="51" t="str">
        <f t="array" aca="1" ref="AC36" ca="1">IFERROR(INDEX(Leccion[selectorLeccion],SMALL(IF(AC$1=Leccion[SubSección],MATCH(ROW(Leccion[SubSección]),ROW(Leccion[SubSección]))),ROW(AB35))),"")</f>
        <v/>
      </c>
      <c r="AD36" s="51" t="str">
        <f t="array" aca="1" ref="AD36" ca="1">IFERROR(INDEX(Leccion[selectorLeccion],SMALL(IF(AD$1=Leccion[SubSección],MATCH(ROW(Leccion[SubSección]),ROW(Leccion[SubSección]))),ROW(AC35))),"")</f>
        <v/>
      </c>
      <c r="AE36" s="51" t="str">
        <f t="array" aca="1" ref="AE36" ca="1">IFERROR(INDEX(Leccion[selectorLeccion],SMALL(IF(AE$1=Leccion[SubSección],MATCH(ROW(Leccion[SubSección]),ROW(Leccion[SubSección]))),ROW(AD35))),"")</f>
        <v/>
      </c>
      <c r="AF36" s="51" t="str">
        <f t="array" aca="1" ref="AF36" ca="1">IFERROR(INDEX(Leccion[selectorLeccion],SMALL(IF(AF$1=Leccion[SubSección],MATCH(ROW(Leccion[SubSección]),ROW(Leccion[SubSección]))),ROW(AE35))),"")</f>
        <v/>
      </c>
      <c r="AG36" s="51" t="str">
        <f t="array" aca="1" ref="AG36" ca="1">IFERROR(INDEX(Leccion[selectorLeccion],SMALL(IF(AG$1=Leccion[SubSección],MATCH(ROW(Leccion[SubSección]),ROW(Leccion[SubSección]))),ROW(AF35))),"")</f>
        <v/>
      </c>
      <c r="AH36" s="51" t="str">
        <f t="array" aca="1" ref="AH36" ca="1">IFERROR(INDEX(Leccion[selectorLeccion],SMALL(IF(AH$1=Leccion[SubSección],MATCH(ROW(Leccion[SubSección]),ROW(Leccion[SubSección]))),ROW(AG35))),"")</f>
        <v/>
      </c>
      <c r="AI36" s="51" t="str">
        <f t="array" aca="1" ref="AI36" ca="1">IFERROR(INDEX(Leccion[selectorLeccion],SMALL(IF(AI$1=Leccion[SubSección],MATCH(ROW(Leccion[SubSección]),ROW(Leccion[SubSección]))),ROW(AH35))),"")</f>
        <v/>
      </c>
      <c r="AJ36" s="51" t="str">
        <f t="array" aca="1" ref="AJ36" ca="1">IFERROR(INDEX(Leccion[selectorLeccion],SMALL(IF(AJ$1=Leccion[SubSección],MATCH(ROW(Leccion[SubSección]),ROW(Leccion[SubSección]))),ROW(AI35))),"")</f>
        <v/>
      </c>
      <c r="AK36" s="51" t="str">
        <f t="array" aca="1" ref="AK36" ca="1">IFERROR(INDEX(Leccion[selectorLeccion],SMALL(IF(AK$1=Leccion[SubSección],MATCH(ROW(Leccion[SubSección]),ROW(Leccion[SubSección]))),ROW(AJ35))),"")</f>
        <v/>
      </c>
      <c r="AL36" s="51" t="str">
        <f t="array" aca="1" ref="AL36" ca="1">IFERROR(INDEX(Leccion[selectorLeccion],SMALL(IF(AL$1=Leccion[SubSección],MATCH(ROW(Leccion[SubSección]),ROW(Leccion[SubSección]))),ROW(AK35))),"")</f>
        <v/>
      </c>
      <c r="AM36" s="51" t="str">
        <f t="array" aca="1" ref="AM36" ca="1">IFERROR(INDEX(Leccion[selectorLeccion],SMALL(IF(AM$1=Leccion[SubSección],MATCH(ROW(Leccion[SubSección]),ROW(Leccion[SubSección]))),ROW(AL35))),"")</f>
        <v/>
      </c>
      <c r="AN36" s="51" t="str">
        <f t="array" aca="1" ref="AN36" ca="1">IFERROR(INDEX(Leccion[selectorLeccion],SMALL(IF(AN$1=Leccion[SubSección],MATCH(ROW(Leccion[SubSección]),ROW(Leccion[SubSección]))),ROW(AM35))),"")</f>
        <v/>
      </c>
      <c r="AO36" s="51" t="str">
        <f t="array" aca="1" ref="AO36" ca="1">IFERROR(INDEX(Leccion[selectorLeccion],SMALL(IF(AO$1=Leccion[SubSección],MATCH(ROW(Leccion[SubSección]),ROW(Leccion[SubSección]))),ROW(AN35))),"")</f>
        <v/>
      </c>
      <c r="AP36" s="51" t="str">
        <f t="array" aca="1" ref="AP36" ca="1">IFERROR(INDEX(Leccion[selectorLeccion],SMALL(IF(AP$1=Leccion[SubSección],MATCH(ROW(Leccion[SubSección]),ROW(Leccion[SubSección]))),ROW(AO35))),"")</f>
        <v/>
      </c>
      <c r="AQ36" s="51" t="str">
        <f t="array" aca="1" ref="AQ36" ca="1">IFERROR(INDEX(Leccion[selectorLeccion],SMALL(IF(AQ$1=Leccion[SubSección],MATCH(ROW(Leccion[SubSección]),ROW(Leccion[SubSección]))),ROW(AP35))),"")</f>
        <v/>
      </c>
      <c r="AR36" s="51" t="str">
        <f t="array" aca="1" ref="AR36" ca="1">IFERROR(INDEX(Leccion[selectorLeccion],SMALL(IF(AR$1=Leccion[SubSección],MATCH(ROW(Leccion[SubSección]),ROW(Leccion[SubSección]))),ROW(AQ35))),"")</f>
        <v/>
      </c>
      <c r="AS36" s="51" t="str">
        <f t="array" aca="1" ref="AS36" ca="1">IFERROR(INDEX(Leccion[selectorLeccion],SMALL(IF(AS$1=Leccion[SubSección],MATCH(ROW(Leccion[SubSección]),ROW(Leccion[SubSección]))),ROW(AR35))),"")</f>
        <v/>
      </c>
      <c r="AT36" s="51" t="str">
        <f t="array" aca="1" ref="AT36" ca="1">IFERROR(INDEX(Leccion[selectorLeccion],SMALL(IF(AT$1=Leccion[SubSección],MATCH(ROW(Leccion[SubSección]),ROW(Leccion[SubSección]))),ROW(AS35))),"")</f>
        <v/>
      </c>
      <c r="AU36" s="51" t="str">
        <f t="array" aca="1" ref="AU36" ca="1">IFERROR(INDEX(Leccion[selectorLeccion],SMALL(IF(AU$1=Leccion[SubSección],MATCH(ROW(Leccion[SubSección]),ROW(Leccion[SubSección]))),ROW(AT35))),"")</f>
        <v/>
      </c>
      <c r="AV36" s="51" t="str">
        <f t="array" aca="1" ref="AV36" ca="1">IFERROR(INDEX(Leccion[selectorLeccion],SMALL(IF(AV$1=Leccion[SubSección],MATCH(ROW(Leccion[SubSección]),ROW(Leccion[SubSección]))),ROW(AU35))),"")</f>
        <v/>
      </c>
      <c r="AW36" s="51" t="str">
        <f t="array" aca="1" ref="AW36" ca="1">IFERROR(INDEX(Leccion[selectorLeccion],SMALL(IF(AW$1=Leccion[SubSección],MATCH(ROW(Leccion[SubSección]),ROW(Leccion[SubSección]))),ROW(AV35))),"")</f>
        <v/>
      </c>
      <c r="AX36" s="51" t="str">
        <f t="array" aca="1" ref="AX36" ca="1">IFERROR(INDEX(Leccion[selectorLeccion],SMALL(IF(AX$1=Leccion[SubSección],MATCH(ROW(Leccion[SubSección]),ROW(Leccion[SubSección]))),ROW(AW35))),"")</f>
        <v/>
      </c>
      <c r="AY36" s="51" t="str">
        <f t="array" aca="1" ref="AY36" ca="1">IFERROR(INDEX(Leccion[selectorLeccion],SMALL(IF(AY$1=Leccion[SubSección],MATCH(ROW(Leccion[SubSección]),ROW(Leccion[SubSección]))),ROW(AX35))),"")</f>
        <v/>
      </c>
      <c r="AZ36" s="51" t="str">
        <f t="array" aca="1" ref="AZ36" ca="1">IFERROR(INDEX(Leccion[selectorLeccion],SMALL(IF(AZ$1=Leccion[SubSección],MATCH(ROW(Leccion[SubSección]),ROW(Leccion[SubSección]))),ROW(AY35))),"")</f>
        <v/>
      </c>
      <c r="BA36" s="51" t="str">
        <f t="array" aca="1" ref="BA36" ca="1">IFERROR(INDEX(Leccion[selectorLeccion],SMALL(IF(BA$1=Leccion[SubSección],MATCH(ROW(Leccion[SubSección]),ROW(Leccion[SubSección]))),ROW(AZ35))),"")</f>
        <v/>
      </c>
      <c r="BB36" s="51" t="str">
        <f t="array" aca="1" ref="BB36" ca="1">IFERROR(INDEX(Leccion[selectorLeccion],SMALL(IF(BB$1=Leccion[SubSección],MATCH(ROW(Leccion[SubSección]),ROW(Leccion[SubSección]))),ROW(BA35))),"")</f>
        <v/>
      </c>
      <c r="BC36" s="51" t="str">
        <f t="array" aca="1" ref="BC36" ca="1">IFERROR(INDEX(Leccion[selectorLeccion],SMALL(IF(BC$1=Leccion[SubSección],MATCH(ROW(Leccion[SubSección]),ROW(Leccion[SubSección]))),ROW(BB35))),"")</f>
        <v/>
      </c>
      <c r="BD36" s="51" t="str">
        <f t="array" aca="1" ref="BD36" ca="1">IFERROR(INDEX(Leccion[selectorLeccion],SMALL(IF(BD$1=Leccion[SubSección],MATCH(ROW(Leccion[SubSección]),ROW(Leccion[SubSección]))),ROW(BC35))),"")</f>
        <v/>
      </c>
      <c r="BE36" s="51" t="str">
        <f t="array" aca="1" ref="BE36" ca="1">IFERROR(INDEX(Leccion[selectorLeccion],SMALL(IF(BE$1=Leccion[SubSección],MATCH(ROW(Leccion[SubSección]),ROW(Leccion[SubSección]))),ROW(BD35))),"")</f>
        <v/>
      </c>
      <c r="BF36" s="51" t="str">
        <f t="array" aca="1" ref="BF36" ca="1">IFERROR(INDEX(Leccion[selectorLeccion],SMALL(IF(BF$1=Leccion[SubSección],MATCH(ROW(Leccion[SubSección]),ROW(Leccion[SubSección]))),ROW(BE35))),"")</f>
        <v/>
      </c>
      <c r="BG36" s="51" t="str">
        <f t="array" aca="1" ref="BG36" ca="1">IFERROR(INDEX(Leccion[selectorLeccion],SMALL(IF(BG$1=Leccion[SubSección],MATCH(ROW(Leccion[SubSección]),ROW(Leccion[SubSección]))),ROW(BF35))),"")</f>
        <v/>
      </c>
      <c r="BH36" s="51" t="str">
        <f t="array" aca="1" ref="BH36" ca="1">IFERROR(INDEX(Leccion[selectorLeccion],SMALL(IF(BH$1=Leccion[SubSección],MATCH(ROW(Leccion[SubSección]),ROW(Leccion[SubSección]))),ROW(BG35))),"")</f>
        <v/>
      </c>
      <c r="BI36" s="51" t="str">
        <f t="array" aca="1" ref="BI36" ca="1">IFERROR(INDEX(Leccion[selectorLeccion],SMALL(IF(BI$1=Leccion[SubSección],MATCH(ROW(Leccion[SubSección]),ROW(Leccion[SubSección]))),ROW(BH35))),"")</f>
        <v/>
      </c>
      <c r="BJ36" s="51" t="str">
        <f t="array" aca="1" ref="BJ36" ca="1">IFERROR(INDEX(Leccion[selectorLeccion],SMALL(IF(BJ$1=Leccion[SubSección],MATCH(ROW(Leccion[SubSección]),ROW(Leccion[SubSección]))),ROW(BI35))),"")</f>
        <v/>
      </c>
      <c r="BK36" s="51" t="str">
        <f t="array" aca="1" ref="BK36" ca="1">IFERROR(INDEX(Leccion[selectorLeccion],SMALL(IF(BK$1=Leccion[SubSección],MATCH(ROW(Leccion[SubSección]),ROW(Leccion[SubSección]))),ROW(BJ35))),"")</f>
        <v/>
      </c>
      <c r="BL36" s="51" t="str">
        <f t="array" aca="1" ref="BL36" ca="1">IFERROR(INDEX(Leccion[selectorLeccion],SMALL(IF(BL$1=Leccion[SubSección],MATCH(ROW(Leccion[SubSección]),ROW(Leccion[SubSección]))),ROW(BK35))),"")</f>
        <v/>
      </c>
      <c r="BM36" s="51" t="str">
        <f t="array" aca="1" ref="BM36" ca="1">IFERROR(INDEX(Leccion[selectorLeccion],SMALL(IF(BM$1=Leccion[SubSección],MATCH(ROW(Leccion[SubSección]),ROW(Leccion[SubSección]))),ROW(BL35))),"")</f>
        <v/>
      </c>
      <c r="BN36" s="51" t="str">
        <f t="array" aca="1" ref="BN36" ca="1">IFERROR(INDEX(Leccion[selectorLeccion],SMALL(IF(BN$1=Leccion[SubSección],MATCH(ROW(Leccion[SubSección]),ROW(Leccion[SubSección]))),ROW(BM35))),"")</f>
        <v/>
      </c>
      <c r="BO36" s="51" t="str">
        <f t="array" aca="1" ref="BO36" ca="1">IFERROR(INDEX(Leccion[selectorLeccion],SMALL(IF(BO$1=Leccion[SubSección],MATCH(ROW(Leccion[SubSección]),ROW(Leccion[SubSección]))),ROW(BN35))),"")</f>
        <v/>
      </c>
      <c r="BP36" s="51" t="str">
        <f t="array" aca="1" ref="BP36" ca="1">IFERROR(INDEX(Leccion[selectorLeccion],SMALL(IF(BP$1=Leccion[SubSección],MATCH(ROW(Leccion[SubSección]),ROW(Leccion[SubSección]))),ROW(BO35))),"")</f>
        <v/>
      </c>
      <c r="BQ36" s="51" t="str">
        <f t="array" aca="1" ref="BQ36" ca="1">IFERROR(INDEX(Leccion[selectorLeccion],SMALL(IF(BQ$1=Leccion[SubSección],MATCH(ROW(Leccion[SubSección]),ROW(Leccion[SubSección]))),ROW(BP35))),"")</f>
        <v/>
      </c>
      <c r="BR36" s="51" t="str">
        <f t="array" aca="1" ref="BR36" ca="1">IFERROR(INDEX(Leccion[selectorLeccion],SMALL(IF(BR$1=Leccion[SubSección],MATCH(ROW(Leccion[SubSección]),ROW(Leccion[SubSección]))),ROW(BQ35))),"")</f>
        <v/>
      </c>
      <c r="BS36" s="51" t="str">
        <f t="array" aca="1" ref="BS36" ca="1">IFERROR(INDEX(Leccion[selectorLeccion],SMALL(IF(BS$1=Leccion[SubSección],MATCH(ROW(Leccion[SubSección]),ROW(Leccion[SubSección]))),ROW(BR35))),"")</f>
        <v/>
      </c>
      <c r="BT36" s="51" t="str">
        <f t="array" aca="1" ref="BT36" ca="1">IFERROR(INDEX(Leccion[selectorLeccion],SMALL(IF(BT$1=Leccion[SubSección],MATCH(ROW(Leccion[SubSección]),ROW(Leccion[SubSección]))),ROW(BS35))),"")</f>
        <v/>
      </c>
      <c r="BU36" s="51" t="str">
        <f t="array" aca="1" ref="BU36" ca="1">IFERROR(INDEX(Leccion[selectorLeccion],SMALL(IF(BU$1=Leccion[SubSección],MATCH(ROW(Leccion[SubSección]),ROW(Leccion[SubSección]))),ROW(BT35))),"")</f>
        <v/>
      </c>
      <c r="BV36" s="51" t="str">
        <f t="array" aca="1" ref="BV36" ca="1">IFERROR(INDEX(Leccion[selectorLeccion],SMALL(IF(BV$1=Leccion[SubSección],MATCH(ROW(Leccion[SubSección]),ROW(Leccion[SubSección]))),ROW(BU35))),"")</f>
        <v/>
      </c>
      <c r="BW36" s="51" t="str">
        <f t="array" aca="1" ref="BW36" ca="1">IFERROR(INDEX(Leccion[selectorLeccion],SMALL(IF(BW$1=Leccion[SubSección],MATCH(ROW(Leccion[SubSección]),ROW(Leccion[SubSección]))),ROW(BV35))),"")</f>
        <v/>
      </c>
      <c r="BX36" s="51" t="str">
        <f t="array" aca="1" ref="BX36" ca="1">IFERROR(INDEX(Leccion[selectorLeccion],SMALL(IF(BX$1=Leccion[SubSección],MATCH(ROW(Leccion[SubSección]),ROW(Leccion[SubSección]))),ROW(BW35))),"")</f>
        <v/>
      </c>
      <c r="BY36" s="51" t="str">
        <f t="array" aca="1" ref="BY36" ca="1">IFERROR(INDEX(Leccion[selectorLeccion],SMALL(IF(BY$1=Leccion[SubSección],MATCH(ROW(Leccion[SubSección]),ROW(Leccion[SubSección]))),ROW(BX35))),"")</f>
        <v/>
      </c>
      <c r="BZ36" s="51" t="str">
        <f t="array" aca="1" ref="BZ36" ca="1">IFERROR(INDEX(Leccion[selectorLeccion],SMALL(IF(BZ$1=Leccion[SubSección],MATCH(ROW(Leccion[SubSección]),ROW(Leccion[SubSección]))),ROW(BY35))),"")</f>
        <v/>
      </c>
      <c r="CA36" s="51" t="str">
        <f t="array" aca="1" ref="CA36" ca="1">IFERROR(INDEX(Leccion[selectorLeccion],SMALL(IF(CA$1=Leccion[SubSección],MATCH(ROW(Leccion[SubSección]),ROW(Leccion[SubSección]))),ROW(BZ35))),"")</f>
        <v/>
      </c>
      <c r="CB36" s="51" t="str">
        <f t="array" aca="1" ref="CB36" ca="1">IFERROR(INDEX(Leccion[selectorLeccion],SMALL(IF(CB$1=Leccion[SubSección],MATCH(ROW(Leccion[SubSección]),ROW(Leccion[SubSección]))),ROW(CA35))),"")</f>
        <v/>
      </c>
      <c r="CC36" s="51" t="str">
        <f t="array" aca="1" ref="CC36" ca="1">IFERROR(INDEX(Leccion[selectorLeccion],SMALL(IF(CC$1=Leccion[SubSección],MATCH(ROW(Leccion[SubSección]),ROW(Leccion[SubSección]))),ROW(CB35))),"")</f>
        <v/>
      </c>
      <c r="CD36" s="51" t="str">
        <f t="array" aca="1" ref="CD36" ca="1">IFERROR(INDEX(Leccion[selectorLeccion],SMALL(IF(CD$1=Leccion[SubSección],MATCH(ROW(Leccion[SubSección]),ROW(Leccion[SubSección]))),ROW(CC35))),"")</f>
        <v/>
      </c>
      <c r="CE36" s="51" t="str">
        <f t="array" aca="1" ref="CE36" ca="1">IFERROR(INDEX(Leccion[selectorLeccion],SMALL(IF(CE$1=Leccion[SubSección],MATCH(ROW(Leccion[SubSección]),ROW(Leccion[SubSección]))),ROW(CD35))),"")</f>
        <v/>
      </c>
      <c r="CF36" s="51" t="str">
        <f t="array" aca="1" ref="CF36" ca="1">IFERROR(INDEX(Leccion[selectorLeccion],SMALL(IF(CF$1=Leccion[SubSección],MATCH(ROW(Leccion[SubSección]),ROW(Leccion[SubSección]))),ROW(CE35))),"")</f>
        <v/>
      </c>
      <c r="CG36" s="51" t="str">
        <f t="array" aca="1" ref="CG36" ca="1">IFERROR(INDEX(Leccion[selectorLeccion],SMALL(IF(CG$1=Leccion[SubSección],MATCH(ROW(Leccion[SubSección]),ROW(Leccion[SubSección]))),ROW(CF35))),"")</f>
        <v/>
      </c>
      <c r="CH36" s="51" t="str">
        <f t="array" aca="1" ref="CH36" ca="1">IFERROR(INDEX(Leccion[selectorLeccion],SMALL(IF(CH$1=Leccion[SubSección],MATCH(ROW(Leccion[SubSección]),ROW(Leccion[SubSección]))),ROW(CG35))),"")</f>
        <v/>
      </c>
      <c r="CI36" s="51" t="str">
        <f t="array" aca="1" ref="CI36" ca="1">IFERROR(INDEX(Leccion[selectorLeccion],SMALL(IF(CI$1=Leccion[SubSección],MATCH(ROW(Leccion[SubSección]),ROW(Leccion[SubSección]))),ROW(CH35))),"")</f>
        <v/>
      </c>
      <c r="CJ36" s="51" t="str">
        <f t="array" aca="1" ref="CJ36" ca="1">IFERROR(INDEX(Leccion[selectorLeccion],SMALL(IF(CJ$1=Leccion[SubSección],MATCH(ROW(Leccion[SubSección]),ROW(Leccion[SubSección]))),ROW(CI35))),"")</f>
        <v/>
      </c>
      <c r="CK36" s="51" t="str">
        <f t="array" aca="1" ref="CK36" ca="1">IFERROR(INDEX(Leccion[selectorLeccion],SMALL(IF(CK$1=Leccion[SubSección],MATCH(ROW(Leccion[SubSección]),ROW(Leccion[SubSección]))),ROW(CJ35))),"")</f>
        <v/>
      </c>
      <c r="CL36" s="51" t="str">
        <f t="array" aca="1" ref="CL36" ca="1">IFERROR(INDEX(Leccion[selectorLeccion],SMALL(IF(CL$1=Leccion[SubSección],MATCH(ROW(Leccion[SubSección]),ROW(Leccion[SubSección]))),ROW(CK35))),"")</f>
        <v/>
      </c>
      <c r="CM36" s="51" t="str">
        <f t="array" aca="1" ref="CM36" ca="1">IFERROR(INDEX(Leccion[selectorLeccion],SMALL(IF(CM$1=Leccion[SubSección],MATCH(ROW(Leccion[SubSección]),ROW(Leccion[SubSección]))),ROW(CL35))),"")</f>
        <v/>
      </c>
      <c r="CN36" s="51" t="str">
        <f t="array" aca="1" ref="CN36" ca="1">IFERROR(INDEX(Leccion[selectorLeccion],SMALL(IF(CN$1=Leccion[SubSección],MATCH(ROW(Leccion[SubSección]),ROW(Leccion[SubSección]))),ROW(CM35))),"")</f>
        <v/>
      </c>
      <c r="CO36" s="51" t="str">
        <f t="array" aca="1" ref="CO36" ca="1">IFERROR(INDEX(Leccion[selectorLeccion],SMALL(IF(CO$1=Leccion[SubSección],MATCH(ROW(Leccion[SubSección]),ROW(Leccion[SubSección]))),ROW(CN35))),"")</f>
        <v/>
      </c>
      <c r="CP36" s="51" t="str">
        <f t="array" aca="1" ref="CP36" ca="1">IFERROR(INDEX(Leccion[selectorLeccion],SMALL(IF(CP$1=Leccion[SubSección],MATCH(ROW(Leccion[SubSección]),ROW(Leccion[SubSección]))),ROW(CO35))),"")</f>
        <v/>
      </c>
      <c r="CQ36" s="51" t="str">
        <f t="array" aca="1" ref="CQ36" ca="1">IFERROR(INDEX(Leccion[selectorLeccion],SMALL(IF(CQ$1=Leccion[SubSección],MATCH(ROW(Leccion[SubSección]),ROW(Leccion[SubSección]))),ROW(CP35))),"")</f>
        <v/>
      </c>
      <c r="CR36" s="51" t="str">
        <f t="array" aca="1" ref="CR36" ca="1">IFERROR(INDEX(Leccion[selectorLeccion],SMALL(IF(CR$1=Leccion[SubSección],MATCH(ROW(Leccion[SubSección]),ROW(Leccion[SubSección]))),ROW(CQ35))),"")</f>
        <v/>
      </c>
      <c r="CS36" s="51" t="str">
        <f t="array" aca="1" ref="CS36" ca="1">IFERROR(INDEX(Leccion[selectorLeccion],SMALL(IF(CS$1=Leccion[SubSección],MATCH(ROW(Leccion[SubSección]),ROW(Leccion[SubSección]))),ROW(CR35))),"")</f>
        <v/>
      </c>
      <c r="CT36" s="51" t="str">
        <f t="array" aca="1" ref="CT36" ca="1">IFERROR(INDEX(Leccion[selectorLeccion],SMALL(IF(CT$1=Leccion[SubSección],MATCH(ROW(Leccion[SubSección]),ROW(Leccion[SubSección]))),ROW(CS35))),"")</f>
        <v/>
      </c>
      <c r="CU36" s="51" t="str">
        <f t="array" aca="1" ref="CU36" ca="1">IFERROR(INDEX(Leccion[selectorLeccion],SMALL(IF(CU$1=Leccion[SubSección],MATCH(ROW(Leccion[SubSección]),ROW(Leccion[SubSección]))),ROW(CT35))),"")</f>
        <v/>
      </c>
      <c r="CV36" s="51" t="str">
        <f t="array" aca="1" ref="CV36" ca="1">IFERROR(INDEX(Leccion[selectorLeccion],SMALL(IF(CV$1=Leccion[SubSección],MATCH(ROW(Leccion[SubSección]),ROW(Leccion[SubSección]))),ROW(CU35))),"")</f>
        <v/>
      </c>
      <c r="CW36" s="51" t="str">
        <f t="array" aca="1" ref="CW36" ca="1">IFERROR(INDEX(Leccion[selectorLeccion],SMALL(IF(CW$1=Leccion[SubSección],MATCH(ROW(Leccion[SubSección]),ROW(Leccion[SubSección]))),ROW(CV35))),"")</f>
        <v/>
      </c>
      <c r="CX36" s="51" t="str">
        <f t="array" aca="1" ref="CX36" ca="1">IFERROR(INDEX(Leccion[selectorLeccion],SMALL(IF(CX$1=Leccion[SubSección],MATCH(ROW(Leccion[SubSección]),ROW(Leccion[SubSección]))),ROW(CW35))),"")</f>
        <v/>
      </c>
      <c r="CY36" s="51" t="str">
        <f t="array" aca="1" ref="CY36" ca="1">IFERROR(INDEX(Leccion[selectorLeccion],SMALL(IF(CY$1=Leccion[SubSección],MATCH(ROW(Leccion[SubSección]),ROW(Leccion[SubSección]))),ROW(CX35))),"")</f>
        <v/>
      </c>
      <c r="CZ36" s="51" t="str">
        <f t="array" aca="1" ref="CZ36" ca="1">IFERROR(INDEX(Leccion[selectorLeccion],SMALL(IF(CZ$1=Leccion[SubSección],MATCH(ROW(Leccion[SubSección]),ROW(Leccion[SubSección]))),ROW(CY35))),"")</f>
        <v/>
      </c>
      <c r="DA36" s="51" t="str">
        <f t="array" aca="1" ref="DA36" ca="1">IFERROR(INDEX(Leccion[selectorLeccion],SMALL(IF(DA$1=Leccion[SubSección],MATCH(ROW(Leccion[SubSección]),ROW(Leccion[SubSección]))),ROW(CZ35))),"")</f>
        <v/>
      </c>
      <c r="DB36" s="51" t="str">
        <f t="array" aca="1" ref="DB36" ca="1">IFERROR(INDEX(Leccion[selectorLeccion],SMALL(IF(DB$1=Leccion[SubSección],MATCH(ROW(Leccion[SubSección]),ROW(Leccion[SubSección]))),ROW(DA35))),"")</f>
        <v/>
      </c>
      <c r="DC36" s="51" t="str">
        <f t="array" aca="1" ref="DC36" ca="1">IFERROR(INDEX(Leccion[selectorLeccion],SMALL(IF(DC$1=Leccion[SubSección],MATCH(ROW(Leccion[SubSección]),ROW(Leccion[SubSección]))),ROW(DB35))),"")</f>
        <v/>
      </c>
      <c r="DD36" s="51" t="str">
        <f t="array" aca="1" ref="DD36" ca="1">IFERROR(INDEX(Leccion[selectorLeccion],SMALL(IF(DD$1=Leccion[SubSección],MATCH(ROW(Leccion[SubSección]),ROW(Leccion[SubSección]))),ROW(DC35))),"")</f>
        <v/>
      </c>
      <c r="DE36" s="51" t="str">
        <f t="array" aca="1" ref="DE36" ca="1">IFERROR(INDEX(Leccion[selectorLeccion],SMALL(IF(DE$1=Leccion[SubSección],MATCH(ROW(Leccion[SubSección]),ROW(Leccion[SubSección]))),ROW(DD35))),"")</f>
        <v/>
      </c>
      <c r="DF36" s="51" t="str">
        <f t="array" aca="1" ref="DF36" ca="1">IFERROR(INDEX(Leccion[selectorLeccion],SMALL(IF(DF$1=Leccion[SubSección],MATCH(ROW(Leccion[SubSección]),ROW(Leccion[SubSección]))),ROW(DE35))),"")</f>
        <v/>
      </c>
      <c r="DG36" s="51" t="str">
        <f t="array" aca="1" ref="DG36" ca="1">IFERROR(INDEX(Leccion[selectorLeccion],SMALL(IF(DG$1=Leccion[SubSección],MATCH(ROW(Leccion[SubSección]),ROW(Leccion[SubSección]))),ROW(DF35))),"")</f>
        <v/>
      </c>
      <c r="DH36" s="51" t="str">
        <f t="array" aca="1" ref="DH36" ca="1">IFERROR(INDEX(Leccion[selectorLeccion],SMALL(IF(DH$1=Leccion[SubSección],MATCH(ROW(Leccion[SubSección]),ROW(Leccion[SubSección]))),ROW(DG35))),"")</f>
        <v/>
      </c>
      <c r="DI36" s="51" t="str">
        <f t="array" aca="1" ref="DI36" ca="1">IFERROR(INDEX(Leccion[selectorLeccion],SMALL(IF(DI$1=Leccion[SubSección],MATCH(ROW(Leccion[SubSección]),ROW(Leccion[SubSección]))),ROW(DH35))),"")</f>
        <v/>
      </c>
      <c r="DJ36" s="51" t="str">
        <f t="array" aca="1" ref="DJ36" ca="1">IFERROR(INDEX(Leccion[selectorLeccion],SMALL(IF(DJ$1=Leccion[SubSección],MATCH(ROW(Leccion[SubSección]),ROW(Leccion[SubSección]))),ROW(DI35))),"")</f>
        <v/>
      </c>
      <c r="DK36" s="51" t="str">
        <f t="array" aca="1" ref="DK36" ca="1">IFERROR(INDEX(Leccion[selectorLeccion],SMALL(IF(DK$1=Leccion[SubSección],MATCH(ROW(Leccion[SubSección]),ROW(Leccion[SubSección]))),ROW(DJ35))),"")</f>
        <v/>
      </c>
      <c r="DL36" s="51" t="str">
        <f t="array" aca="1" ref="DL36" ca="1">IFERROR(INDEX(Leccion[selectorLeccion],SMALL(IF(DL$1=Leccion[SubSección],MATCH(ROW(Leccion[SubSección]),ROW(Leccion[SubSección]))),ROW(DK35))),"")</f>
        <v/>
      </c>
      <c r="DM36" s="51" t="str">
        <f t="array" aca="1" ref="DM36" ca="1">IFERROR(INDEX(Leccion[selectorLeccion],SMALL(IF(DM$1=Leccion[SubSección],MATCH(ROW(Leccion[SubSección]),ROW(Leccion[SubSección]))),ROW(DL35))),"")</f>
        <v/>
      </c>
      <c r="DN36" s="51" t="str">
        <f t="array" aca="1" ref="DN36" ca="1">IFERROR(INDEX(Leccion[selectorLeccion],SMALL(IF(DN$1=Leccion[SubSección],MATCH(ROW(Leccion[SubSección]),ROW(Leccion[SubSección]))),ROW(DM35))),"")</f>
        <v/>
      </c>
      <c r="DO36" s="51" t="str">
        <f t="array" aca="1" ref="DO36" ca="1">IFERROR(INDEX(Leccion[selectorLeccion],SMALL(IF(DO$1=Leccion[SubSección],MATCH(ROW(Leccion[SubSección]),ROW(Leccion[SubSección]))),ROW(DN35))),"")</f>
        <v/>
      </c>
      <c r="DP36" s="51" t="str">
        <f t="array" aca="1" ref="DP36" ca="1">IFERROR(INDEX(Leccion[selectorLeccion],SMALL(IF(DP$1=Leccion[SubSección],MATCH(ROW(Leccion[SubSección]),ROW(Leccion[SubSección]))),ROW(DO35))),"")</f>
        <v/>
      </c>
      <c r="DQ36" s="51" t="str">
        <f t="array" aca="1" ref="DQ36" ca="1">IFERROR(INDEX(Leccion[selectorLeccion],SMALL(IF(DQ$1=Leccion[SubSección],MATCH(ROW(Leccion[SubSección]),ROW(Leccion[SubSección]))),ROW(DP35))),"")</f>
        <v/>
      </c>
      <c r="DR36" s="51" t="str">
        <f t="array" aca="1" ref="DR36" ca="1">IFERROR(INDEX(Leccion[selectorLeccion],SMALL(IF(DR$1=Leccion[SubSección],MATCH(ROW(Leccion[SubSección]),ROW(Leccion[SubSección]))),ROW(DQ35))),"")</f>
        <v/>
      </c>
      <c r="DS36" s="51" t="str">
        <f t="array" aca="1" ref="DS36" ca="1">IFERROR(INDEX(Leccion[selectorLeccion],SMALL(IF(DS$1=Leccion[SubSección],MATCH(ROW(Leccion[SubSección]),ROW(Leccion[SubSección]))),ROW(DR35))),"")</f>
        <v/>
      </c>
      <c r="DT36" s="51" t="str">
        <f t="array" aca="1" ref="DT36" ca="1">IFERROR(INDEX(Leccion[selectorLeccion],SMALL(IF(DT$1=Leccion[SubSección],MATCH(ROW(Leccion[SubSección]),ROW(Leccion[SubSección]))),ROW(DS35))),"")</f>
        <v/>
      </c>
      <c r="DU36" s="51" t="str">
        <f t="array" aca="1" ref="DU36" ca="1">IFERROR(INDEX(Leccion[selectorLeccion],SMALL(IF(DU$1=Leccion[SubSección],MATCH(ROW(Leccion[SubSección]),ROW(Leccion[SubSección]))),ROW(DT35))),"")</f>
        <v/>
      </c>
      <c r="DV36" s="51" t="str">
        <f t="array" aca="1" ref="DV36" ca="1">IFERROR(INDEX(Leccion[selectorLeccion],SMALL(IF(DV$1=Leccion[SubSección],MATCH(ROW(Leccion[SubSección]),ROW(Leccion[SubSección]))),ROW(DU35))),"")</f>
        <v/>
      </c>
      <c r="DW36" s="51" t="str">
        <f t="array" aca="1" ref="DW36" ca="1">IFERROR(INDEX(Leccion[selectorLeccion],SMALL(IF(DW$1=Leccion[SubSección],MATCH(ROW(Leccion[SubSección]),ROW(Leccion[SubSección]))),ROW(DV35))),"")</f>
        <v/>
      </c>
      <c r="DX36" s="51" t="str">
        <f t="array" aca="1" ref="DX36" ca="1">IFERROR(INDEX(Leccion[selectorLeccion],SMALL(IF(DX$1=Leccion[SubSección],MATCH(ROW(Leccion[SubSección]),ROW(Leccion[SubSección]))),ROW(DW35))),"")</f>
        <v/>
      </c>
      <c r="DY36" s="51" t="str">
        <f t="array" aca="1" ref="DY36" ca="1">IFERROR(INDEX(Leccion[selectorLeccion],SMALL(IF(DY$1=Leccion[SubSección],MATCH(ROW(Leccion[SubSección]),ROW(Leccion[SubSección]))),ROW(DX35))),"")</f>
        <v/>
      </c>
      <c r="DZ36" s="51" t="str">
        <f t="array" aca="1" ref="DZ36" ca="1">IFERROR(INDEX(Leccion[selectorLeccion],SMALL(IF(DZ$1=Leccion[SubSección],MATCH(ROW(Leccion[SubSección]),ROW(Leccion[SubSección]))),ROW(DY35))),"")</f>
        <v/>
      </c>
      <c r="EA36" s="51" t="str">
        <f t="array" aca="1" ref="EA36" ca="1">IFERROR(INDEX(Leccion[selectorLeccion],SMALL(IF(EA$1=Leccion[SubSección],MATCH(ROW(Leccion[SubSección]),ROW(Leccion[SubSección]))),ROW(DZ35))),"")</f>
        <v/>
      </c>
      <c r="EB36" s="51" t="str">
        <f t="array" aca="1" ref="EB36" ca="1">IFERROR(INDEX(Leccion[selectorLeccion],SMALL(IF(EB$1=Leccion[SubSección],MATCH(ROW(Leccion[SubSección]),ROW(Leccion[SubSección]))),ROW(EA35))),"")</f>
        <v/>
      </c>
      <c r="EC36" s="51" t="str">
        <f t="array" aca="1" ref="EC36" ca="1">IFERROR(INDEX(Leccion[selectorLeccion],SMALL(IF(EC$1=Leccion[SubSección],MATCH(ROW(Leccion[SubSección]),ROW(Leccion[SubSección]))),ROW(EB35))),"")</f>
        <v/>
      </c>
      <c r="ED36" s="51" t="str">
        <f t="array" aca="1" ref="ED36" ca="1">IFERROR(INDEX(Leccion[selectorLeccion],SMALL(IF(ED$1=Leccion[SubSección],MATCH(ROW(Leccion[SubSección]),ROW(Leccion[SubSección]))),ROW(EC35))),"")</f>
        <v/>
      </c>
      <c r="EE36" s="51" t="str">
        <f t="array" aca="1" ref="EE36" ca="1">IFERROR(INDEX(Leccion[selectorLeccion],SMALL(IF(EE$1=Leccion[SubSección],MATCH(ROW(Leccion[SubSección]),ROW(Leccion[SubSección]))),ROW(ED35))),"")</f>
        <v/>
      </c>
      <c r="EF36" s="51" t="str">
        <f t="array" aca="1" ref="EF36" ca="1">IFERROR(INDEX(Leccion[selectorLeccion],SMALL(IF(EF$1=Leccion[SubSección],MATCH(ROW(Leccion[SubSección]),ROW(Leccion[SubSección]))),ROW(EE35))),"")</f>
        <v/>
      </c>
      <c r="EG36" s="51" t="str">
        <f t="array" aca="1" ref="EG36" ca="1">IFERROR(INDEX(Leccion[selectorLeccion],SMALL(IF(EG$1=Leccion[SubSección],MATCH(ROW(Leccion[SubSección]),ROW(Leccion[SubSección]))),ROW(EF35))),"")</f>
        <v/>
      </c>
      <c r="EH36" s="51" t="str">
        <f t="array" aca="1" ref="EH36" ca="1">IFERROR(INDEX(Leccion[selectorLeccion],SMALL(IF(EH$1=Leccion[SubSección],MATCH(ROW(Leccion[SubSección]),ROW(Leccion[SubSección]))),ROW(EG35))),"")</f>
        <v/>
      </c>
      <c r="EI36" s="51" t="str">
        <f t="array" aca="1" ref="EI36" ca="1">IFERROR(INDEX(Leccion[selectorLeccion],SMALL(IF(EI$1=Leccion[SubSección],MATCH(ROW(Leccion[SubSección]),ROW(Leccion[SubSección]))),ROW(EH35))),"")</f>
        <v/>
      </c>
      <c r="EJ36" s="51" t="str">
        <f t="array" aca="1" ref="EJ36" ca="1">IFERROR(INDEX(Leccion[selectorLeccion],SMALL(IF(EJ$1=Leccion[SubSección],MATCH(ROW(Leccion[SubSección]),ROW(Leccion[SubSección]))),ROW(EI35))),"")</f>
        <v/>
      </c>
      <c r="EK36" s="51" t="str">
        <f t="array" aca="1" ref="EK36" ca="1">IFERROR(INDEX(Leccion[selectorLeccion],SMALL(IF(EK$1=Leccion[SubSección],MATCH(ROW(Leccion[SubSección]),ROW(Leccion[SubSección]))),ROW(EJ35))),"")</f>
        <v/>
      </c>
      <c r="EL36" s="51" t="str">
        <f t="array" aca="1" ref="EL36" ca="1">IFERROR(INDEX(Leccion[selectorLeccion],SMALL(IF(EL$1=Leccion[SubSección],MATCH(ROW(Leccion[SubSección]),ROW(Leccion[SubSección]))),ROW(EK35))),"")</f>
        <v/>
      </c>
      <c r="EM36" s="51" t="str">
        <f t="array" aca="1" ref="EM36" ca="1">IFERROR(INDEX(Leccion[selectorLeccion],SMALL(IF(EM$1=Leccion[SubSección],MATCH(ROW(Leccion[SubSección]),ROW(Leccion[SubSección]))),ROW(EL35))),"")</f>
        <v/>
      </c>
      <c r="EN36" s="51" t="str">
        <f t="array" aca="1" ref="EN36" ca="1">IFERROR(INDEX(Leccion[selectorLeccion],SMALL(IF(EN$1=Leccion[SubSección],MATCH(ROW(Leccion[SubSección]),ROW(Leccion[SubSección]))),ROW(EM35))),"")</f>
        <v/>
      </c>
      <c r="EO36" s="51" t="str">
        <f t="array" aca="1" ref="EO36" ca="1">IFERROR(INDEX(Leccion[selectorLeccion],SMALL(IF(EO$1=Leccion[SubSección],MATCH(ROW(Leccion[SubSección]),ROW(Leccion[SubSección]))),ROW(EN35))),"")</f>
        <v/>
      </c>
      <c r="EP36" s="51" t="str">
        <f t="array" aca="1" ref="EP36" ca="1">IFERROR(INDEX(Leccion[selectorLeccion],SMALL(IF(EP$1=Leccion[SubSección],MATCH(ROW(Leccion[SubSección]),ROW(Leccion[SubSección]))),ROW(EO35))),"")</f>
        <v/>
      </c>
      <c r="EQ36" s="51" t="str">
        <f t="array" aca="1" ref="EQ36" ca="1">IFERROR(INDEX(Leccion[selectorLeccion],SMALL(IF(EQ$1=Leccion[SubSección],MATCH(ROW(Leccion[SubSección]),ROW(Leccion[SubSección]))),ROW(EP35))),"")</f>
        <v/>
      </c>
      <c r="ER36" s="51" t="str">
        <f t="array" aca="1" ref="ER36" ca="1">IFERROR(INDEX(Leccion[selectorLeccion],SMALL(IF(ER$1=Leccion[SubSección],MATCH(ROW(Leccion[SubSección]),ROW(Leccion[SubSección]))),ROW(EQ35))),"")</f>
        <v/>
      </c>
      <c r="ES36" s="51" t="str">
        <f t="array" aca="1" ref="ES36" ca="1">IFERROR(INDEX(Leccion[selectorLeccion],SMALL(IF(ES$1=Leccion[SubSección],MATCH(ROW(Leccion[SubSección]),ROW(Leccion[SubSección]))),ROW(ER35))),"")</f>
        <v/>
      </c>
      <c r="ET36" s="51" t="str">
        <f t="array" aca="1" ref="ET36" ca="1">IFERROR(INDEX(Leccion[selectorLeccion],SMALL(IF(ET$1=Leccion[SubSección],MATCH(ROW(Leccion[SubSección]),ROW(Leccion[SubSección]))),ROW(ES35))),"")</f>
        <v/>
      </c>
      <c r="EU36" s="51" t="str">
        <f t="array" aca="1" ref="EU36" ca="1">IFERROR(INDEX(Leccion[selectorLeccion],SMALL(IF(EU$1=Leccion[SubSección],MATCH(ROW(Leccion[SubSección]),ROW(Leccion[SubSección]))),ROW(ET35))),"")</f>
        <v/>
      </c>
      <c r="EV36" s="51" t="str">
        <f t="array" aca="1" ref="EV36" ca="1">IFERROR(INDEX(Leccion[selectorLeccion],SMALL(IF(EV$1=Leccion[SubSección],MATCH(ROW(Leccion[SubSección]),ROW(Leccion[SubSección]))),ROW(EU35))),"")</f>
        <v/>
      </c>
      <c r="EW36" s="51" t="str">
        <f t="array" aca="1" ref="EW36" ca="1">IFERROR(INDEX(Leccion[selectorLeccion],SMALL(IF(EW$1=Leccion[SubSección],MATCH(ROW(Leccion[SubSección]),ROW(Leccion[SubSección]))),ROW(EV35))),"")</f>
        <v/>
      </c>
      <c r="EX36" s="51" t="str">
        <f t="array" aca="1" ref="EX36" ca="1">IFERROR(INDEX(Leccion[selectorLeccion],SMALL(IF(EX$1=Leccion[SubSección],MATCH(ROW(Leccion[SubSección]),ROW(Leccion[SubSección]))),ROW(EW35))),"")</f>
        <v/>
      </c>
      <c r="EY36" s="51" t="str">
        <f t="array" aca="1" ref="EY36" ca="1">IFERROR(INDEX(Leccion[selectorLeccion],SMALL(IF(EY$1=Leccion[SubSección],MATCH(ROW(Leccion[SubSección]),ROW(Leccion[SubSección]))),ROW(EX35))),"")</f>
        <v/>
      </c>
      <c r="EZ36" s="51" t="str">
        <f t="array" aca="1" ref="EZ36" ca="1">IFERROR(INDEX(Leccion[selectorLeccion],SMALL(IF(EZ$1=Leccion[SubSección],MATCH(ROW(Leccion[SubSección]),ROW(Leccion[SubSección]))),ROW(EY35))),"")</f>
        <v/>
      </c>
    </row>
    <row r="37" spans="2:156" x14ac:dyDescent="0.3">
      <c r="B37" s="51" t="str">
        <f t="array" aca="1" ref="B37" ca="1">IFERROR(INDEX(Leccion[selectorLeccion],SMALL(IF(B$1=Leccion[SubSección],MATCH(ROW(Leccion[SubSección]),ROW(Leccion[SubSección]))),ROW(A36))),"")</f>
        <v/>
      </c>
      <c r="C37" s="51" t="str">
        <f t="array" aca="1" ref="C37" ca="1">IFERROR(INDEX(Leccion[selectorLeccion],SMALL(IF(C$1=Leccion[SubSección],MATCH(ROW(Leccion[SubSección]),ROW(Leccion[SubSección]))),ROW(B36))),"")</f>
        <v/>
      </c>
      <c r="D37" s="51" t="str">
        <f t="array" aca="1" ref="D37" ca="1">IFERROR(INDEX(Leccion[selectorLeccion],SMALL(IF(D$1=Leccion[SubSección],MATCH(ROW(Leccion[SubSección]),ROW(Leccion[SubSección]))),ROW(C36))),"")</f>
        <v/>
      </c>
      <c r="E37" s="51" t="str">
        <f t="array" aca="1" ref="E37" ca="1">IFERROR(INDEX(Leccion[selectorLeccion],SMALL(IF(E$1=Leccion[SubSección],MATCH(ROW(Leccion[SubSección]),ROW(Leccion[SubSección]))),ROW(D36))),"")</f>
        <v/>
      </c>
      <c r="F37" s="51" t="str">
        <f t="array" aca="1" ref="F37" ca="1">IFERROR(INDEX(Leccion[selectorLeccion],SMALL(IF(F$1=Leccion[SubSección],MATCH(ROW(Leccion[SubSección]),ROW(Leccion[SubSección]))),ROW(E36))),"")</f>
        <v/>
      </c>
      <c r="G37" s="51" t="str">
        <f t="array" aca="1" ref="G37" ca="1">IFERROR(INDEX(Leccion[selectorLeccion],SMALL(IF(G$1=Leccion[SubSección],MATCH(ROW(Leccion[SubSección]),ROW(Leccion[SubSección]))),ROW(F36))),"")</f>
        <v/>
      </c>
      <c r="H37" s="51" t="str">
        <f t="array" aca="1" ref="H37" ca="1">IFERROR(INDEX(Leccion[selectorLeccion],SMALL(IF(H$1=Leccion[SubSección],MATCH(ROW(Leccion[SubSección]),ROW(Leccion[SubSección]))),ROW(G36))),"")</f>
        <v/>
      </c>
      <c r="I37" s="51" t="str">
        <f t="array" aca="1" ref="I37" ca="1">IFERROR(INDEX(Leccion[selectorLeccion],SMALL(IF(I$1=Leccion[SubSección],MATCH(ROW(Leccion[SubSección]),ROW(Leccion[SubSección]))),ROW(H36))),"")</f>
        <v/>
      </c>
      <c r="J37" s="51" t="str">
        <f t="array" aca="1" ref="J37" ca="1">IFERROR(INDEX(Leccion[selectorLeccion],SMALL(IF(J$1=Leccion[SubSección],MATCH(ROW(Leccion[SubSección]),ROW(Leccion[SubSección]))),ROW(I36))),"")</f>
        <v/>
      </c>
      <c r="K37" s="51" t="str">
        <f t="array" aca="1" ref="K37" ca="1">IFERROR(INDEX(Leccion[selectorLeccion],SMALL(IF(K$1=Leccion[SubSección],MATCH(ROW(Leccion[SubSección]),ROW(Leccion[SubSección]))),ROW(J36))),"")</f>
        <v/>
      </c>
      <c r="L37" s="51" t="str">
        <f t="array" aca="1" ref="L37" ca="1">IFERROR(INDEX(Leccion[selectorLeccion],SMALL(IF(L$1=Leccion[SubSección],MATCH(ROW(Leccion[SubSección]),ROW(Leccion[SubSección]))),ROW(K36))),"")</f>
        <v/>
      </c>
      <c r="M37" s="51" t="str">
        <f t="array" aca="1" ref="M37" ca="1">IFERROR(INDEX(Leccion[selectorLeccion],SMALL(IF(M$1=Leccion[SubSección],MATCH(ROW(Leccion[SubSección]),ROW(Leccion[SubSección]))),ROW(L36))),"")</f>
        <v/>
      </c>
      <c r="N37" s="51" t="str">
        <f t="array" aca="1" ref="N37" ca="1">IFERROR(INDEX(Leccion[selectorLeccion],SMALL(IF(N$1=Leccion[SubSección],MATCH(ROW(Leccion[SubSección]),ROW(Leccion[SubSección]))),ROW(M36))),"")</f>
        <v/>
      </c>
      <c r="O37" s="51" t="str">
        <f t="array" aca="1" ref="O37" ca="1">IFERROR(INDEX(Leccion[selectorLeccion],SMALL(IF(O$1=Leccion[SubSección],MATCH(ROW(Leccion[SubSección]),ROW(Leccion[SubSección]))),ROW(N36))),"")</f>
        <v/>
      </c>
      <c r="P37" s="51" t="str">
        <f t="array" aca="1" ref="P37" ca="1">IFERROR(INDEX(Leccion[selectorLeccion],SMALL(IF(P$1=Leccion[SubSección],MATCH(ROW(Leccion[SubSección]),ROW(Leccion[SubSección]))),ROW(O36))),"")</f>
        <v/>
      </c>
      <c r="Q37" s="51" t="str">
        <f t="array" aca="1" ref="Q37" ca="1">IFERROR(INDEX(Leccion[selectorLeccion],SMALL(IF(Q$1=Leccion[SubSección],MATCH(ROW(Leccion[SubSección]),ROW(Leccion[SubSección]))),ROW(P36))),"")</f>
        <v/>
      </c>
      <c r="R37" s="51" t="str">
        <f t="array" aca="1" ref="R37" ca="1">IFERROR(INDEX(Leccion[selectorLeccion],SMALL(IF(R$1=Leccion[SubSección],MATCH(ROW(Leccion[SubSección]),ROW(Leccion[SubSección]))),ROW(Q36))),"")</f>
        <v/>
      </c>
      <c r="S37" s="51" t="str">
        <f t="array" aca="1" ref="S37" ca="1">IFERROR(INDEX(Leccion[selectorLeccion],SMALL(IF(S$1=Leccion[SubSección],MATCH(ROW(Leccion[SubSección]),ROW(Leccion[SubSección]))),ROW(R36))),"")</f>
        <v/>
      </c>
      <c r="T37" s="51" t="str">
        <f t="array" aca="1" ref="T37" ca="1">IFERROR(INDEX(Leccion[selectorLeccion],SMALL(IF(T$1=Leccion[SubSección],MATCH(ROW(Leccion[SubSección]),ROW(Leccion[SubSección]))),ROW(S36))),"")</f>
        <v/>
      </c>
      <c r="U37" s="51" t="str">
        <f t="array" aca="1" ref="U37" ca="1">IFERROR(INDEX(Leccion[selectorLeccion],SMALL(IF(U$1=Leccion[SubSección],MATCH(ROW(Leccion[SubSección]),ROW(Leccion[SubSección]))),ROW(T36))),"")</f>
        <v/>
      </c>
      <c r="V37" s="51" t="str">
        <f t="array" aca="1" ref="V37" ca="1">IFERROR(INDEX(Leccion[selectorLeccion],SMALL(IF(V$1=Leccion[SubSección],MATCH(ROW(Leccion[SubSección]),ROW(Leccion[SubSección]))),ROW(U36))),"")</f>
        <v/>
      </c>
      <c r="W37" s="51" t="str">
        <f t="array" aca="1" ref="W37" ca="1">IFERROR(INDEX(Leccion[selectorLeccion],SMALL(IF(W$1=Leccion[SubSección],MATCH(ROW(Leccion[SubSección]),ROW(Leccion[SubSección]))),ROW(V36))),"")</f>
        <v/>
      </c>
      <c r="X37" s="51" t="str">
        <f t="array" aca="1" ref="X37" ca="1">IFERROR(INDEX(Leccion[selectorLeccion],SMALL(IF(X$1=Leccion[SubSección],MATCH(ROW(Leccion[SubSección]),ROW(Leccion[SubSección]))),ROW(W36))),"")</f>
        <v/>
      </c>
      <c r="Y37" s="51" t="str">
        <f t="array" aca="1" ref="Y37" ca="1">IFERROR(INDEX(Leccion[selectorLeccion],SMALL(IF(Y$1=Leccion[SubSección],MATCH(ROW(Leccion[SubSección]),ROW(Leccion[SubSección]))),ROW(X36))),"")</f>
        <v/>
      </c>
      <c r="Z37" s="51" t="str">
        <f t="array" aca="1" ref="Z37" ca="1">IFERROR(INDEX(Leccion[selectorLeccion],SMALL(IF(Z$1=Leccion[SubSección],MATCH(ROW(Leccion[SubSección]),ROW(Leccion[SubSección]))),ROW(Y36))),"")</f>
        <v/>
      </c>
      <c r="AA37" s="51" t="str">
        <f t="array" aca="1" ref="AA37" ca="1">IFERROR(INDEX(Leccion[selectorLeccion],SMALL(IF(AA$1=Leccion[SubSección],MATCH(ROW(Leccion[SubSección]),ROW(Leccion[SubSección]))),ROW(Z36))),"")</f>
        <v/>
      </c>
      <c r="AB37" s="51" t="str">
        <f t="array" aca="1" ref="AB37" ca="1">IFERROR(INDEX(Leccion[selectorLeccion],SMALL(IF(AB$1=Leccion[SubSección],MATCH(ROW(Leccion[SubSección]),ROW(Leccion[SubSección]))),ROW(AA36))),"")</f>
        <v/>
      </c>
      <c r="AC37" s="51" t="str">
        <f t="array" aca="1" ref="AC37" ca="1">IFERROR(INDEX(Leccion[selectorLeccion],SMALL(IF(AC$1=Leccion[SubSección],MATCH(ROW(Leccion[SubSección]),ROW(Leccion[SubSección]))),ROW(AB36))),"")</f>
        <v/>
      </c>
      <c r="AD37" s="51" t="str">
        <f t="array" aca="1" ref="AD37" ca="1">IFERROR(INDEX(Leccion[selectorLeccion],SMALL(IF(AD$1=Leccion[SubSección],MATCH(ROW(Leccion[SubSección]),ROW(Leccion[SubSección]))),ROW(AC36))),"")</f>
        <v/>
      </c>
      <c r="AE37" s="51" t="str">
        <f t="array" aca="1" ref="AE37" ca="1">IFERROR(INDEX(Leccion[selectorLeccion],SMALL(IF(AE$1=Leccion[SubSección],MATCH(ROW(Leccion[SubSección]),ROW(Leccion[SubSección]))),ROW(AD36))),"")</f>
        <v/>
      </c>
      <c r="AF37" s="51" t="str">
        <f t="array" aca="1" ref="AF37" ca="1">IFERROR(INDEX(Leccion[selectorLeccion],SMALL(IF(AF$1=Leccion[SubSección],MATCH(ROW(Leccion[SubSección]),ROW(Leccion[SubSección]))),ROW(AE36))),"")</f>
        <v/>
      </c>
      <c r="AG37" s="51" t="str">
        <f t="array" aca="1" ref="AG37" ca="1">IFERROR(INDEX(Leccion[selectorLeccion],SMALL(IF(AG$1=Leccion[SubSección],MATCH(ROW(Leccion[SubSección]),ROW(Leccion[SubSección]))),ROW(AF36))),"")</f>
        <v/>
      </c>
      <c r="AH37" s="51" t="str">
        <f t="array" aca="1" ref="AH37" ca="1">IFERROR(INDEX(Leccion[selectorLeccion],SMALL(IF(AH$1=Leccion[SubSección],MATCH(ROW(Leccion[SubSección]),ROW(Leccion[SubSección]))),ROW(AG36))),"")</f>
        <v/>
      </c>
      <c r="AI37" s="51" t="str">
        <f t="array" aca="1" ref="AI37" ca="1">IFERROR(INDEX(Leccion[selectorLeccion],SMALL(IF(AI$1=Leccion[SubSección],MATCH(ROW(Leccion[SubSección]),ROW(Leccion[SubSección]))),ROW(AH36))),"")</f>
        <v/>
      </c>
      <c r="AJ37" s="51" t="str">
        <f t="array" aca="1" ref="AJ37" ca="1">IFERROR(INDEX(Leccion[selectorLeccion],SMALL(IF(AJ$1=Leccion[SubSección],MATCH(ROW(Leccion[SubSección]),ROW(Leccion[SubSección]))),ROW(AI36))),"")</f>
        <v/>
      </c>
      <c r="AK37" s="51" t="str">
        <f t="array" aca="1" ref="AK37" ca="1">IFERROR(INDEX(Leccion[selectorLeccion],SMALL(IF(AK$1=Leccion[SubSección],MATCH(ROW(Leccion[SubSección]),ROW(Leccion[SubSección]))),ROW(AJ36))),"")</f>
        <v/>
      </c>
      <c r="AL37" s="51" t="str">
        <f t="array" aca="1" ref="AL37" ca="1">IFERROR(INDEX(Leccion[selectorLeccion],SMALL(IF(AL$1=Leccion[SubSección],MATCH(ROW(Leccion[SubSección]),ROW(Leccion[SubSección]))),ROW(AK36))),"")</f>
        <v/>
      </c>
      <c r="AM37" s="51" t="str">
        <f t="array" aca="1" ref="AM37" ca="1">IFERROR(INDEX(Leccion[selectorLeccion],SMALL(IF(AM$1=Leccion[SubSección],MATCH(ROW(Leccion[SubSección]),ROW(Leccion[SubSección]))),ROW(AL36))),"")</f>
        <v/>
      </c>
      <c r="AN37" s="51" t="str">
        <f t="array" aca="1" ref="AN37" ca="1">IFERROR(INDEX(Leccion[selectorLeccion],SMALL(IF(AN$1=Leccion[SubSección],MATCH(ROW(Leccion[SubSección]),ROW(Leccion[SubSección]))),ROW(AM36))),"")</f>
        <v/>
      </c>
      <c r="AO37" s="51" t="str">
        <f t="array" aca="1" ref="AO37" ca="1">IFERROR(INDEX(Leccion[selectorLeccion],SMALL(IF(AO$1=Leccion[SubSección],MATCH(ROW(Leccion[SubSección]),ROW(Leccion[SubSección]))),ROW(AN36))),"")</f>
        <v/>
      </c>
      <c r="AP37" s="51" t="str">
        <f t="array" aca="1" ref="AP37" ca="1">IFERROR(INDEX(Leccion[selectorLeccion],SMALL(IF(AP$1=Leccion[SubSección],MATCH(ROW(Leccion[SubSección]),ROW(Leccion[SubSección]))),ROW(AO36))),"")</f>
        <v/>
      </c>
      <c r="AQ37" s="51" t="str">
        <f t="array" aca="1" ref="AQ37" ca="1">IFERROR(INDEX(Leccion[selectorLeccion],SMALL(IF(AQ$1=Leccion[SubSección],MATCH(ROW(Leccion[SubSección]),ROW(Leccion[SubSección]))),ROW(AP36))),"")</f>
        <v/>
      </c>
      <c r="AR37" s="51" t="str">
        <f t="array" aca="1" ref="AR37" ca="1">IFERROR(INDEX(Leccion[selectorLeccion],SMALL(IF(AR$1=Leccion[SubSección],MATCH(ROW(Leccion[SubSección]),ROW(Leccion[SubSección]))),ROW(AQ36))),"")</f>
        <v/>
      </c>
      <c r="AS37" s="51" t="str">
        <f t="array" aca="1" ref="AS37" ca="1">IFERROR(INDEX(Leccion[selectorLeccion],SMALL(IF(AS$1=Leccion[SubSección],MATCH(ROW(Leccion[SubSección]),ROW(Leccion[SubSección]))),ROW(AR36))),"")</f>
        <v/>
      </c>
      <c r="AT37" s="51" t="str">
        <f t="array" aca="1" ref="AT37" ca="1">IFERROR(INDEX(Leccion[selectorLeccion],SMALL(IF(AT$1=Leccion[SubSección],MATCH(ROW(Leccion[SubSección]),ROW(Leccion[SubSección]))),ROW(AS36))),"")</f>
        <v/>
      </c>
      <c r="AU37" s="51" t="str">
        <f t="array" aca="1" ref="AU37" ca="1">IFERROR(INDEX(Leccion[selectorLeccion],SMALL(IF(AU$1=Leccion[SubSección],MATCH(ROW(Leccion[SubSección]),ROW(Leccion[SubSección]))),ROW(AT36))),"")</f>
        <v/>
      </c>
      <c r="AV37" s="51" t="str">
        <f t="array" aca="1" ref="AV37" ca="1">IFERROR(INDEX(Leccion[selectorLeccion],SMALL(IF(AV$1=Leccion[SubSección],MATCH(ROW(Leccion[SubSección]),ROW(Leccion[SubSección]))),ROW(AU36))),"")</f>
        <v/>
      </c>
      <c r="AW37" s="51" t="str">
        <f t="array" aca="1" ref="AW37" ca="1">IFERROR(INDEX(Leccion[selectorLeccion],SMALL(IF(AW$1=Leccion[SubSección],MATCH(ROW(Leccion[SubSección]),ROW(Leccion[SubSección]))),ROW(AV36))),"")</f>
        <v/>
      </c>
      <c r="AX37" s="51" t="str">
        <f t="array" aca="1" ref="AX37" ca="1">IFERROR(INDEX(Leccion[selectorLeccion],SMALL(IF(AX$1=Leccion[SubSección],MATCH(ROW(Leccion[SubSección]),ROW(Leccion[SubSección]))),ROW(AW36))),"")</f>
        <v/>
      </c>
      <c r="AY37" s="51" t="str">
        <f t="array" aca="1" ref="AY37" ca="1">IFERROR(INDEX(Leccion[selectorLeccion],SMALL(IF(AY$1=Leccion[SubSección],MATCH(ROW(Leccion[SubSección]),ROW(Leccion[SubSección]))),ROW(AX36))),"")</f>
        <v/>
      </c>
      <c r="AZ37" s="51" t="str">
        <f t="array" aca="1" ref="AZ37" ca="1">IFERROR(INDEX(Leccion[selectorLeccion],SMALL(IF(AZ$1=Leccion[SubSección],MATCH(ROW(Leccion[SubSección]),ROW(Leccion[SubSección]))),ROW(AY36))),"")</f>
        <v/>
      </c>
      <c r="BA37" s="51" t="str">
        <f t="array" aca="1" ref="BA37" ca="1">IFERROR(INDEX(Leccion[selectorLeccion],SMALL(IF(BA$1=Leccion[SubSección],MATCH(ROW(Leccion[SubSección]),ROW(Leccion[SubSección]))),ROW(AZ36))),"")</f>
        <v/>
      </c>
      <c r="BB37" s="51" t="str">
        <f t="array" aca="1" ref="BB37" ca="1">IFERROR(INDEX(Leccion[selectorLeccion],SMALL(IF(BB$1=Leccion[SubSección],MATCH(ROW(Leccion[SubSección]),ROW(Leccion[SubSección]))),ROW(BA36))),"")</f>
        <v/>
      </c>
      <c r="BC37" s="51" t="str">
        <f t="array" aca="1" ref="BC37" ca="1">IFERROR(INDEX(Leccion[selectorLeccion],SMALL(IF(BC$1=Leccion[SubSección],MATCH(ROW(Leccion[SubSección]),ROW(Leccion[SubSección]))),ROW(BB36))),"")</f>
        <v/>
      </c>
      <c r="BD37" s="51" t="str">
        <f t="array" aca="1" ref="BD37" ca="1">IFERROR(INDEX(Leccion[selectorLeccion],SMALL(IF(BD$1=Leccion[SubSección],MATCH(ROW(Leccion[SubSección]),ROW(Leccion[SubSección]))),ROW(BC36))),"")</f>
        <v/>
      </c>
      <c r="BE37" s="51" t="str">
        <f t="array" aca="1" ref="BE37" ca="1">IFERROR(INDEX(Leccion[selectorLeccion],SMALL(IF(BE$1=Leccion[SubSección],MATCH(ROW(Leccion[SubSección]),ROW(Leccion[SubSección]))),ROW(BD36))),"")</f>
        <v/>
      </c>
      <c r="BF37" s="51" t="str">
        <f t="array" aca="1" ref="BF37" ca="1">IFERROR(INDEX(Leccion[selectorLeccion],SMALL(IF(BF$1=Leccion[SubSección],MATCH(ROW(Leccion[SubSección]),ROW(Leccion[SubSección]))),ROW(BE36))),"")</f>
        <v/>
      </c>
      <c r="BG37" s="51" t="str">
        <f t="array" aca="1" ref="BG37" ca="1">IFERROR(INDEX(Leccion[selectorLeccion],SMALL(IF(BG$1=Leccion[SubSección],MATCH(ROW(Leccion[SubSección]),ROW(Leccion[SubSección]))),ROW(BF36))),"")</f>
        <v/>
      </c>
      <c r="BH37" s="51" t="str">
        <f t="array" aca="1" ref="BH37" ca="1">IFERROR(INDEX(Leccion[selectorLeccion],SMALL(IF(BH$1=Leccion[SubSección],MATCH(ROW(Leccion[SubSección]),ROW(Leccion[SubSección]))),ROW(BG36))),"")</f>
        <v/>
      </c>
      <c r="BI37" s="51" t="str">
        <f t="array" aca="1" ref="BI37" ca="1">IFERROR(INDEX(Leccion[selectorLeccion],SMALL(IF(BI$1=Leccion[SubSección],MATCH(ROW(Leccion[SubSección]),ROW(Leccion[SubSección]))),ROW(BH36))),"")</f>
        <v/>
      </c>
      <c r="BJ37" s="51" t="str">
        <f t="array" aca="1" ref="BJ37" ca="1">IFERROR(INDEX(Leccion[selectorLeccion],SMALL(IF(BJ$1=Leccion[SubSección],MATCH(ROW(Leccion[SubSección]),ROW(Leccion[SubSección]))),ROW(BI36))),"")</f>
        <v/>
      </c>
      <c r="BK37" s="51" t="str">
        <f t="array" aca="1" ref="BK37" ca="1">IFERROR(INDEX(Leccion[selectorLeccion],SMALL(IF(BK$1=Leccion[SubSección],MATCH(ROW(Leccion[SubSección]),ROW(Leccion[SubSección]))),ROW(BJ36))),"")</f>
        <v/>
      </c>
      <c r="BL37" s="51" t="str">
        <f t="array" aca="1" ref="BL37" ca="1">IFERROR(INDEX(Leccion[selectorLeccion],SMALL(IF(BL$1=Leccion[SubSección],MATCH(ROW(Leccion[SubSección]),ROW(Leccion[SubSección]))),ROW(BK36))),"")</f>
        <v/>
      </c>
      <c r="BM37" s="51" t="str">
        <f t="array" aca="1" ref="BM37" ca="1">IFERROR(INDEX(Leccion[selectorLeccion],SMALL(IF(BM$1=Leccion[SubSección],MATCH(ROW(Leccion[SubSección]),ROW(Leccion[SubSección]))),ROW(BL36))),"")</f>
        <v/>
      </c>
      <c r="BN37" s="51" t="str">
        <f t="array" aca="1" ref="BN37" ca="1">IFERROR(INDEX(Leccion[selectorLeccion],SMALL(IF(BN$1=Leccion[SubSección],MATCH(ROW(Leccion[SubSección]),ROW(Leccion[SubSección]))),ROW(BM36))),"")</f>
        <v/>
      </c>
      <c r="BO37" s="51" t="str">
        <f t="array" aca="1" ref="BO37" ca="1">IFERROR(INDEX(Leccion[selectorLeccion],SMALL(IF(BO$1=Leccion[SubSección],MATCH(ROW(Leccion[SubSección]),ROW(Leccion[SubSección]))),ROW(BN36))),"")</f>
        <v/>
      </c>
      <c r="BP37" s="51" t="str">
        <f t="array" aca="1" ref="BP37" ca="1">IFERROR(INDEX(Leccion[selectorLeccion],SMALL(IF(BP$1=Leccion[SubSección],MATCH(ROW(Leccion[SubSección]),ROW(Leccion[SubSección]))),ROW(BO36))),"")</f>
        <v/>
      </c>
      <c r="BQ37" s="51" t="str">
        <f t="array" aca="1" ref="BQ37" ca="1">IFERROR(INDEX(Leccion[selectorLeccion],SMALL(IF(BQ$1=Leccion[SubSección],MATCH(ROW(Leccion[SubSección]),ROW(Leccion[SubSección]))),ROW(BP36))),"")</f>
        <v/>
      </c>
      <c r="BR37" s="51" t="str">
        <f t="array" aca="1" ref="BR37" ca="1">IFERROR(INDEX(Leccion[selectorLeccion],SMALL(IF(BR$1=Leccion[SubSección],MATCH(ROW(Leccion[SubSección]),ROW(Leccion[SubSección]))),ROW(BQ36))),"")</f>
        <v/>
      </c>
      <c r="BS37" s="51" t="str">
        <f t="array" aca="1" ref="BS37" ca="1">IFERROR(INDEX(Leccion[selectorLeccion],SMALL(IF(BS$1=Leccion[SubSección],MATCH(ROW(Leccion[SubSección]),ROW(Leccion[SubSección]))),ROW(BR36))),"")</f>
        <v/>
      </c>
      <c r="BT37" s="51" t="str">
        <f t="array" aca="1" ref="BT37" ca="1">IFERROR(INDEX(Leccion[selectorLeccion],SMALL(IF(BT$1=Leccion[SubSección],MATCH(ROW(Leccion[SubSección]),ROW(Leccion[SubSección]))),ROW(BS36))),"")</f>
        <v/>
      </c>
      <c r="BU37" s="51" t="str">
        <f t="array" aca="1" ref="BU37" ca="1">IFERROR(INDEX(Leccion[selectorLeccion],SMALL(IF(BU$1=Leccion[SubSección],MATCH(ROW(Leccion[SubSección]),ROW(Leccion[SubSección]))),ROW(BT36))),"")</f>
        <v/>
      </c>
      <c r="BV37" s="51" t="str">
        <f t="array" aca="1" ref="BV37" ca="1">IFERROR(INDEX(Leccion[selectorLeccion],SMALL(IF(BV$1=Leccion[SubSección],MATCH(ROW(Leccion[SubSección]),ROW(Leccion[SubSección]))),ROW(BU36))),"")</f>
        <v/>
      </c>
      <c r="BW37" s="51" t="str">
        <f t="array" aca="1" ref="BW37" ca="1">IFERROR(INDEX(Leccion[selectorLeccion],SMALL(IF(BW$1=Leccion[SubSección],MATCH(ROW(Leccion[SubSección]),ROW(Leccion[SubSección]))),ROW(BV36))),"")</f>
        <v/>
      </c>
      <c r="BX37" s="51" t="str">
        <f t="array" aca="1" ref="BX37" ca="1">IFERROR(INDEX(Leccion[selectorLeccion],SMALL(IF(BX$1=Leccion[SubSección],MATCH(ROW(Leccion[SubSección]),ROW(Leccion[SubSección]))),ROW(BW36))),"")</f>
        <v/>
      </c>
      <c r="BY37" s="51" t="str">
        <f t="array" aca="1" ref="BY37" ca="1">IFERROR(INDEX(Leccion[selectorLeccion],SMALL(IF(BY$1=Leccion[SubSección],MATCH(ROW(Leccion[SubSección]),ROW(Leccion[SubSección]))),ROW(BX36))),"")</f>
        <v/>
      </c>
      <c r="BZ37" s="51" t="str">
        <f t="array" aca="1" ref="BZ37" ca="1">IFERROR(INDEX(Leccion[selectorLeccion],SMALL(IF(BZ$1=Leccion[SubSección],MATCH(ROW(Leccion[SubSección]),ROW(Leccion[SubSección]))),ROW(BY36))),"")</f>
        <v/>
      </c>
      <c r="CA37" s="51" t="str">
        <f t="array" aca="1" ref="CA37" ca="1">IFERROR(INDEX(Leccion[selectorLeccion],SMALL(IF(CA$1=Leccion[SubSección],MATCH(ROW(Leccion[SubSección]),ROW(Leccion[SubSección]))),ROW(BZ36))),"")</f>
        <v/>
      </c>
      <c r="CB37" s="51" t="str">
        <f t="array" aca="1" ref="CB37" ca="1">IFERROR(INDEX(Leccion[selectorLeccion],SMALL(IF(CB$1=Leccion[SubSección],MATCH(ROW(Leccion[SubSección]),ROW(Leccion[SubSección]))),ROW(CA36))),"")</f>
        <v/>
      </c>
      <c r="CC37" s="51" t="str">
        <f t="array" aca="1" ref="CC37" ca="1">IFERROR(INDEX(Leccion[selectorLeccion],SMALL(IF(CC$1=Leccion[SubSección],MATCH(ROW(Leccion[SubSección]),ROW(Leccion[SubSección]))),ROW(CB36))),"")</f>
        <v/>
      </c>
      <c r="CD37" s="51" t="str">
        <f t="array" aca="1" ref="CD37" ca="1">IFERROR(INDEX(Leccion[selectorLeccion],SMALL(IF(CD$1=Leccion[SubSección],MATCH(ROW(Leccion[SubSección]),ROW(Leccion[SubSección]))),ROW(CC36))),"")</f>
        <v/>
      </c>
      <c r="CE37" s="51" t="str">
        <f t="array" aca="1" ref="CE37" ca="1">IFERROR(INDEX(Leccion[selectorLeccion],SMALL(IF(CE$1=Leccion[SubSección],MATCH(ROW(Leccion[SubSección]),ROW(Leccion[SubSección]))),ROW(CD36))),"")</f>
        <v/>
      </c>
      <c r="CF37" s="51" t="str">
        <f t="array" aca="1" ref="CF37" ca="1">IFERROR(INDEX(Leccion[selectorLeccion],SMALL(IF(CF$1=Leccion[SubSección],MATCH(ROW(Leccion[SubSección]),ROW(Leccion[SubSección]))),ROW(CE36))),"")</f>
        <v/>
      </c>
      <c r="CG37" s="51" t="str">
        <f t="array" aca="1" ref="CG37" ca="1">IFERROR(INDEX(Leccion[selectorLeccion],SMALL(IF(CG$1=Leccion[SubSección],MATCH(ROW(Leccion[SubSección]),ROW(Leccion[SubSección]))),ROW(CF36))),"")</f>
        <v/>
      </c>
      <c r="CH37" s="51" t="str">
        <f t="array" aca="1" ref="CH37" ca="1">IFERROR(INDEX(Leccion[selectorLeccion],SMALL(IF(CH$1=Leccion[SubSección],MATCH(ROW(Leccion[SubSección]),ROW(Leccion[SubSección]))),ROW(CG36))),"")</f>
        <v/>
      </c>
      <c r="CI37" s="51" t="str">
        <f t="array" aca="1" ref="CI37" ca="1">IFERROR(INDEX(Leccion[selectorLeccion],SMALL(IF(CI$1=Leccion[SubSección],MATCH(ROW(Leccion[SubSección]),ROW(Leccion[SubSección]))),ROW(CH36))),"")</f>
        <v/>
      </c>
      <c r="CJ37" s="51" t="str">
        <f t="array" aca="1" ref="CJ37" ca="1">IFERROR(INDEX(Leccion[selectorLeccion],SMALL(IF(CJ$1=Leccion[SubSección],MATCH(ROW(Leccion[SubSección]),ROW(Leccion[SubSección]))),ROW(CI36))),"")</f>
        <v/>
      </c>
      <c r="CK37" s="51" t="str">
        <f t="array" aca="1" ref="CK37" ca="1">IFERROR(INDEX(Leccion[selectorLeccion],SMALL(IF(CK$1=Leccion[SubSección],MATCH(ROW(Leccion[SubSección]),ROW(Leccion[SubSección]))),ROW(CJ36))),"")</f>
        <v/>
      </c>
      <c r="CL37" s="51" t="str">
        <f t="array" aca="1" ref="CL37" ca="1">IFERROR(INDEX(Leccion[selectorLeccion],SMALL(IF(CL$1=Leccion[SubSección],MATCH(ROW(Leccion[SubSección]),ROW(Leccion[SubSección]))),ROW(CK36))),"")</f>
        <v/>
      </c>
      <c r="CM37" s="51" t="str">
        <f t="array" aca="1" ref="CM37" ca="1">IFERROR(INDEX(Leccion[selectorLeccion],SMALL(IF(CM$1=Leccion[SubSección],MATCH(ROW(Leccion[SubSección]),ROW(Leccion[SubSección]))),ROW(CL36))),"")</f>
        <v/>
      </c>
      <c r="CN37" s="51" t="str">
        <f t="array" aca="1" ref="CN37" ca="1">IFERROR(INDEX(Leccion[selectorLeccion],SMALL(IF(CN$1=Leccion[SubSección],MATCH(ROW(Leccion[SubSección]),ROW(Leccion[SubSección]))),ROW(CM36))),"")</f>
        <v/>
      </c>
      <c r="CO37" s="51" t="str">
        <f t="array" aca="1" ref="CO37" ca="1">IFERROR(INDEX(Leccion[selectorLeccion],SMALL(IF(CO$1=Leccion[SubSección],MATCH(ROW(Leccion[SubSección]),ROW(Leccion[SubSección]))),ROW(CN36))),"")</f>
        <v/>
      </c>
      <c r="CP37" s="51" t="str">
        <f t="array" aca="1" ref="CP37" ca="1">IFERROR(INDEX(Leccion[selectorLeccion],SMALL(IF(CP$1=Leccion[SubSección],MATCH(ROW(Leccion[SubSección]),ROW(Leccion[SubSección]))),ROW(CO36))),"")</f>
        <v/>
      </c>
      <c r="CQ37" s="51" t="str">
        <f t="array" aca="1" ref="CQ37" ca="1">IFERROR(INDEX(Leccion[selectorLeccion],SMALL(IF(CQ$1=Leccion[SubSección],MATCH(ROW(Leccion[SubSección]),ROW(Leccion[SubSección]))),ROW(CP36))),"")</f>
        <v/>
      </c>
      <c r="CR37" s="51" t="str">
        <f t="array" aca="1" ref="CR37" ca="1">IFERROR(INDEX(Leccion[selectorLeccion],SMALL(IF(CR$1=Leccion[SubSección],MATCH(ROW(Leccion[SubSección]),ROW(Leccion[SubSección]))),ROW(CQ36))),"")</f>
        <v/>
      </c>
      <c r="CS37" s="51" t="str">
        <f t="array" aca="1" ref="CS37" ca="1">IFERROR(INDEX(Leccion[selectorLeccion],SMALL(IF(CS$1=Leccion[SubSección],MATCH(ROW(Leccion[SubSección]),ROW(Leccion[SubSección]))),ROW(CR36))),"")</f>
        <v/>
      </c>
      <c r="CT37" s="51" t="str">
        <f t="array" aca="1" ref="CT37" ca="1">IFERROR(INDEX(Leccion[selectorLeccion],SMALL(IF(CT$1=Leccion[SubSección],MATCH(ROW(Leccion[SubSección]),ROW(Leccion[SubSección]))),ROW(CS36))),"")</f>
        <v/>
      </c>
      <c r="CU37" s="51" t="str">
        <f t="array" aca="1" ref="CU37" ca="1">IFERROR(INDEX(Leccion[selectorLeccion],SMALL(IF(CU$1=Leccion[SubSección],MATCH(ROW(Leccion[SubSección]),ROW(Leccion[SubSección]))),ROW(CT36))),"")</f>
        <v/>
      </c>
      <c r="CV37" s="51" t="str">
        <f t="array" aca="1" ref="CV37" ca="1">IFERROR(INDEX(Leccion[selectorLeccion],SMALL(IF(CV$1=Leccion[SubSección],MATCH(ROW(Leccion[SubSección]),ROW(Leccion[SubSección]))),ROW(CU36))),"")</f>
        <v/>
      </c>
      <c r="CW37" s="51" t="str">
        <f t="array" aca="1" ref="CW37" ca="1">IFERROR(INDEX(Leccion[selectorLeccion],SMALL(IF(CW$1=Leccion[SubSección],MATCH(ROW(Leccion[SubSección]),ROW(Leccion[SubSección]))),ROW(CV36))),"")</f>
        <v/>
      </c>
      <c r="CX37" s="51" t="str">
        <f t="array" aca="1" ref="CX37" ca="1">IFERROR(INDEX(Leccion[selectorLeccion],SMALL(IF(CX$1=Leccion[SubSección],MATCH(ROW(Leccion[SubSección]),ROW(Leccion[SubSección]))),ROW(CW36))),"")</f>
        <v/>
      </c>
      <c r="CY37" s="51" t="str">
        <f t="array" aca="1" ref="CY37" ca="1">IFERROR(INDEX(Leccion[selectorLeccion],SMALL(IF(CY$1=Leccion[SubSección],MATCH(ROW(Leccion[SubSección]),ROW(Leccion[SubSección]))),ROW(CX36))),"")</f>
        <v/>
      </c>
      <c r="CZ37" s="51" t="str">
        <f t="array" aca="1" ref="CZ37" ca="1">IFERROR(INDEX(Leccion[selectorLeccion],SMALL(IF(CZ$1=Leccion[SubSección],MATCH(ROW(Leccion[SubSección]),ROW(Leccion[SubSección]))),ROW(CY36))),"")</f>
        <v/>
      </c>
      <c r="DA37" s="51" t="str">
        <f t="array" aca="1" ref="DA37" ca="1">IFERROR(INDEX(Leccion[selectorLeccion],SMALL(IF(DA$1=Leccion[SubSección],MATCH(ROW(Leccion[SubSección]),ROW(Leccion[SubSección]))),ROW(CZ36))),"")</f>
        <v/>
      </c>
      <c r="DB37" s="51" t="str">
        <f t="array" aca="1" ref="DB37" ca="1">IFERROR(INDEX(Leccion[selectorLeccion],SMALL(IF(DB$1=Leccion[SubSección],MATCH(ROW(Leccion[SubSección]),ROW(Leccion[SubSección]))),ROW(DA36))),"")</f>
        <v/>
      </c>
      <c r="DC37" s="51" t="str">
        <f t="array" aca="1" ref="DC37" ca="1">IFERROR(INDEX(Leccion[selectorLeccion],SMALL(IF(DC$1=Leccion[SubSección],MATCH(ROW(Leccion[SubSección]),ROW(Leccion[SubSección]))),ROW(DB36))),"")</f>
        <v/>
      </c>
      <c r="DD37" s="51" t="str">
        <f t="array" aca="1" ref="DD37" ca="1">IFERROR(INDEX(Leccion[selectorLeccion],SMALL(IF(DD$1=Leccion[SubSección],MATCH(ROW(Leccion[SubSección]),ROW(Leccion[SubSección]))),ROW(DC36))),"")</f>
        <v/>
      </c>
      <c r="DE37" s="51" t="str">
        <f t="array" aca="1" ref="DE37" ca="1">IFERROR(INDEX(Leccion[selectorLeccion],SMALL(IF(DE$1=Leccion[SubSección],MATCH(ROW(Leccion[SubSección]),ROW(Leccion[SubSección]))),ROW(DD36))),"")</f>
        <v/>
      </c>
      <c r="DF37" s="51" t="str">
        <f t="array" aca="1" ref="DF37" ca="1">IFERROR(INDEX(Leccion[selectorLeccion],SMALL(IF(DF$1=Leccion[SubSección],MATCH(ROW(Leccion[SubSección]),ROW(Leccion[SubSección]))),ROW(DE36))),"")</f>
        <v/>
      </c>
      <c r="DG37" s="51" t="str">
        <f t="array" aca="1" ref="DG37" ca="1">IFERROR(INDEX(Leccion[selectorLeccion],SMALL(IF(DG$1=Leccion[SubSección],MATCH(ROW(Leccion[SubSección]),ROW(Leccion[SubSección]))),ROW(DF36))),"")</f>
        <v/>
      </c>
      <c r="DH37" s="51" t="str">
        <f t="array" aca="1" ref="DH37" ca="1">IFERROR(INDEX(Leccion[selectorLeccion],SMALL(IF(DH$1=Leccion[SubSección],MATCH(ROW(Leccion[SubSección]),ROW(Leccion[SubSección]))),ROW(DG36))),"")</f>
        <v/>
      </c>
      <c r="DI37" s="51" t="str">
        <f t="array" aca="1" ref="DI37" ca="1">IFERROR(INDEX(Leccion[selectorLeccion],SMALL(IF(DI$1=Leccion[SubSección],MATCH(ROW(Leccion[SubSección]),ROW(Leccion[SubSección]))),ROW(DH36))),"")</f>
        <v/>
      </c>
      <c r="DJ37" s="51" t="str">
        <f t="array" aca="1" ref="DJ37" ca="1">IFERROR(INDEX(Leccion[selectorLeccion],SMALL(IF(DJ$1=Leccion[SubSección],MATCH(ROW(Leccion[SubSección]),ROW(Leccion[SubSección]))),ROW(DI36))),"")</f>
        <v/>
      </c>
      <c r="DK37" s="51" t="str">
        <f t="array" aca="1" ref="DK37" ca="1">IFERROR(INDEX(Leccion[selectorLeccion],SMALL(IF(DK$1=Leccion[SubSección],MATCH(ROW(Leccion[SubSección]),ROW(Leccion[SubSección]))),ROW(DJ36))),"")</f>
        <v/>
      </c>
      <c r="DL37" s="51" t="str">
        <f t="array" aca="1" ref="DL37" ca="1">IFERROR(INDEX(Leccion[selectorLeccion],SMALL(IF(DL$1=Leccion[SubSección],MATCH(ROW(Leccion[SubSección]),ROW(Leccion[SubSección]))),ROW(DK36))),"")</f>
        <v/>
      </c>
      <c r="DM37" s="51" t="str">
        <f t="array" aca="1" ref="DM37" ca="1">IFERROR(INDEX(Leccion[selectorLeccion],SMALL(IF(DM$1=Leccion[SubSección],MATCH(ROW(Leccion[SubSección]),ROW(Leccion[SubSección]))),ROW(DL36))),"")</f>
        <v/>
      </c>
      <c r="DN37" s="51" t="str">
        <f t="array" aca="1" ref="DN37" ca="1">IFERROR(INDEX(Leccion[selectorLeccion],SMALL(IF(DN$1=Leccion[SubSección],MATCH(ROW(Leccion[SubSección]),ROW(Leccion[SubSección]))),ROW(DM36))),"")</f>
        <v/>
      </c>
      <c r="DO37" s="51" t="str">
        <f t="array" aca="1" ref="DO37" ca="1">IFERROR(INDEX(Leccion[selectorLeccion],SMALL(IF(DO$1=Leccion[SubSección],MATCH(ROW(Leccion[SubSección]),ROW(Leccion[SubSección]))),ROW(DN36))),"")</f>
        <v/>
      </c>
      <c r="DP37" s="51" t="str">
        <f t="array" aca="1" ref="DP37" ca="1">IFERROR(INDEX(Leccion[selectorLeccion],SMALL(IF(DP$1=Leccion[SubSección],MATCH(ROW(Leccion[SubSección]),ROW(Leccion[SubSección]))),ROW(DO36))),"")</f>
        <v/>
      </c>
      <c r="DQ37" s="51" t="str">
        <f t="array" aca="1" ref="DQ37" ca="1">IFERROR(INDEX(Leccion[selectorLeccion],SMALL(IF(DQ$1=Leccion[SubSección],MATCH(ROW(Leccion[SubSección]),ROW(Leccion[SubSección]))),ROW(DP36))),"")</f>
        <v/>
      </c>
      <c r="DR37" s="51" t="str">
        <f t="array" aca="1" ref="DR37" ca="1">IFERROR(INDEX(Leccion[selectorLeccion],SMALL(IF(DR$1=Leccion[SubSección],MATCH(ROW(Leccion[SubSección]),ROW(Leccion[SubSección]))),ROW(DQ36))),"")</f>
        <v/>
      </c>
      <c r="DS37" s="51" t="str">
        <f t="array" aca="1" ref="DS37" ca="1">IFERROR(INDEX(Leccion[selectorLeccion],SMALL(IF(DS$1=Leccion[SubSección],MATCH(ROW(Leccion[SubSección]),ROW(Leccion[SubSección]))),ROW(DR36))),"")</f>
        <v/>
      </c>
      <c r="DT37" s="51" t="str">
        <f t="array" aca="1" ref="DT37" ca="1">IFERROR(INDEX(Leccion[selectorLeccion],SMALL(IF(DT$1=Leccion[SubSección],MATCH(ROW(Leccion[SubSección]),ROW(Leccion[SubSección]))),ROW(DS36))),"")</f>
        <v/>
      </c>
      <c r="DU37" s="51" t="str">
        <f t="array" aca="1" ref="DU37" ca="1">IFERROR(INDEX(Leccion[selectorLeccion],SMALL(IF(DU$1=Leccion[SubSección],MATCH(ROW(Leccion[SubSección]),ROW(Leccion[SubSección]))),ROW(DT36))),"")</f>
        <v/>
      </c>
      <c r="DV37" s="51" t="str">
        <f t="array" aca="1" ref="DV37" ca="1">IFERROR(INDEX(Leccion[selectorLeccion],SMALL(IF(DV$1=Leccion[SubSección],MATCH(ROW(Leccion[SubSección]),ROW(Leccion[SubSección]))),ROW(DU36))),"")</f>
        <v/>
      </c>
      <c r="DW37" s="51" t="str">
        <f t="array" aca="1" ref="DW37" ca="1">IFERROR(INDEX(Leccion[selectorLeccion],SMALL(IF(DW$1=Leccion[SubSección],MATCH(ROW(Leccion[SubSección]),ROW(Leccion[SubSección]))),ROW(DV36))),"")</f>
        <v/>
      </c>
      <c r="DX37" s="51" t="str">
        <f t="array" aca="1" ref="DX37" ca="1">IFERROR(INDEX(Leccion[selectorLeccion],SMALL(IF(DX$1=Leccion[SubSección],MATCH(ROW(Leccion[SubSección]),ROW(Leccion[SubSección]))),ROW(DW36))),"")</f>
        <v/>
      </c>
      <c r="DY37" s="51" t="str">
        <f t="array" aca="1" ref="DY37" ca="1">IFERROR(INDEX(Leccion[selectorLeccion],SMALL(IF(DY$1=Leccion[SubSección],MATCH(ROW(Leccion[SubSección]),ROW(Leccion[SubSección]))),ROW(DX36))),"")</f>
        <v/>
      </c>
      <c r="DZ37" s="51" t="str">
        <f t="array" aca="1" ref="DZ37" ca="1">IFERROR(INDEX(Leccion[selectorLeccion],SMALL(IF(DZ$1=Leccion[SubSección],MATCH(ROW(Leccion[SubSección]),ROW(Leccion[SubSección]))),ROW(DY36))),"")</f>
        <v/>
      </c>
      <c r="EA37" s="51" t="str">
        <f t="array" aca="1" ref="EA37" ca="1">IFERROR(INDEX(Leccion[selectorLeccion],SMALL(IF(EA$1=Leccion[SubSección],MATCH(ROW(Leccion[SubSección]),ROW(Leccion[SubSección]))),ROW(DZ36))),"")</f>
        <v/>
      </c>
      <c r="EB37" s="51" t="str">
        <f t="array" aca="1" ref="EB37" ca="1">IFERROR(INDEX(Leccion[selectorLeccion],SMALL(IF(EB$1=Leccion[SubSección],MATCH(ROW(Leccion[SubSección]),ROW(Leccion[SubSección]))),ROW(EA36))),"")</f>
        <v/>
      </c>
      <c r="EC37" s="51" t="str">
        <f t="array" aca="1" ref="EC37" ca="1">IFERROR(INDEX(Leccion[selectorLeccion],SMALL(IF(EC$1=Leccion[SubSección],MATCH(ROW(Leccion[SubSección]),ROW(Leccion[SubSección]))),ROW(EB36))),"")</f>
        <v/>
      </c>
      <c r="ED37" s="51" t="str">
        <f t="array" aca="1" ref="ED37" ca="1">IFERROR(INDEX(Leccion[selectorLeccion],SMALL(IF(ED$1=Leccion[SubSección],MATCH(ROW(Leccion[SubSección]),ROW(Leccion[SubSección]))),ROW(EC36))),"")</f>
        <v/>
      </c>
      <c r="EE37" s="51" t="str">
        <f t="array" aca="1" ref="EE37" ca="1">IFERROR(INDEX(Leccion[selectorLeccion],SMALL(IF(EE$1=Leccion[SubSección],MATCH(ROW(Leccion[SubSección]),ROW(Leccion[SubSección]))),ROW(ED36))),"")</f>
        <v/>
      </c>
      <c r="EF37" s="51" t="str">
        <f t="array" aca="1" ref="EF37" ca="1">IFERROR(INDEX(Leccion[selectorLeccion],SMALL(IF(EF$1=Leccion[SubSección],MATCH(ROW(Leccion[SubSección]),ROW(Leccion[SubSección]))),ROW(EE36))),"")</f>
        <v/>
      </c>
      <c r="EG37" s="51" t="str">
        <f t="array" aca="1" ref="EG37" ca="1">IFERROR(INDEX(Leccion[selectorLeccion],SMALL(IF(EG$1=Leccion[SubSección],MATCH(ROW(Leccion[SubSección]),ROW(Leccion[SubSección]))),ROW(EF36))),"")</f>
        <v/>
      </c>
      <c r="EH37" s="51" t="str">
        <f t="array" aca="1" ref="EH37" ca="1">IFERROR(INDEX(Leccion[selectorLeccion],SMALL(IF(EH$1=Leccion[SubSección],MATCH(ROW(Leccion[SubSección]),ROW(Leccion[SubSección]))),ROW(EG36))),"")</f>
        <v/>
      </c>
      <c r="EI37" s="51" t="str">
        <f t="array" aca="1" ref="EI37" ca="1">IFERROR(INDEX(Leccion[selectorLeccion],SMALL(IF(EI$1=Leccion[SubSección],MATCH(ROW(Leccion[SubSección]),ROW(Leccion[SubSección]))),ROW(EH36))),"")</f>
        <v/>
      </c>
      <c r="EJ37" s="51" t="str">
        <f t="array" aca="1" ref="EJ37" ca="1">IFERROR(INDEX(Leccion[selectorLeccion],SMALL(IF(EJ$1=Leccion[SubSección],MATCH(ROW(Leccion[SubSección]),ROW(Leccion[SubSección]))),ROW(EI36))),"")</f>
        <v/>
      </c>
      <c r="EK37" s="51" t="str">
        <f t="array" aca="1" ref="EK37" ca="1">IFERROR(INDEX(Leccion[selectorLeccion],SMALL(IF(EK$1=Leccion[SubSección],MATCH(ROW(Leccion[SubSección]),ROW(Leccion[SubSección]))),ROW(EJ36))),"")</f>
        <v/>
      </c>
      <c r="EL37" s="51" t="str">
        <f t="array" aca="1" ref="EL37" ca="1">IFERROR(INDEX(Leccion[selectorLeccion],SMALL(IF(EL$1=Leccion[SubSección],MATCH(ROW(Leccion[SubSección]),ROW(Leccion[SubSección]))),ROW(EK36))),"")</f>
        <v/>
      </c>
      <c r="EM37" s="51" t="str">
        <f t="array" aca="1" ref="EM37" ca="1">IFERROR(INDEX(Leccion[selectorLeccion],SMALL(IF(EM$1=Leccion[SubSección],MATCH(ROW(Leccion[SubSección]),ROW(Leccion[SubSección]))),ROW(EL36))),"")</f>
        <v/>
      </c>
      <c r="EN37" s="51" t="str">
        <f t="array" aca="1" ref="EN37" ca="1">IFERROR(INDEX(Leccion[selectorLeccion],SMALL(IF(EN$1=Leccion[SubSección],MATCH(ROW(Leccion[SubSección]),ROW(Leccion[SubSección]))),ROW(EM36))),"")</f>
        <v/>
      </c>
      <c r="EO37" s="51" t="str">
        <f t="array" aca="1" ref="EO37" ca="1">IFERROR(INDEX(Leccion[selectorLeccion],SMALL(IF(EO$1=Leccion[SubSección],MATCH(ROW(Leccion[SubSección]),ROW(Leccion[SubSección]))),ROW(EN36))),"")</f>
        <v/>
      </c>
      <c r="EP37" s="51" t="str">
        <f t="array" aca="1" ref="EP37" ca="1">IFERROR(INDEX(Leccion[selectorLeccion],SMALL(IF(EP$1=Leccion[SubSección],MATCH(ROW(Leccion[SubSección]),ROW(Leccion[SubSección]))),ROW(EO36))),"")</f>
        <v/>
      </c>
      <c r="EQ37" s="51" t="str">
        <f t="array" aca="1" ref="EQ37" ca="1">IFERROR(INDEX(Leccion[selectorLeccion],SMALL(IF(EQ$1=Leccion[SubSección],MATCH(ROW(Leccion[SubSección]),ROW(Leccion[SubSección]))),ROW(EP36))),"")</f>
        <v/>
      </c>
      <c r="ER37" s="51" t="str">
        <f t="array" aca="1" ref="ER37" ca="1">IFERROR(INDEX(Leccion[selectorLeccion],SMALL(IF(ER$1=Leccion[SubSección],MATCH(ROW(Leccion[SubSección]),ROW(Leccion[SubSección]))),ROW(EQ36))),"")</f>
        <v/>
      </c>
      <c r="ES37" s="51" t="str">
        <f t="array" aca="1" ref="ES37" ca="1">IFERROR(INDEX(Leccion[selectorLeccion],SMALL(IF(ES$1=Leccion[SubSección],MATCH(ROW(Leccion[SubSección]),ROW(Leccion[SubSección]))),ROW(ER36))),"")</f>
        <v/>
      </c>
      <c r="ET37" s="51" t="str">
        <f t="array" aca="1" ref="ET37" ca="1">IFERROR(INDEX(Leccion[selectorLeccion],SMALL(IF(ET$1=Leccion[SubSección],MATCH(ROW(Leccion[SubSección]),ROW(Leccion[SubSección]))),ROW(ES36))),"")</f>
        <v/>
      </c>
      <c r="EU37" s="51" t="str">
        <f t="array" aca="1" ref="EU37" ca="1">IFERROR(INDEX(Leccion[selectorLeccion],SMALL(IF(EU$1=Leccion[SubSección],MATCH(ROW(Leccion[SubSección]),ROW(Leccion[SubSección]))),ROW(ET36))),"")</f>
        <v/>
      </c>
      <c r="EV37" s="51" t="str">
        <f t="array" aca="1" ref="EV37" ca="1">IFERROR(INDEX(Leccion[selectorLeccion],SMALL(IF(EV$1=Leccion[SubSección],MATCH(ROW(Leccion[SubSección]),ROW(Leccion[SubSección]))),ROW(EU36))),"")</f>
        <v/>
      </c>
      <c r="EW37" s="51" t="str">
        <f t="array" aca="1" ref="EW37" ca="1">IFERROR(INDEX(Leccion[selectorLeccion],SMALL(IF(EW$1=Leccion[SubSección],MATCH(ROW(Leccion[SubSección]),ROW(Leccion[SubSección]))),ROW(EV36))),"")</f>
        <v/>
      </c>
      <c r="EX37" s="51" t="str">
        <f t="array" aca="1" ref="EX37" ca="1">IFERROR(INDEX(Leccion[selectorLeccion],SMALL(IF(EX$1=Leccion[SubSección],MATCH(ROW(Leccion[SubSección]),ROW(Leccion[SubSección]))),ROW(EW36))),"")</f>
        <v/>
      </c>
      <c r="EY37" s="51" t="str">
        <f t="array" aca="1" ref="EY37" ca="1">IFERROR(INDEX(Leccion[selectorLeccion],SMALL(IF(EY$1=Leccion[SubSección],MATCH(ROW(Leccion[SubSección]),ROW(Leccion[SubSección]))),ROW(EX36))),"")</f>
        <v/>
      </c>
      <c r="EZ37" s="51" t="str">
        <f t="array" aca="1" ref="EZ37" ca="1">IFERROR(INDEX(Leccion[selectorLeccion],SMALL(IF(EZ$1=Leccion[SubSección],MATCH(ROW(Leccion[SubSección]),ROW(Leccion[SubSección]))),ROW(EY36))),"")</f>
        <v/>
      </c>
    </row>
    <row r="38" spans="2:156" x14ac:dyDescent="0.3">
      <c r="B38" s="51" t="str">
        <f t="array" aca="1" ref="B38" ca="1">IFERROR(INDEX(Leccion[selectorLeccion],SMALL(IF(B$1=Leccion[SubSección],MATCH(ROW(Leccion[SubSección]),ROW(Leccion[SubSección]))),ROW(A37))),"")</f>
        <v/>
      </c>
      <c r="C38" s="51" t="str">
        <f t="array" aca="1" ref="C38" ca="1">IFERROR(INDEX(Leccion[selectorLeccion],SMALL(IF(C$1=Leccion[SubSección],MATCH(ROW(Leccion[SubSección]),ROW(Leccion[SubSección]))),ROW(B37))),"")</f>
        <v/>
      </c>
      <c r="D38" s="51" t="str">
        <f t="array" aca="1" ref="D38" ca="1">IFERROR(INDEX(Leccion[selectorLeccion],SMALL(IF(D$1=Leccion[SubSección],MATCH(ROW(Leccion[SubSección]),ROW(Leccion[SubSección]))),ROW(C37))),"")</f>
        <v/>
      </c>
      <c r="E38" s="51" t="str">
        <f t="array" aca="1" ref="E38" ca="1">IFERROR(INDEX(Leccion[selectorLeccion],SMALL(IF(E$1=Leccion[SubSección],MATCH(ROW(Leccion[SubSección]),ROW(Leccion[SubSección]))),ROW(D37))),"")</f>
        <v/>
      </c>
      <c r="F38" s="51" t="str">
        <f t="array" aca="1" ref="F38" ca="1">IFERROR(INDEX(Leccion[selectorLeccion],SMALL(IF(F$1=Leccion[SubSección],MATCH(ROW(Leccion[SubSección]),ROW(Leccion[SubSección]))),ROW(E37))),"")</f>
        <v/>
      </c>
      <c r="G38" s="51" t="str">
        <f t="array" aca="1" ref="G38" ca="1">IFERROR(INDEX(Leccion[selectorLeccion],SMALL(IF(G$1=Leccion[SubSección],MATCH(ROW(Leccion[SubSección]),ROW(Leccion[SubSección]))),ROW(F37))),"")</f>
        <v/>
      </c>
      <c r="H38" s="51" t="str">
        <f t="array" aca="1" ref="H38" ca="1">IFERROR(INDEX(Leccion[selectorLeccion],SMALL(IF(H$1=Leccion[SubSección],MATCH(ROW(Leccion[SubSección]),ROW(Leccion[SubSección]))),ROW(G37))),"")</f>
        <v/>
      </c>
      <c r="I38" s="51" t="str">
        <f t="array" aca="1" ref="I38" ca="1">IFERROR(INDEX(Leccion[selectorLeccion],SMALL(IF(I$1=Leccion[SubSección],MATCH(ROW(Leccion[SubSección]),ROW(Leccion[SubSección]))),ROW(H37))),"")</f>
        <v/>
      </c>
      <c r="J38" s="51" t="str">
        <f t="array" aca="1" ref="J38" ca="1">IFERROR(INDEX(Leccion[selectorLeccion],SMALL(IF(J$1=Leccion[SubSección],MATCH(ROW(Leccion[SubSección]),ROW(Leccion[SubSección]))),ROW(I37))),"")</f>
        <v/>
      </c>
      <c r="K38" s="51" t="str">
        <f t="array" aca="1" ref="K38" ca="1">IFERROR(INDEX(Leccion[selectorLeccion],SMALL(IF(K$1=Leccion[SubSección],MATCH(ROW(Leccion[SubSección]),ROW(Leccion[SubSección]))),ROW(J37))),"")</f>
        <v/>
      </c>
      <c r="L38" s="51" t="str">
        <f t="array" aca="1" ref="L38" ca="1">IFERROR(INDEX(Leccion[selectorLeccion],SMALL(IF(L$1=Leccion[SubSección],MATCH(ROW(Leccion[SubSección]),ROW(Leccion[SubSección]))),ROW(K37))),"")</f>
        <v/>
      </c>
      <c r="M38" s="51" t="str">
        <f t="array" aca="1" ref="M38" ca="1">IFERROR(INDEX(Leccion[selectorLeccion],SMALL(IF(M$1=Leccion[SubSección],MATCH(ROW(Leccion[SubSección]),ROW(Leccion[SubSección]))),ROW(L37))),"")</f>
        <v/>
      </c>
      <c r="N38" s="51" t="str">
        <f t="array" aca="1" ref="N38" ca="1">IFERROR(INDEX(Leccion[selectorLeccion],SMALL(IF(N$1=Leccion[SubSección],MATCH(ROW(Leccion[SubSección]),ROW(Leccion[SubSección]))),ROW(M37))),"")</f>
        <v/>
      </c>
      <c r="O38" s="51" t="str">
        <f t="array" aca="1" ref="O38" ca="1">IFERROR(INDEX(Leccion[selectorLeccion],SMALL(IF(O$1=Leccion[SubSección],MATCH(ROW(Leccion[SubSección]),ROW(Leccion[SubSección]))),ROW(N37))),"")</f>
        <v/>
      </c>
      <c r="P38" s="51" t="str">
        <f t="array" aca="1" ref="P38" ca="1">IFERROR(INDEX(Leccion[selectorLeccion],SMALL(IF(P$1=Leccion[SubSección],MATCH(ROW(Leccion[SubSección]),ROW(Leccion[SubSección]))),ROW(O37))),"")</f>
        <v/>
      </c>
      <c r="Q38" s="51" t="str">
        <f t="array" aca="1" ref="Q38" ca="1">IFERROR(INDEX(Leccion[selectorLeccion],SMALL(IF(Q$1=Leccion[SubSección],MATCH(ROW(Leccion[SubSección]),ROW(Leccion[SubSección]))),ROW(P37))),"")</f>
        <v/>
      </c>
      <c r="R38" s="51" t="str">
        <f t="array" aca="1" ref="R38" ca="1">IFERROR(INDEX(Leccion[selectorLeccion],SMALL(IF(R$1=Leccion[SubSección],MATCH(ROW(Leccion[SubSección]),ROW(Leccion[SubSección]))),ROW(Q37))),"")</f>
        <v/>
      </c>
      <c r="S38" s="51" t="str">
        <f t="array" aca="1" ref="S38" ca="1">IFERROR(INDEX(Leccion[selectorLeccion],SMALL(IF(S$1=Leccion[SubSección],MATCH(ROW(Leccion[SubSección]),ROW(Leccion[SubSección]))),ROW(R37))),"")</f>
        <v/>
      </c>
      <c r="T38" s="51" t="str">
        <f t="array" aca="1" ref="T38" ca="1">IFERROR(INDEX(Leccion[selectorLeccion],SMALL(IF(T$1=Leccion[SubSección],MATCH(ROW(Leccion[SubSección]),ROW(Leccion[SubSección]))),ROW(S37))),"")</f>
        <v/>
      </c>
      <c r="U38" s="51" t="str">
        <f t="array" aca="1" ref="U38" ca="1">IFERROR(INDEX(Leccion[selectorLeccion],SMALL(IF(U$1=Leccion[SubSección],MATCH(ROW(Leccion[SubSección]),ROW(Leccion[SubSección]))),ROW(T37))),"")</f>
        <v/>
      </c>
      <c r="V38" s="51" t="str">
        <f t="array" aca="1" ref="V38" ca="1">IFERROR(INDEX(Leccion[selectorLeccion],SMALL(IF(V$1=Leccion[SubSección],MATCH(ROW(Leccion[SubSección]),ROW(Leccion[SubSección]))),ROW(U37))),"")</f>
        <v/>
      </c>
      <c r="W38" s="51" t="str">
        <f t="array" aca="1" ref="W38" ca="1">IFERROR(INDEX(Leccion[selectorLeccion],SMALL(IF(W$1=Leccion[SubSección],MATCH(ROW(Leccion[SubSección]),ROW(Leccion[SubSección]))),ROW(V37))),"")</f>
        <v/>
      </c>
      <c r="X38" s="51" t="str">
        <f t="array" aca="1" ref="X38" ca="1">IFERROR(INDEX(Leccion[selectorLeccion],SMALL(IF(X$1=Leccion[SubSección],MATCH(ROW(Leccion[SubSección]),ROW(Leccion[SubSección]))),ROW(W37))),"")</f>
        <v/>
      </c>
      <c r="Y38" s="51" t="str">
        <f t="array" aca="1" ref="Y38" ca="1">IFERROR(INDEX(Leccion[selectorLeccion],SMALL(IF(Y$1=Leccion[SubSección],MATCH(ROW(Leccion[SubSección]),ROW(Leccion[SubSección]))),ROW(X37))),"")</f>
        <v/>
      </c>
      <c r="Z38" s="51" t="str">
        <f t="array" aca="1" ref="Z38" ca="1">IFERROR(INDEX(Leccion[selectorLeccion],SMALL(IF(Z$1=Leccion[SubSección],MATCH(ROW(Leccion[SubSección]),ROW(Leccion[SubSección]))),ROW(Y37))),"")</f>
        <v/>
      </c>
      <c r="AA38" s="51" t="str">
        <f t="array" aca="1" ref="AA38" ca="1">IFERROR(INDEX(Leccion[selectorLeccion],SMALL(IF(AA$1=Leccion[SubSección],MATCH(ROW(Leccion[SubSección]),ROW(Leccion[SubSección]))),ROW(Z37))),"")</f>
        <v/>
      </c>
      <c r="AB38" s="51" t="str">
        <f t="array" aca="1" ref="AB38" ca="1">IFERROR(INDEX(Leccion[selectorLeccion],SMALL(IF(AB$1=Leccion[SubSección],MATCH(ROW(Leccion[SubSección]),ROW(Leccion[SubSección]))),ROW(AA37))),"")</f>
        <v/>
      </c>
      <c r="AC38" s="51" t="str">
        <f t="array" aca="1" ref="AC38" ca="1">IFERROR(INDEX(Leccion[selectorLeccion],SMALL(IF(AC$1=Leccion[SubSección],MATCH(ROW(Leccion[SubSección]),ROW(Leccion[SubSección]))),ROW(AB37))),"")</f>
        <v/>
      </c>
      <c r="AD38" s="51" t="str">
        <f t="array" aca="1" ref="AD38" ca="1">IFERROR(INDEX(Leccion[selectorLeccion],SMALL(IF(AD$1=Leccion[SubSección],MATCH(ROW(Leccion[SubSección]),ROW(Leccion[SubSección]))),ROW(AC37))),"")</f>
        <v/>
      </c>
      <c r="AE38" s="51" t="str">
        <f t="array" aca="1" ref="AE38" ca="1">IFERROR(INDEX(Leccion[selectorLeccion],SMALL(IF(AE$1=Leccion[SubSección],MATCH(ROW(Leccion[SubSección]),ROW(Leccion[SubSección]))),ROW(AD37))),"")</f>
        <v/>
      </c>
      <c r="AF38" s="51" t="str">
        <f t="array" aca="1" ref="AF38" ca="1">IFERROR(INDEX(Leccion[selectorLeccion],SMALL(IF(AF$1=Leccion[SubSección],MATCH(ROW(Leccion[SubSección]),ROW(Leccion[SubSección]))),ROW(AE37))),"")</f>
        <v/>
      </c>
      <c r="AG38" s="51" t="str">
        <f t="array" aca="1" ref="AG38" ca="1">IFERROR(INDEX(Leccion[selectorLeccion],SMALL(IF(AG$1=Leccion[SubSección],MATCH(ROW(Leccion[SubSección]),ROW(Leccion[SubSección]))),ROW(AF37))),"")</f>
        <v/>
      </c>
      <c r="AH38" s="51" t="str">
        <f t="array" aca="1" ref="AH38" ca="1">IFERROR(INDEX(Leccion[selectorLeccion],SMALL(IF(AH$1=Leccion[SubSección],MATCH(ROW(Leccion[SubSección]),ROW(Leccion[SubSección]))),ROW(AG37))),"")</f>
        <v/>
      </c>
      <c r="AI38" s="51" t="str">
        <f t="array" aca="1" ref="AI38" ca="1">IFERROR(INDEX(Leccion[selectorLeccion],SMALL(IF(AI$1=Leccion[SubSección],MATCH(ROW(Leccion[SubSección]),ROW(Leccion[SubSección]))),ROW(AH37))),"")</f>
        <v/>
      </c>
      <c r="AJ38" s="51" t="str">
        <f t="array" aca="1" ref="AJ38" ca="1">IFERROR(INDEX(Leccion[selectorLeccion],SMALL(IF(AJ$1=Leccion[SubSección],MATCH(ROW(Leccion[SubSección]),ROW(Leccion[SubSección]))),ROW(AI37))),"")</f>
        <v/>
      </c>
      <c r="AK38" s="51" t="str">
        <f t="array" aca="1" ref="AK38" ca="1">IFERROR(INDEX(Leccion[selectorLeccion],SMALL(IF(AK$1=Leccion[SubSección],MATCH(ROW(Leccion[SubSección]),ROW(Leccion[SubSección]))),ROW(AJ37))),"")</f>
        <v/>
      </c>
      <c r="AL38" s="51" t="str">
        <f t="array" aca="1" ref="AL38" ca="1">IFERROR(INDEX(Leccion[selectorLeccion],SMALL(IF(AL$1=Leccion[SubSección],MATCH(ROW(Leccion[SubSección]),ROW(Leccion[SubSección]))),ROW(AK37))),"")</f>
        <v/>
      </c>
      <c r="AM38" s="51" t="str">
        <f t="array" aca="1" ref="AM38" ca="1">IFERROR(INDEX(Leccion[selectorLeccion],SMALL(IF(AM$1=Leccion[SubSección],MATCH(ROW(Leccion[SubSección]),ROW(Leccion[SubSección]))),ROW(AL37))),"")</f>
        <v/>
      </c>
      <c r="AN38" s="51" t="str">
        <f t="array" aca="1" ref="AN38" ca="1">IFERROR(INDEX(Leccion[selectorLeccion],SMALL(IF(AN$1=Leccion[SubSección],MATCH(ROW(Leccion[SubSección]),ROW(Leccion[SubSección]))),ROW(AM37))),"")</f>
        <v/>
      </c>
      <c r="AO38" s="51" t="str">
        <f t="array" aca="1" ref="AO38" ca="1">IFERROR(INDEX(Leccion[selectorLeccion],SMALL(IF(AO$1=Leccion[SubSección],MATCH(ROW(Leccion[SubSección]),ROW(Leccion[SubSección]))),ROW(AN37))),"")</f>
        <v/>
      </c>
      <c r="AP38" s="51" t="str">
        <f t="array" aca="1" ref="AP38" ca="1">IFERROR(INDEX(Leccion[selectorLeccion],SMALL(IF(AP$1=Leccion[SubSección],MATCH(ROW(Leccion[SubSección]),ROW(Leccion[SubSección]))),ROW(AO37))),"")</f>
        <v/>
      </c>
      <c r="AQ38" s="51" t="str">
        <f t="array" aca="1" ref="AQ38" ca="1">IFERROR(INDEX(Leccion[selectorLeccion],SMALL(IF(AQ$1=Leccion[SubSección],MATCH(ROW(Leccion[SubSección]),ROW(Leccion[SubSección]))),ROW(AP37))),"")</f>
        <v/>
      </c>
      <c r="AR38" s="51" t="str">
        <f t="array" aca="1" ref="AR38" ca="1">IFERROR(INDEX(Leccion[selectorLeccion],SMALL(IF(AR$1=Leccion[SubSección],MATCH(ROW(Leccion[SubSección]),ROW(Leccion[SubSección]))),ROW(AQ37))),"")</f>
        <v/>
      </c>
      <c r="AS38" s="51" t="str">
        <f t="array" aca="1" ref="AS38" ca="1">IFERROR(INDEX(Leccion[selectorLeccion],SMALL(IF(AS$1=Leccion[SubSección],MATCH(ROW(Leccion[SubSección]),ROW(Leccion[SubSección]))),ROW(AR37))),"")</f>
        <v/>
      </c>
      <c r="AT38" s="51" t="str">
        <f t="array" aca="1" ref="AT38" ca="1">IFERROR(INDEX(Leccion[selectorLeccion],SMALL(IF(AT$1=Leccion[SubSección],MATCH(ROW(Leccion[SubSección]),ROW(Leccion[SubSección]))),ROW(AS37))),"")</f>
        <v/>
      </c>
      <c r="AU38" s="51" t="str">
        <f t="array" aca="1" ref="AU38" ca="1">IFERROR(INDEX(Leccion[selectorLeccion],SMALL(IF(AU$1=Leccion[SubSección],MATCH(ROW(Leccion[SubSección]),ROW(Leccion[SubSección]))),ROW(AT37))),"")</f>
        <v/>
      </c>
      <c r="AV38" s="51" t="str">
        <f t="array" aca="1" ref="AV38" ca="1">IFERROR(INDEX(Leccion[selectorLeccion],SMALL(IF(AV$1=Leccion[SubSección],MATCH(ROW(Leccion[SubSección]),ROW(Leccion[SubSección]))),ROW(AU37))),"")</f>
        <v/>
      </c>
      <c r="AW38" s="51" t="str">
        <f t="array" aca="1" ref="AW38" ca="1">IFERROR(INDEX(Leccion[selectorLeccion],SMALL(IF(AW$1=Leccion[SubSección],MATCH(ROW(Leccion[SubSección]),ROW(Leccion[SubSección]))),ROW(AV37))),"")</f>
        <v/>
      </c>
      <c r="AX38" s="51" t="str">
        <f t="array" aca="1" ref="AX38" ca="1">IFERROR(INDEX(Leccion[selectorLeccion],SMALL(IF(AX$1=Leccion[SubSección],MATCH(ROW(Leccion[SubSección]),ROW(Leccion[SubSección]))),ROW(AW37))),"")</f>
        <v/>
      </c>
      <c r="AY38" s="51" t="str">
        <f t="array" aca="1" ref="AY38" ca="1">IFERROR(INDEX(Leccion[selectorLeccion],SMALL(IF(AY$1=Leccion[SubSección],MATCH(ROW(Leccion[SubSección]),ROW(Leccion[SubSección]))),ROW(AX37))),"")</f>
        <v/>
      </c>
      <c r="AZ38" s="51" t="str">
        <f t="array" aca="1" ref="AZ38" ca="1">IFERROR(INDEX(Leccion[selectorLeccion],SMALL(IF(AZ$1=Leccion[SubSección],MATCH(ROW(Leccion[SubSección]),ROW(Leccion[SubSección]))),ROW(AY37))),"")</f>
        <v/>
      </c>
      <c r="BA38" s="51" t="str">
        <f t="array" aca="1" ref="BA38" ca="1">IFERROR(INDEX(Leccion[selectorLeccion],SMALL(IF(BA$1=Leccion[SubSección],MATCH(ROW(Leccion[SubSección]),ROW(Leccion[SubSección]))),ROW(AZ37))),"")</f>
        <v/>
      </c>
      <c r="BB38" s="51" t="str">
        <f t="array" aca="1" ref="BB38" ca="1">IFERROR(INDEX(Leccion[selectorLeccion],SMALL(IF(BB$1=Leccion[SubSección],MATCH(ROW(Leccion[SubSección]),ROW(Leccion[SubSección]))),ROW(BA37))),"")</f>
        <v/>
      </c>
      <c r="BC38" s="51" t="str">
        <f t="array" aca="1" ref="BC38" ca="1">IFERROR(INDEX(Leccion[selectorLeccion],SMALL(IF(BC$1=Leccion[SubSección],MATCH(ROW(Leccion[SubSección]),ROW(Leccion[SubSección]))),ROW(BB37))),"")</f>
        <v/>
      </c>
      <c r="BD38" s="51" t="str">
        <f t="array" aca="1" ref="BD38" ca="1">IFERROR(INDEX(Leccion[selectorLeccion],SMALL(IF(BD$1=Leccion[SubSección],MATCH(ROW(Leccion[SubSección]),ROW(Leccion[SubSección]))),ROW(BC37))),"")</f>
        <v/>
      </c>
      <c r="BE38" s="51" t="str">
        <f t="array" aca="1" ref="BE38" ca="1">IFERROR(INDEX(Leccion[selectorLeccion],SMALL(IF(BE$1=Leccion[SubSección],MATCH(ROW(Leccion[SubSección]),ROW(Leccion[SubSección]))),ROW(BD37))),"")</f>
        <v/>
      </c>
      <c r="BF38" s="51" t="str">
        <f t="array" aca="1" ref="BF38" ca="1">IFERROR(INDEX(Leccion[selectorLeccion],SMALL(IF(BF$1=Leccion[SubSección],MATCH(ROW(Leccion[SubSección]),ROW(Leccion[SubSección]))),ROW(BE37))),"")</f>
        <v/>
      </c>
      <c r="BG38" s="51" t="str">
        <f t="array" aca="1" ref="BG38" ca="1">IFERROR(INDEX(Leccion[selectorLeccion],SMALL(IF(BG$1=Leccion[SubSección],MATCH(ROW(Leccion[SubSección]),ROW(Leccion[SubSección]))),ROW(BF37))),"")</f>
        <v/>
      </c>
      <c r="BH38" s="51" t="str">
        <f t="array" aca="1" ref="BH38" ca="1">IFERROR(INDEX(Leccion[selectorLeccion],SMALL(IF(BH$1=Leccion[SubSección],MATCH(ROW(Leccion[SubSección]),ROW(Leccion[SubSección]))),ROW(BG37))),"")</f>
        <v/>
      </c>
      <c r="BI38" s="51" t="str">
        <f t="array" aca="1" ref="BI38" ca="1">IFERROR(INDEX(Leccion[selectorLeccion],SMALL(IF(BI$1=Leccion[SubSección],MATCH(ROW(Leccion[SubSección]),ROW(Leccion[SubSección]))),ROW(BH37))),"")</f>
        <v/>
      </c>
      <c r="BJ38" s="51" t="str">
        <f t="array" aca="1" ref="BJ38" ca="1">IFERROR(INDEX(Leccion[selectorLeccion],SMALL(IF(BJ$1=Leccion[SubSección],MATCH(ROW(Leccion[SubSección]),ROW(Leccion[SubSección]))),ROW(BI37))),"")</f>
        <v/>
      </c>
      <c r="BK38" s="51" t="str">
        <f t="array" aca="1" ref="BK38" ca="1">IFERROR(INDEX(Leccion[selectorLeccion],SMALL(IF(BK$1=Leccion[SubSección],MATCH(ROW(Leccion[SubSección]),ROW(Leccion[SubSección]))),ROW(BJ37))),"")</f>
        <v/>
      </c>
      <c r="BL38" s="51" t="str">
        <f t="array" aca="1" ref="BL38" ca="1">IFERROR(INDEX(Leccion[selectorLeccion],SMALL(IF(BL$1=Leccion[SubSección],MATCH(ROW(Leccion[SubSección]),ROW(Leccion[SubSección]))),ROW(BK37))),"")</f>
        <v/>
      </c>
      <c r="BM38" s="51" t="str">
        <f t="array" aca="1" ref="BM38" ca="1">IFERROR(INDEX(Leccion[selectorLeccion],SMALL(IF(BM$1=Leccion[SubSección],MATCH(ROW(Leccion[SubSección]),ROW(Leccion[SubSección]))),ROW(BL37))),"")</f>
        <v/>
      </c>
      <c r="BN38" s="51" t="str">
        <f t="array" aca="1" ref="BN38" ca="1">IFERROR(INDEX(Leccion[selectorLeccion],SMALL(IF(BN$1=Leccion[SubSección],MATCH(ROW(Leccion[SubSección]),ROW(Leccion[SubSección]))),ROW(BM37))),"")</f>
        <v/>
      </c>
      <c r="BO38" s="51" t="str">
        <f t="array" aca="1" ref="BO38" ca="1">IFERROR(INDEX(Leccion[selectorLeccion],SMALL(IF(BO$1=Leccion[SubSección],MATCH(ROW(Leccion[SubSección]),ROW(Leccion[SubSección]))),ROW(BN37))),"")</f>
        <v/>
      </c>
      <c r="BP38" s="51" t="str">
        <f t="array" aca="1" ref="BP38" ca="1">IFERROR(INDEX(Leccion[selectorLeccion],SMALL(IF(BP$1=Leccion[SubSección],MATCH(ROW(Leccion[SubSección]),ROW(Leccion[SubSección]))),ROW(BO37))),"")</f>
        <v/>
      </c>
      <c r="BQ38" s="51" t="str">
        <f t="array" aca="1" ref="BQ38" ca="1">IFERROR(INDEX(Leccion[selectorLeccion],SMALL(IF(BQ$1=Leccion[SubSección],MATCH(ROW(Leccion[SubSección]),ROW(Leccion[SubSección]))),ROW(BP37))),"")</f>
        <v/>
      </c>
      <c r="BR38" s="51" t="str">
        <f t="array" aca="1" ref="BR38" ca="1">IFERROR(INDEX(Leccion[selectorLeccion],SMALL(IF(BR$1=Leccion[SubSección],MATCH(ROW(Leccion[SubSección]),ROW(Leccion[SubSección]))),ROW(BQ37))),"")</f>
        <v/>
      </c>
      <c r="BS38" s="51" t="str">
        <f t="array" aca="1" ref="BS38" ca="1">IFERROR(INDEX(Leccion[selectorLeccion],SMALL(IF(BS$1=Leccion[SubSección],MATCH(ROW(Leccion[SubSección]),ROW(Leccion[SubSección]))),ROW(BR37))),"")</f>
        <v/>
      </c>
      <c r="BT38" s="51" t="str">
        <f t="array" aca="1" ref="BT38" ca="1">IFERROR(INDEX(Leccion[selectorLeccion],SMALL(IF(BT$1=Leccion[SubSección],MATCH(ROW(Leccion[SubSección]),ROW(Leccion[SubSección]))),ROW(BS37))),"")</f>
        <v/>
      </c>
      <c r="BU38" s="51" t="str">
        <f t="array" aca="1" ref="BU38" ca="1">IFERROR(INDEX(Leccion[selectorLeccion],SMALL(IF(BU$1=Leccion[SubSección],MATCH(ROW(Leccion[SubSección]),ROW(Leccion[SubSección]))),ROW(BT37))),"")</f>
        <v/>
      </c>
      <c r="BV38" s="51" t="str">
        <f t="array" aca="1" ref="BV38" ca="1">IFERROR(INDEX(Leccion[selectorLeccion],SMALL(IF(BV$1=Leccion[SubSección],MATCH(ROW(Leccion[SubSección]),ROW(Leccion[SubSección]))),ROW(BU37))),"")</f>
        <v/>
      </c>
      <c r="BW38" s="51" t="str">
        <f t="array" aca="1" ref="BW38" ca="1">IFERROR(INDEX(Leccion[selectorLeccion],SMALL(IF(BW$1=Leccion[SubSección],MATCH(ROW(Leccion[SubSección]),ROW(Leccion[SubSección]))),ROW(BV37))),"")</f>
        <v/>
      </c>
      <c r="BX38" s="51" t="str">
        <f t="array" aca="1" ref="BX38" ca="1">IFERROR(INDEX(Leccion[selectorLeccion],SMALL(IF(BX$1=Leccion[SubSección],MATCH(ROW(Leccion[SubSección]),ROW(Leccion[SubSección]))),ROW(BW37))),"")</f>
        <v/>
      </c>
      <c r="BY38" s="51" t="str">
        <f t="array" aca="1" ref="BY38" ca="1">IFERROR(INDEX(Leccion[selectorLeccion],SMALL(IF(BY$1=Leccion[SubSección],MATCH(ROW(Leccion[SubSección]),ROW(Leccion[SubSección]))),ROW(BX37))),"")</f>
        <v/>
      </c>
      <c r="BZ38" s="51" t="str">
        <f t="array" aca="1" ref="BZ38" ca="1">IFERROR(INDEX(Leccion[selectorLeccion],SMALL(IF(BZ$1=Leccion[SubSección],MATCH(ROW(Leccion[SubSección]),ROW(Leccion[SubSección]))),ROW(BY37))),"")</f>
        <v/>
      </c>
      <c r="CA38" s="51" t="str">
        <f t="array" aca="1" ref="CA38" ca="1">IFERROR(INDEX(Leccion[selectorLeccion],SMALL(IF(CA$1=Leccion[SubSección],MATCH(ROW(Leccion[SubSección]),ROW(Leccion[SubSección]))),ROW(BZ37))),"")</f>
        <v/>
      </c>
      <c r="CB38" s="51" t="str">
        <f t="array" aca="1" ref="CB38" ca="1">IFERROR(INDEX(Leccion[selectorLeccion],SMALL(IF(CB$1=Leccion[SubSección],MATCH(ROW(Leccion[SubSección]),ROW(Leccion[SubSección]))),ROW(CA37))),"")</f>
        <v/>
      </c>
      <c r="CC38" s="51" t="str">
        <f t="array" aca="1" ref="CC38" ca="1">IFERROR(INDEX(Leccion[selectorLeccion],SMALL(IF(CC$1=Leccion[SubSección],MATCH(ROW(Leccion[SubSección]),ROW(Leccion[SubSección]))),ROW(CB37))),"")</f>
        <v/>
      </c>
      <c r="CD38" s="51" t="str">
        <f t="array" aca="1" ref="CD38" ca="1">IFERROR(INDEX(Leccion[selectorLeccion],SMALL(IF(CD$1=Leccion[SubSección],MATCH(ROW(Leccion[SubSección]),ROW(Leccion[SubSección]))),ROW(CC37))),"")</f>
        <v/>
      </c>
      <c r="CE38" s="51" t="str">
        <f t="array" aca="1" ref="CE38" ca="1">IFERROR(INDEX(Leccion[selectorLeccion],SMALL(IF(CE$1=Leccion[SubSección],MATCH(ROW(Leccion[SubSección]),ROW(Leccion[SubSección]))),ROW(CD37))),"")</f>
        <v/>
      </c>
      <c r="CF38" s="51" t="str">
        <f t="array" aca="1" ref="CF38" ca="1">IFERROR(INDEX(Leccion[selectorLeccion],SMALL(IF(CF$1=Leccion[SubSección],MATCH(ROW(Leccion[SubSección]),ROW(Leccion[SubSección]))),ROW(CE37))),"")</f>
        <v/>
      </c>
      <c r="CG38" s="51" t="str">
        <f t="array" aca="1" ref="CG38" ca="1">IFERROR(INDEX(Leccion[selectorLeccion],SMALL(IF(CG$1=Leccion[SubSección],MATCH(ROW(Leccion[SubSección]),ROW(Leccion[SubSección]))),ROW(CF37))),"")</f>
        <v/>
      </c>
      <c r="CH38" s="51" t="str">
        <f t="array" aca="1" ref="CH38" ca="1">IFERROR(INDEX(Leccion[selectorLeccion],SMALL(IF(CH$1=Leccion[SubSección],MATCH(ROW(Leccion[SubSección]),ROW(Leccion[SubSección]))),ROW(CG37))),"")</f>
        <v/>
      </c>
      <c r="CI38" s="51" t="str">
        <f t="array" aca="1" ref="CI38" ca="1">IFERROR(INDEX(Leccion[selectorLeccion],SMALL(IF(CI$1=Leccion[SubSección],MATCH(ROW(Leccion[SubSección]),ROW(Leccion[SubSección]))),ROW(CH37))),"")</f>
        <v/>
      </c>
      <c r="CJ38" s="51" t="str">
        <f t="array" aca="1" ref="CJ38" ca="1">IFERROR(INDEX(Leccion[selectorLeccion],SMALL(IF(CJ$1=Leccion[SubSección],MATCH(ROW(Leccion[SubSección]),ROW(Leccion[SubSección]))),ROW(CI37))),"")</f>
        <v/>
      </c>
      <c r="CK38" s="51" t="str">
        <f t="array" aca="1" ref="CK38" ca="1">IFERROR(INDEX(Leccion[selectorLeccion],SMALL(IF(CK$1=Leccion[SubSección],MATCH(ROW(Leccion[SubSección]),ROW(Leccion[SubSección]))),ROW(CJ37))),"")</f>
        <v/>
      </c>
      <c r="CL38" s="51" t="str">
        <f t="array" aca="1" ref="CL38" ca="1">IFERROR(INDEX(Leccion[selectorLeccion],SMALL(IF(CL$1=Leccion[SubSección],MATCH(ROW(Leccion[SubSección]),ROW(Leccion[SubSección]))),ROW(CK37))),"")</f>
        <v/>
      </c>
      <c r="CM38" s="51" t="str">
        <f t="array" aca="1" ref="CM38" ca="1">IFERROR(INDEX(Leccion[selectorLeccion],SMALL(IF(CM$1=Leccion[SubSección],MATCH(ROW(Leccion[SubSección]),ROW(Leccion[SubSección]))),ROW(CL37))),"")</f>
        <v/>
      </c>
      <c r="CN38" s="51" t="str">
        <f t="array" aca="1" ref="CN38" ca="1">IFERROR(INDEX(Leccion[selectorLeccion],SMALL(IF(CN$1=Leccion[SubSección],MATCH(ROW(Leccion[SubSección]),ROW(Leccion[SubSección]))),ROW(CM37))),"")</f>
        <v/>
      </c>
      <c r="CO38" s="51" t="str">
        <f t="array" aca="1" ref="CO38" ca="1">IFERROR(INDEX(Leccion[selectorLeccion],SMALL(IF(CO$1=Leccion[SubSección],MATCH(ROW(Leccion[SubSección]),ROW(Leccion[SubSección]))),ROW(CN37))),"")</f>
        <v/>
      </c>
      <c r="CP38" s="51" t="str">
        <f t="array" aca="1" ref="CP38" ca="1">IFERROR(INDEX(Leccion[selectorLeccion],SMALL(IF(CP$1=Leccion[SubSección],MATCH(ROW(Leccion[SubSección]),ROW(Leccion[SubSección]))),ROW(CO37))),"")</f>
        <v/>
      </c>
      <c r="CQ38" s="51" t="str">
        <f t="array" aca="1" ref="CQ38" ca="1">IFERROR(INDEX(Leccion[selectorLeccion],SMALL(IF(CQ$1=Leccion[SubSección],MATCH(ROW(Leccion[SubSección]),ROW(Leccion[SubSección]))),ROW(CP37))),"")</f>
        <v/>
      </c>
      <c r="CR38" s="51" t="str">
        <f t="array" aca="1" ref="CR38" ca="1">IFERROR(INDEX(Leccion[selectorLeccion],SMALL(IF(CR$1=Leccion[SubSección],MATCH(ROW(Leccion[SubSección]),ROW(Leccion[SubSección]))),ROW(CQ37))),"")</f>
        <v/>
      </c>
      <c r="CS38" s="51" t="str">
        <f t="array" aca="1" ref="CS38" ca="1">IFERROR(INDEX(Leccion[selectorLeccion],SMALL(IF(CS$1=Leccion[SubSección],MATCH(ROW(Leccion[SubSección]),ROW(Leccion[SubSección]))),ROW(CR37))),"")</f>
        <v/>
      </c>
      <c r="CT38" s="51" t="str">
        <f t="array" aca="1" ref="CT38" ca="1">IFERROR(INDEX(Leccion[selectorLeccion],SMALL(IF(CT$1=Leccion[SubSección],MATCH(ROW(Leccion[SubSección]),ROW(Leccion[SubSección]))),ROW(CS37))),"")</f>
        <v/>
      </c>
      <c r="CU38" s="51" t="str">
        <f t="array" aca="1" ref="CU38" ca="1">IFERROR(INDEX(Leccion[selectorLeccion],SMALL(IF(CU$1=Leccion[SubSección],MATCH(ROW(Leccion[SubSección]),ROW(Leccion[SubSección]))),ROW(CT37))),"")</f>
        <v/>
      </c>
      <c r="CV38" s="51" t="str">
        <f t="array" aca="1" ref="CV38" ca="1">IFERROR(INDEX(Leccion[selectorLeccion],SMALL(IF(CV$1=Leccion[SubSección],MATCH(ROW(Leccion[SubSección]),ROW(Leccion[SubSección]))),ROW(CU37))),"")</f>
        <v/>
      </c>
      <c r="CW38" s="51" t="str">
        <f t="array" aca="1" ref="CW38" ca="1">IFERROR(INDEX(Leccion[selectorLeccion],SMALL(IF(CW$1=Leccion[SubSección],MATCH(ROW(Leccion[SubSección]),ROW(Leccion[SubSección]))),ROW(CV37))),"")</f>
        <v/>
      </c>
      <c r="CX38" s="51" t="str">
        <f t="array" aca="1" ref="CX38" ca="1">IFERROR(INDEX(Leccion[selectorLeccion],SMALL(IF(CX$1=Leccion[SubSección],MATCH(ROW(Leccion[SubSección]),ROW(Leccion[SubSección]))),ROW(CW37))),"")</f>
        <v/>
      </c>
      <c r="CY38" s="51" t="str">
        <f t="array" aca="1" ref="CY38" ca="1">IFERROR(INDEX(Leccion[selectorLeccion],SMALL(IF(CY$1=Leccion[SubSección],MATCH(ROW(Leccion[SubSección]),ROW(Leccion[SubSección]))),ROW(CX37))),"")</f>
        <v/>
      </c>
      <c r="CZ38" s="51" t="str">
        <f t="array" aca="1" ref="CZ38" ca="1">IFERROR(INDEX(Leccion[selectorLeccion],SMALL(IF(CZ$1=Leccion[SubSección],MATCH(ROW(Leccion[SubSección]),ROW(Leccion[SubSección]))),ROW(CY37))),"")</f>
        <v/>
      </c>
      <c r="DA38" s="51" t="str">
        <f t="array" aca="1" ref="DA38" ca="1">IFERROR(INDEX(Leccion[selectorLeccion],SMALL(IF(DA$1=Leccion[SubSección],MATCH(ROW(Leccion[SubSección]),ROW(Leccion[SubSección]))),ROW(CZ37))),"")</f>
        <v/>
      </c>
      <c r="DB38" s="51" t="str">
        <f t="array" aca="1" ref="DB38" ca="1">IFERROR(INDEX(Leccion[selectorLeccion],SMALL(IF(DB$1=Leccion[SubSección],MATCH(ROW(Leccion[SubSección]),ROW(Leccion[SubSección]))),ROW(DA37))),"")</f>
        <v/>
      </c>
      <c r="DC38" s="51" t="str">
        <f t="array" aca="1" ref="DC38" ca="1">IFERROR(INDEX(Leccion[selectorLeccion],SMALL(IF(DC$1=Leccion[SubSección],MATCH(ROW(Leccion[SubSección]),ROW(Leccion[SubSección]))),ROW(DB37))),"")</f>
        <v/>
      </c>
      <c r="DD38" s="51" t="str">
        <f t="array" aca="1" ref="DD38" ca="1">IFERROR(INDEX(Leccion[selectorLeccion],SMALL(IF(DD$1=Leccion[SubSección],MATCH(ROW(Leccion[SubSección]),ROW(Leccion[SubSección]))),ROW(DC37))),"")</f>
        <v/>
      </c>
      <c r="DE38" s="51" t="str">
        <f t="array" aca="1" ref="DE38" ca="1">IFERROR(INDEX(Leccion[selectorLeccion],SMALL(IF(DE$1=Leccion[SubSección],MATCH(ROW(Leccion[SubSección]),ROW(Leccion[SubSección]))),ROW(DD37))),"")</f>
        <v/>
      </c>
      <c r="DF38" s="51" t="str">
        <f t="array" aca="1" ref="DF38" ca="1">IFERROR(INDEX(Leccion[selectorLeccion],SMALL(IF(DF$1=Leccion[SubSección],MATCH(ROW(Leccion[SubSección]),ROW(Leccion[SubSección]))),ROW(DE37))),"")</f>
        <v/>
      </c>
      <c r="DG38" s="51" t="str">
        <f t="array" aca="1" ref="DG38" ca="1">IFERROR(INDEX(Leccion[selectorLeccion],SMALL(IF(DG$1=Leccion[SubSección],MATCH(ROW(Leccion[SubSección]),ROW(Leccion[SubSección]))),ROW(DF37))),"")</f>
        <v/>
      </c>
      <c r="DH38" s="51" t="str">
        <f t="array" aca="1" ref="DH38" ca="1">IFERROR(INDEX(Leccion[selectorLeccion],SMALL(IF(DH$1=Leccion[SubSección],MATCH(ROW(Leccion[SubSección]),ROW(Leccion[SubSección]))),ROW(DG37))),"")</f>
        <v/>
      </c>
      <c r="DI38" s="51" t="str">
        <f t="array" aca="1" ref="DI38" ca="1">IFERROR(INDEX(Leccion[selectorLeccion],SMALL(IF(DI$1=Leccion[SubSección],MATCH(ROW(Leccion[SubSección]),ROW(Leccion[SubSección]))),ROW(DH37))),"")</f>
        <v/>
      </c>
      <c r="DJ38" s="51" t="str">
        <f t="array" aca="1" ref="DJ38" ca="1">IFERROR(INDEX(Leccion[selectorLeccion],SMALL(IF(DJ$1=Leccion[SubSección],MATCH(ROW(Leccion[SubSección]),ROW(Leccion[SubSección]))),ROW(DI37))),"")</f>
        <v/>
      </c>
      <c r="DK38" s="51" t="str">
        <f t="array" aca="1" ref="DK38" ca="1">IFERROR(INDEX(Leccion[selectorLeccion],SMALL(IF(DK$1=Leccion[SubSección],MATCH(ROW(Leccion[SubSección]),ROW(Leccion[SubSección]))),ROW(DJ37))),"")</f>
        <v/>
      </c>
      <c r="DL38" s="51" t="str">
        <f t="array" aca="1" ref="DL38" ca="1">IFERROR(INDEX(Leccion[selectorLeccion],SMALL(IF(DL$1=Leccion[SubSección],MATCH(ROW(Leccion[SubSección]),ROW(Leccion[SubSección]))),ROW(DK37))),"")</f>
        <v/>
      </c>
      <c r="DM38" s="51" t="str">
        <f t="array" aca="1" ref="DM38" ca="1">IFERROR(INDEX(Leccion[selectorLeccion],SMALL(IF(DM$1=Leccion[SubSección],MATCH(ROW(Leccion[SubSección]),ROW(Leccion[SubSección]))),ROW(DL37))),"")</f>
        <v/>
      </c>
      <c r="DN38" s="51" t="str">
        <f t="array" aca="1" ref="DN38" ca="1">IFERROR(INDEX(Leccion[selectorLeccion],SMALL(IF(DN$1=Leccion[SubSección],MATCH(ROW(Leccion[SubSección]),ROW(Leccion[SubSección]))),ROW(DM37))),"")</f>
        <v/>
      </c>
      <c r="DO38" s="51" t="str">
        <f t="array" aca="1" ref="DO38" ca="1">IFERROR(INDEX(Leccion[selectorLeccion],SMALL(IF(DO$1=Leccion[SubSección],MATCH(ROW(Leccion[SubSección]),ROW(Leccion[SubSección]))),ROW(DN37))),"")</f>
        <v/>
      </c>
      <c r="DP38" s="51" t="str">
        <f t="array" aca="1" ref="DP38" ca="1">IFERROR(INDEX(Leccion[selectorLeccion],SMALL(IF(DP$1=Leccion[SubSección],MATCH(ROW(Leccion[SubSección]),ROW(Leccion[SubSección]))),ROW(DO37))),"")</f>
        <v/>
      </c>
      <c r="DQ38" s="51" t="str">
        <f t="array" aca="1" ref="DQ38" ca="1">IFERROR(INDEX(Leccion[selectorLeccion],SMALL(IF(DQ$1=Leccion[SubSección],MATCH(ROW(Leccion[SubSección]),ROW(Leccion[SubSección]))),ROW(DP37))),"")</f>
        <v/>
      </c>
      <c r="DR38" s="51" t="str">
        <f t="array" aca="1" ref="DR38" ca="1">IFERROR(INDEX(Leccion[selectorLeccion],SMALL(IF(DR$1=Leccion[SubSección],MATCH(ROW(Leccion[SubSección]),ROW(Leccion[SubSección]))),ROW(DQ37))),"")</f>
        <v/>
      </c>
      <c r="DS38" s="51" t="str">
        <f t="array" aca="1" ref="DS38" ca="1">IFERROR(INDEX(Leccion[selectorLeccion],SMALL(IF(DS$1=Leccion[SubSección],MATCH(ROW(Leccion[SubSección]),ROW(Leccion[SubSección]))),ROW(DR37))),"")</f>
        <v/>
      </c>
      <c r="DT38" s="51" t="str">
        <f t="array" aca="1" ref="DT38" ca="1">IFERROR(INDEX(Leccion[selectorLeccion],SMALL(IF(DT$1=Leccion[SubSección],MATCH(ROW(Leccion[SubSección]),ROW(Leccion[SubSección]))),ROW(DS37))),"")</f>
        <v/>
      </c>
      <c r="DU38" s="51" t="str">
        <f t="array" aca="1" ref="DU38" ca="1">IFERROR(INDEX(Leccion[selectorLeccion],SMALL(IF(DU$1=Leccion[SubSección],MATCH(ROW(Leccion[SubSección]),ROW(Leccion[SubSección]))),ROW(DT37))),"")</f>
        <v/>
      </c>
      <c r="DV38" s="51" t="str">
        <f t="array" aca="1" ref="DV38" ca="1">IFERROR(INDEX(Leccion[selectorLeccion],SMALL(IF(DV$1=Leccion[SubSección],MATCH(ROW(Leccion[SubSección]),ROW(Leccion[SubSección]))),ROW(DU37))),"")</f>
        <v/>
      </c>
      <c r="DW38" s="51" t="str">
        <f t="array" aca="1" ref="DW38" ca="1">IFERROR(INDEX(Leccion[selectorLeccion],SMALL(IF(DW$1=Leccion[SubSección],MATCH(ROW(Leccion[SubSección]),ROW(Leccion[SubSección]))),ROW(DV37))),"")</f>
        <v/>
      </c>
      <c r="DX38" s="51" t="str">
        <f t="array" aca="1" ref="DX38" ca="1">IFERROR(INDEX(Leccion[selectorLeccion],SMALL(IF(DX$1=Leccion[SubSección],MATCH(ROW(Leccion[SubSección]),ROW(Leccion[SubSección]))),ROW(DW37))),"")</f>
        <v/>
      </c>
      <c r="DY38" s="51" t="str">
        <f t="array" aca="1" ref="DY38" ca="1">IFERROR(INDEX(Leccion[selectorLeccion],SMALL(IF(DY$1=Leccion[SubSección],MATCH(ROW(Leccion[SubSección]),ROW(Leccion[SubSección]))),ROW(DX37))),"")</f>
        <v/>
      </c>
      <c r="DZ38" s="51" t="str">
        <f t="array" aca="1" ref="DZ38" ca="1">IFERROR(INDEX(Leccion[selectorLeccion],SMALL(IF(DZ$1=Leccion[SubSección],MATCH(ROW(Leccion[SubSección]),ROW(Leccion[SubSección]))),ROW(DY37))),"")</f>
        <v/>
      </c>
      <c r="EA38" s="51" t="str">
        <f t="array" aca="1" ref="EA38" ca="1">IFERROR(INDEX(Leccion[selectorLeccion],SMALL(IF(EA$1=Leccion[SubSección],MATCH(ROW(Leccion[SubSección]),ROW(Leccion[SubSección]))),ROW(DZ37))),"")</f>
        <v/>
      </c>
      <c r="EB38" s="51" t="str">
        <f t="array" aca="1" ref="EB38" ca="1">IFERROR(INDEX(Leccion[selectorLeccion],SMALL(IF(EB$1=Leccion[SubSección],MATCH(ROW(Leccion[SubSección]),ROW(Leccion[SubSección]))),ROW(EA37))),"")</f>
        <v/>
      </c>
      <c r="EC38" s="51" t="str">
        <f t="array" aca="1" ref="EC38" ca="1">IFERROR(INDEX(Leccion[selectorLeccion],SMALL(IF(EC$1=Leccion[SubSección],MATCH(ROW(Leccion[SubSección]),ROW(Leccion[SubSección]))),ROW(EB37))),"")</f>
        <v/>
      </c>
      <c r="ED38" s="51" t="str">
        <f t="array" aca="1" ref="ED38" ca="1">IFERROR(INDEX(Leccion[selectorLeccion],SMALL(IF(ED$1=Leccion[SubSección],MATCH(ROW(Leccion[SubSección]),ROW(Leccion[SubSección]))),ROW(EC37))),"")</f>
        <v/>
      </c>
      <c r="EE38" s="51" t="str">
        <f t="array" aca="1" ref="EE38" ca="1">IFERROR(INDEX(Leccion[selectorLeccion],SMALL(IF(EE$1=Leccion[SubSección],MATCH(ROW(Leccion[SubSección]),ROW(Leccion[SubSección]))),ROW(ED37))),"")</f>
        <v/>
      </c>
      <c r="EF38" s="51" t="str">
        <f t="array" aca="1" ref="EF38" ca="1">IFERROR(INDEX(Leccion[selectorLeccion],SMALL(IF(EF$1=Leccion[SubSección],MATCH(ROW(Leccion[SubSección]),ROW(Leccion[SubSección]))),ROW(EE37))),"")</f>
        <v/>
      </c>
      <c r="EG38" s="51" t="str">
        <f t="array" aca="1" ref="EG38" ca="1">IFERROR(INDEX(Leccion[selectorLeccion],SMALL(IF(EG$1=Leccion[SubSección],MATCH(ROW(Leccion[SubSección]),ROW(Leccion[SubSección]))),ROW(EF37))),"")</f>
        <v/>
      </c>
      <c r="EH38" s="51" t="str">
        <f t="array" aca="1" ref="EH38" ca="1">IFERROR(INDEX(Leccion[selectorLeccion],SMALL(IF(EH$1=Leccion[SubSección],MATCH(ROW(Leccion[SubSección]),ROW(Leccion[SubSección]))),ROW(EG37))),"")</f>
        <v/>
      </c>
      <c r="EI38" s="51" t="str">
        <f t="array" aca="1" ref="EI38" ca="1">IFERROR(INDEX(Leccion[selectorLeccion],SMALL(IF(EI$1=Leccion[SubSección],MATCH(ROW(Leccion[SubSección]),ROW(Leccion[SubSección]))),ROW(EH37))),"")</f>
        <v/>
      </c>
      <c r="EJ38" s="51" t="str">
        <f t="array" aca="1" ref="EJ38" ca="1">IFERROR(INDEX(Leccion[selectorLeccion],SMALL(IF(EJ$1=Leccion[SubSección],MATCH(ROW(Leccion[SubSección]),ROW(Leccion[SubSección]))),ROW(EI37))),"")</f>
        <v/>
      </c>
      <c r="EK38" s="51" t="str">
        <f t="array" aca="1" ref="EK38" ca="1">IFERROR(INDEX(Leccion[selectorLeccion],SMALL(IF(EK$1=Leccion[SubSección],MATCH(ROW(Leccion[SubSección]),ROW(Leccion[SubSección]))),ROW(EJ37))),"")</f>
        <v/>
      </c>
      <c r="EL38" s="51" t="str">
        <f t="array" aca="1" ref="EL38" ca="1">IFERROR(INDEX(Leccion[selectorLeccion],SMALL(IF(EL$1=Leccion[SubSección],MATCH(ROW(Leccion[SubSección]),ROW(Leccion[SubSección]))),ROW(EK37))),"")</f>
        <v/>
      </c>
      <c r="EM38" s="51" t="str">
        <f t="array" aca="1" ref="EM38" ca="1">IFERROR(INDEX(Leccion[selectorLeccion],SMALL(IF(EM$1=Leccion[SubSección],MATCH(ROW(Leccion[SubSección]),ROW(Leccion[SubSección]))),ROW(EL37))),"")</f>
        <v/>
      </c>
      <c r="EN38" s="51" t="str">
        <f t="array" aca="1" ref="EN38" ca="1">IFERROR(INDEX(Leccion[selectorLeccion],SMALL(IF(EN$1=Leccion[SubSección],MATCH(ROW(Leccion[SubSección]),ROW(Leccion[SubSección]))),ROW(EM37))),"")</f>
        <v/>
      </c>
      <c r="EO38" s="51" t="str">
        <f t="array" aca="1" ref="EO38" ca="1">IFERROR(INDEX(Leccion[selectorLeccion],SMALL(IF(EO$1=Leccion[SubSección],MATCH(ROW(Leccion[SubSección]),ROW(Leccion[SubSección]))),ROW(EN37))),"")</f>
        <v/>
      </c>
      <c r="EP38" s="51" t="str">
        <f t="array" aca="1" ref="EP38" ca="1">IFERROR(INDEX(Leccion[selectorLeccion],SMALL(IF(EP$1=Leccion[SubSección],MATCH(ROW(Leccion[SubSección]),ROW(Leccion[SubSección]))),ROW(EO37))),"")</f>
        <v/>
      </c>
      <c r="EQ38" s="51" t="str">
        <f t="array" aca="1" ref="EQ38" ca="1">IFERROR(INDEX(Leccion[selectorLeccion],SMALL(IF(EQ$1=Leccion[SubSección],MATCH(ROW(Leccion[SubSección]),ROW(Leccion[SubSección]))),ROW(EP37))),"")</f>
        <v/>
      </c>
      <c r="ER38" s="51" t="str">
        <f t="array" aca="1" ref="ER38" ca="1">IFERROR(INDEX(Leccion[selectorLeccion],SMALL(IF(ER$1=Leccion[SubSección],MATCH(ROW(Leccion[SubSección]),ROW(Leccion[SubSección]))),ROW(EQ37))),"")</f>
        <v/>
      </c>
      <c r="ES38" s="51" t="str">
        <f t="array" aca="1" ref="ES38" ca="1">IFERROR(INDEX(Leccion[selectorLeccion],SMALL(IF(ES$1=Leccion[SubSección],MATCH(ROW(Leccion[SubSección]),ROW(Leccion[SubSección]))),ROW(ER37))),"")</f>
        <v/>
      </c>
      <c r="ET38" s="51" t="str">
        <f t="array" aca="1" ref="ET38" ca="1">IFERROR(INDEX(Leccion[selectorLeccion],SMALL(IF(ET$1=Leccion[SubSección],MATCH(ROW(Leccion[SubSección]),ROW(Leccion[SubSección]))),ROW(ES37))),"")</f>
        <v/>
      </c>
      <c r="EU38" s="51" t="str">
        <f t="array" aca="1" ref="EU38" ca="1">IFERROR(INDEX(Leccion[selectorLeccion],SMALL(IF(EU$1=Leccion[SubSección],MATCH(ROW(Leccion[SubSección]),ROW(Leccion[SubSección]))),ROW(ET37))),"")</f>
        <v/>
      </c>
      <c r="EV38" s="51" t="str">
        <f t="array" aca="1" ref="EV38" ca="1">IFERROR(INDEX(Leccion[selectorLeccion],SMALL(IF(EV$1=Leccion[SubSección],MATCH(ROW(Leccion[SubSección]),ROW(Leccion[SubSección]))),ROW(EU37))),"")</f>
        <v/>
      </c>
      <c r="EW38" s="51" t="str">
        <f t="array" aca="1" ref="EW38" ca="1">IFERROR(INDEX(Leccion[selectorLeccion],SMALL(IF(EW$1=Leccion[SubSección],MATCH(ROW(Leccion[SubSección]),ROW(Leccion[SubSección]))),ROW(EV37))),"")</f>
        <v/>
      </c>
      <c r="EX38" s="51" t="str">
        <f t="array" aca="1" ref="EX38" ca="1">IFERROR(INDEX(Leccion[selectorLeccion],SMALL(IF(EX$1=Leccion[SubSección],MATCH(ROW(Leccion[SubSección]),ROW(Leccion[SubSección]))),ROW(EW37))),"")</f>
        <v/>
      </c>
      <c r="EY38" s="51" t="str">
        <f t="array" aca="1" ref="EY38" ca="1">IFERROR(INDEX(Leccion[selectorLeccion],SMALL(IF(EY$1=Leccion[SubSección],MATCH(ROW(Leccion[SubSección]),ROW(Leccion[SubSección]))),ROW(EX37))),"")</f>
        <v/>
      </c>
      <c r="EZ38" s="51" t="str">
        <f t="array" aca="1" ref="EZ38" ca="1">IFERROR(INDEX(Leccion[selectorLeccion],SMALL(IF(EZ$1=Leccion[SubSección],MATCH(ROW(Leccion[SubSección]),ROW(Leccion[SubSección]))),ROW(EY37))),"")</f>
        <v/>
      </c>
    </row>
    <row r="39" spans="2:156" x14ac:dyDescent="0.3">
      <c r="B39" s="51" t="str">
        <f t="array" aca="1" ref="B39" ca="1">IFERROR(INDEX(Leccion[selectorLeccion],SMALL(IF(B$1=Leccion[SubSección],MATCH(ROW(Leccion[SubSección]),ROW(Leccion[SubSección]))),ROW(A38))),"")</f>
        <v/>
      </c>
      <c r="C39" s="51" t="str">
        <f t="array" aca="1" ref="C39" ca="1">IFERROR(INDEX(Leccion[selectorLeccion],SMALL(IF(C$1=Leccion[SubSección],MATCH(ROW(Leccion[SubSección]),ROW(Leccion[SubSección]))),ROW(B38))),"")</f>
        <v/>
      </c>
      <c r="D39" s="51" t="str">
        <f t="array" aca="1" ref="D39" ca="1">IFERROR(INDEX(Leccion[selectorLeccion],SMALL(IF(D$1=Leccion[SubSección],MATCH(ROW(Leccion[SubSección]),ROW(Leccion[SubSección]))),ROW(C38))),"")</f>
        <v/>
      </c>
      <c r="E39" s="51" t="str">
        <f t="array" aca="1" ref="E39" ca="1">IFERROR(INDEX(Leccion[selectorLeccion],SMALL(IF(E$1=Leccion[SubSección],MATCH(ROW(Leccion[SubSección]),ROW(Leccion[SubSección]))),ROW(D38))),"")</f>
        <v/>
      </c>
      <c r="F39" s="51" t="str">
        <f t="array" aca="1" ref="F39" ca="1">IFERROR(INDEX(Leccion[selectorLeccion],SMALL(IF(F$1=Leccion[SubSección],MATCH(ROW(Leccion[SubSección]),ROW(Leccion[SubSección]))),ROW(E38))),"")</f>
        <v/>
      </c>
      <c r="G39" s="51" t="str">
        <f t="array" aca="1" ref="G39" ca="1">IFERROR(INDEX(Leccion[selectorLeccion],SMALL(IF(G$1=Leccion[SubSección],MATCH(ROW(Leccion[SubSección]),ROW(Leccion[SubSección]))),ROW(F38))),"")</f>
        <v/>
      </c>
      <c r="H39" s="51" t="str">
        <f t="array" aca="1" ref="H39" ca="1">IFERROR(INDEX(Leccion[selectorLeccion],SMALL(IF(H$1=Leccion[SubSección],MATCH(ROW(Leccion[SubSección]),ROW(Leccion[SubSección]))),ROW(G38))),"")</f>
        <v/>
      </c>
      <c r="I39" s="51" t="str">
        <f t="array" aca="1" ref="I39" ca="1">IFERROR(INDEX(Leccion[selectorLeccion],SMALL(IF(I$1=Leccion[SubSección],MATCH(ROW(Leccion[SubSección]),ROW(Leccion[SubSección]))),ROW(H38))),"")</f>
        <v/>
      </c>
      <c r="J39" s="51" t="str">
        <f t="array" aca="1" ref="J39" ca="1">IFERROR(INDEX(Leccion[selectorLeccion],SMALL(IF(J$1=Leccion[SubSección],MATCH(ROW(Leccion[SubSección]),ROW(Leccion[SubSección]))),ROW(I38))),"")</f>
        <v/>
      </c>
      <c r="K39" s="51" t="str">
        <f t="array" aca="1" ref="K39" ca="1">IFERROR(INDEX(Leccion[selectorLeccion],SMALL(IF(K$1=Leccion[SubSección],MATCH(ROW(Leccion[SubSección]),ROW(Leccion[SubSección]))),ROW(J38))),"")</f>
        <v/>
      </c>
      <c r="L39" s="51" t="str">
        <f t="array" aca="1" ref="L39" ca="1">IFERROR(INDEX(Leccion[selectorLeccion],SMALL(IF(L$1=Leccion[SubSección],MATCH(ROW(Leccion[SubSección]),ROW(Leccion[SubSección]))),ROW(K38))),"")</f>
        <v/>
      </c>
      <c r="M39" s="51" t="str">
        <f t="array" aca="1" ref="M39" ca="1">IFERROR(INDEX(Leccion[selectorLeccion],SMALL(IF(M$1=Leccion[SubSección],MATCH(ROW(Leccion[SubSección]),ROW(Leccion[SubSección]))),ROW(L38))),"")</f>
        <v/>
      </c>
      <c r="N39" s="51" t="str">
        <f t="array" aca="1" ref="N39" ca="1">IFERROR(INDEX(Leccion[selectorLeccion],SMALL(IF(N$1=Leccion[SubSección],MATCH(ROW(Leccion[SubSección]),ROW(Leccion[SubSección]))),ROW(M38))),"")</f>
        <v/>
      </c>
      <c r="O39" s="51" t="str">
        <f t="array" aca="1" ref="O39" ca="1">IFERROR(INDEX(Leccion[selectorLeccion],SMALL(IF(O$1=Leccion[SubSección],MATCH(ROW(Leccion[SubSección]),ROW(Leccion[SubSección]))),ROW(N38))),"")</f>
        <v/>
      </c>
      <c r="P39" s="51" t="str">
        <f t="array" aca="1" ref="P39" ca="1">IFERROR(INDEX(Leccion[selectorLeccion],SMALL(IF(P$1=Leccion[SubSección],MATCH(ROW(Leccion[SubSección]),ROW(Leccion[SubSección]))),ROW(O38))),"")</f>
        <v/>
      </c>
      <c r="Q39" s="51" t="str">
        <f t="array" aca="1" ref="Q39" ca="1">IFERROR(INDEX(Leccion[selectorLeccion],SMALL(IF(Q$1=Leccion[SubSección],MATCH(ROW(Leccion[SubSección]),ROW(Leccion[SubSección]))),ROW(P38))),"")</f>
        <v/>
      </c>
      <c r="R39" s="51" t="str">
        <f t="array" aca="1" ref="R39" ca="1">IFERROR(INDEX(Leccion[selectorLeccion],SMALL(IF(R$1=Leccion[SubSección],MATCH(ROW(Leccion[SubSección]),ROW(Leccion[SubSección]))),ROW(Q38))),"")</f>
        <v/>
      </c>
      <c r="S39" s="51" t="str">
        <f t="array" aca="1" ref="S39" ca="1">IFERROR(INDEX(Leccion[selectorLeccion],SMALL(IF(S$1=Leccion[SubSección],MATCH(ROW(Leccion[SubSección]),ROW(Leccion[SubSección]))),ROW(R38))),"")</f>
        <v/>
      </c>
      <c r="T39" s="51" t="str">
        <f t="array" aca="1" ref="T39" ca="1">IFERROR(INDEX(Leccion[selectorLeccion],SMALL(IF(T$1=Leccion[SubSección],MATCH(ROW(Leccion[SubSección]),ROW(Leccion[SubSección]))),ROW(S38))),"")</f>
        <v/>
      </c>
      <c r="U39" s="51" t="str">
        <f t="array" aca="1" ref="U39" ca="1">IFERROR(INDEX(Leccion[selectorLeccion],SMALL(IF(U$1=Leccion[SubSección],MATCH(ROW(Leccion[SubSección]),ROW(Leccion[SubSección]))),ROW(T38))),"")</f>
        <v/>
      </c>
      <c r="V39" s="51" t="str">
        <f t="array" aca="1" ref="V39" ca="1">IFERROR(INDEX(Leccion[selectorLeccion],SMALL(IF(V$1=Leccion[SubSección],MATCH(ROW(Leccion[SubSección]),ROW(Leccion[SubSección]))),ROW(U38))),"")</f>
        <v/>
      </c>
      <c r="W39" s="51" t="str">
        <f t="array" aca="1" ref="W39" ca="1">IFERROR(INDEX(Leccion[selectorLeccion],SMALL(IF(W$1=Leccion[SubSección],MATCH(ROW(Leccion[SubSección]),ROW(Leccion[SubSección]))),ROW(V38))),"")</f>
        <v/>
      </c>
      <c r="X39" s="51" t="str">
        <f t="array" aca="1" ref="X39" ca="1">IFERROR(INDEX(Leccion[selectorLeccion],SMALL(IF(X$1=Leccion[SubSección],MATCH(ROW(Leccion[SubSección]),ROW(Leccion[SubSección]))),ROW(W38))),"")</f>
        <v/>
      </c>
      <c r="Y39" s="51" t="str">
        <f t="array" aca="1" ref="Y39" ca="1">IFERROR(INDEX(Leccion[selectorLeccion],SMALL(IF(Y$1=Leccion[SubSección],MATCH(ROW(Leccion[SubSección]),ROW(Leccion[SubSección]))),ROW(X38))),"")</f>
        <v/>
      </c>
      <c r="Z39" s="51" t="str">
        <f t="array" aca="1" ref="Z39" ca="1">IFERROR(INDEX(Leccion[selectorLeccion],SMALL(IF(Z$1=Leccion[SubSección],MATCH(ROW(Leccion[SubSección]),ROW(Leccion[SubSección]))),ROW(Y38))),"")</f>
        <v/>
      </c>
      <c r="AA39" s="51" t="str">
        <f t="array" aca="1" ref="AA39" ca="1">IFERROR(INDEX(Leccion[selectorLeccion],SMALL(IF(AA$1=Leccion[SubSección],MATCH(ROW(Leccion[SubSección]),ROW(Leccion[SubSección]))),ROW(Z38))),"")</f>
        <v/>
      </c>
      <c r="AB39" s="51" t="str">
        <f t="array" aca="1" ref="AB39" ca="1">IFERROR(INDEX(Leccion[selectorLeccion],SMALL(IF(AB$1=Leccion[SubSección],MATCH(ROW(Leccion[SubSección]),ROW(Leccion[SubSección]))),ROW(AA38))),"")</f>
        <v/>
      </c>
      <c r="AC39" s="51" t="str">
        <f t="array" aca="1" ref="AC39" ca="1">IFERROR(INDEX(Leccion[selectorLeccion],SMALL(IF(AC$1=Leccion[SubSección],MATCH(ROW(Leccion[SubSección]),ROW(Leccion[SubSección]))),ROW(AB38))),"")</f>
        <v/>
      </c>
      <c r="AD39" s="51" t="str">
        <f t="array" aca="1" ref="AD39" ca="1">IFERROR(INDEX(Leccion[selectorLeccion],SMALL(IF(AD$1=Leccion[SubSección],MATCH(ROW(Leccion[SubSección]),ROW(Leccion[SubSección]))),ROW(AC38))),"")</f>
        <v/>
      </c>
      <c r="AE39" s="51" t="str">
        <f t="array" aca="1" ref="AE39" ca="1">IFERROR(INDEX(Leccion[selectorLeccion],SMALL(IF(AE$1=Leccion[SubSección],MATCH(ROW(Leccion[SubSección]),ROW(Leccion[SubSección]))),ROW(AD38))),"")</f>
        <v/>
      </c>
      <c r="AF39" s="51" t="str">
        <f t="array" aca="1" ref="AF39" ca="1">IFERROR(INDEX(Leccion[selectorLeccion],SMALL(IF(AF$1=Leccion[SubSección],MATCH(ROW(Leccion[SubSección]),ROW(Leccion[SubSección]))),ROW(AE38))),"")</f>
        <v/>
      </c>
      <c r="AG39" s="51" t="str">
        <f t="array" aca="1" ref="AG39" ca="1">IFERROR(INDEX(Leccion[selectorLeccion],SMALL(IF(AG$1=Leccion[SubSección],MATCH(ROW(Leccion[SubSección]),ROW(Leccion[SubSección]))),ROW(AF38))),"")</f>
        <v/>
      </c>
      <c r="AH39" s="51" t="str">
        <f t="array" aca="1" ref="AH39" ca="1">IFERROR(INDEX(Leccion[selectorLeccion],SMALL(IF(AH$1=Leccion[SubSección],MATCH(ROW(Leccion[SubSección]),ROW(Leccion[SubSección]))),ROW(AG38))),"")</f>
        <v/>
      </c>
      <c r="AI39" s="51" t="str">
        <f t="array" aca="1" ref="AI39" ca="1">IFERROR(INDEX(Leccion[selectorLeccion],SMALL(IF(AI$1=Leccion[SubSección],MATCH(ROW(Leccion[SubSección]),ROW(Leccion[SubSección]))),ROW(AH38))),"")</f>
        <v/>
      </c>
      <c r="AJ39" s="51" t="str">
        <f t="array" aca="1" ref="AJ39" ca="1">IFERROR(INDEX(Leccion[selectorLeccion],SMALL(IF(AJ$1=Leccion[SubSección],MATCH(ROW(Leccion[SubSección]),ROW(Leccion[SubSección]))),ROW(AI38))),"")</f>
        <v/>
      </c>
      <c r="AK39" s="51" t="str">
        <f t="array" aca="1" ref="AK39" ca="1">IFERROR(INDEX(Leccion[selectorLeccion],SMALL(IF(AK$1=Leccion[SubSección],MATCH(ROW(Leccion[SubSección]),ROW(Leccion[SubSección]))),ROW(AJ38))),"")</f>
        <v/>
      </c>
      <c r="AL39" s="51" t="str">
        <f t="array" aca="1" ref="AL39" ca="1">IFERROR(INDEX(Leccion[selectorLeccion],SMALL(IF(AL$1=Leccion[SubSección],MATCH(ROW(Leccion[SubSección]),ROW(Leccion[SubSección]))),ROW(AK38))),"")</f>
        <v/>
      </c>
      <c r="AM39" s="51" t="str">
        <f t="array" aca="1" ref="AM39" ca="1">IFERROR(INDEX(Leccion[selectorLeccion],SMALL(IF(AM$1=Leccion[SubSección],MATCH(ROW(Leccion[SubSección]),ROW(Leccion[SubSección]))),ROW(AL38))),"")</f>
        <v/>
      </c>
      <c r="AN39" s="51" t="str">
        <f t="array" aca="1" ref="AN39" ca="1">IFERROR(INDEX(Leccion[selectorLeccion],SMALL(IF(AN$1=Leccion[SubSección],MATCH(ROW(Leccion[SubSección]),ROW(Leccion[SubSección]))),ROW(AM38))),"")</f>
        <v/>
      </c>
      <c r="AO39" s="51" t="str">
        <f t="array" aca="1" ref="AO39" ca="1">IFERROR(INDEX(Leccion[selectorLeccion],SMALL(IF(AO$1=Leccion[SubSección],MATCH(ROW(Leccion[SubSección]),ROW(Leccion[SubSección]))),ROW(AN38))),"")</f>
        <v/>
      </c>
      <c r="AP39" s="51" t="str">
        <f t="array" aca="1" ref="AP39" ca="1">IFERROR(INDEX(Leccion[selectorLeccion],SMALL(IF(AP$1=Leccion[SubSección],MATCH(ROW(Leccion[SubSección]),ROW(Leccion[SubSección]))),ROW(AO38))),"")</f>
        <v/>
      </c>
      <c r="AQ39" s="51" t="str">
        <f t="array" aca="1" ref="AQ39" ca="1">IFERROR(INDEX(Leccion[selectorLeccion],SMALL(IF(AQ$1=Leccion[SubSección],MATCH(ROW(Leccion[SubSección]),ROW(Leccion[SubSección]))),ROW(AP38))),"")</f>
        <v/>
      </c>
      <c r="AR39" s="51" t="str">
        <f t="array" aca="1" ref="AR39" ca="1">IFERROR(INDEX(Leccion[selectorLeccion],SMALL(IF(AR$1=Leccion[SubSección],MATCH(ROW(Leccion[SubSección]),ROW(Leccion[SubSección]))),ROW(AQ38))),"")</f>
        <v/>
      </c>
      <c r="AS39" s="51" t="str">
        <f t="array" aca="1" ref="AS39" ca="1">IFERROR(INDEX(Leccion[selectorLeccion],SMALL(IF(AS$1=Leccion[SubSección],MATCH(ROW(Leccion[SubSección]),ROW(Leccion[SubSección]))),ROW(AR38))),"")</f>
        <v/>
      </c>
      <c r="AT39" s="51" t="str">
        <f t="array" aca="1" ref="AT39" ca="1">IFERROR(INDEX(Leccion[selectorLeccion],SMALL(IF(AT$1=Leccion[SubSección],MATCH(ROW(Leccion[SubSección]),ROW(Leccion[SubSección]))),ROW(AS38))),"")</f>
        <v/>
      </c>
      <c r="AU39" s="51" t="str">
        <f t="array" aca="1" ref="AU39" ca="1">IFERROR(INDEX(Leccion[selectorLeccion],SMALL(IF(AU$1=Leccion[SubSección],MATCH(ROW(Leccion[SubSección]),ROW(Leccion[SubSección]))),ROW(AT38))),"")</f>
        <v/>
      </c>
      <c r="AV39" s="51" t="str">
        <f t="array" aca="1" ref="AV39" ca="1">IFERROR(INDEX(Leccion[selectorLeccion],SMALL(IF(AV$1=Leccion[SubSección],MATCH(ROW(Leccion[SubSección]),ROW(Leccion[SubSección]))),ROW(AU38))),"")</f>
        <v/>
      </c>
      <c r="AW39" s="51" t="str">
        <f t="array" aca="1" ref="AW39" ca="1">IFERROR(INDEX(Leccion[selectorLeccion],SMALL(IF(AW$1=Leccion[SubSección],MATCH(ROW(Leccion[SubSección]),ROW(Leccion[SubSección]))),ROW(AV38))),"")</f>
        <v/>
      </c>
      <c r="AX39" s="51" t="str">
        <f t="array" aca="1" ref="AX39" ca="1">IFERROR(INDEX(Leccion[selectorLeccion],SMALL(IF(AX$1=Leccion[SubSección],MATCH(ROW(Leccion[SubSección]),ROW(Leccion[SubSección]))),ROW(AW38))),"")</f>
        <v/>
      </c>
      <c r="AY39" s="51" t="str">
        <f t="array" aca="1" ref="AY39" ca="1">IFERROR(INDEX(Leccion[selectorLeccion],SMALL(IF(AY$1=Leccion[SubSección],MATCH(ROW(Leccion[SubSección]),ROW(Leccion[SubSección]))),ROW(AX38))),"")</f>
        <v/>
      </c>
      <c r="AZ39" s="51" t="str">
        <f t="array" aca="1" ref="AZ39" ca="1">IFERROR(INDEX(Leccion[selectorLeccion],SMALL(IF(AZ$1=Leccion[SubSección],MATCH(ROW(Leccion[SubSección]),ROW(Leccion[SubSección]))),ROW(AY38))),"")</f>
        <v/>
      </c>
      <c r="BA39" s="51" t="str">
        <f t="array" aca="1" ref="BA39" ca="1">IFERROR(INDEX(Leccion[selectorLeccion],SMALL(IF(BA$1=Leccion[SubSección],MATCH(ROW(Leccion[SubSección]),ROW(Leccion[SubSección]))),ROW(AZ38))),"")</f>
        <v/>
      </c>
      <c r="BB39" s="51" t="str">
        <f t="array" aca="1" ref="BB39" ca="1">IFERROR(INDEX(Leccion[selectorLeccion],SMALL(IF(BB$1=Leccion[SubSección],MATCH(ROW(Leccion[SubSección]),ROW(Leccion[SubSección]))),ROW(BA38))),"")</f>
        <v/>
      </c>
      <c r="BC39" s="51" t="str">
        <f t="array" aca="1" ref="BC39" ca="1">IFERROR(INDEX(Leccion[selectorLeccion],SMALL(IF(BC$1=Leccion[SubSección],MATCH(ROW(Leccion[SubSección]),ROW(Leccion[SubSección]))),ROW(BB38))),"")</f>
        <v/>
      </c>
      <c r="BD39" s="51" t="str">
        <f t="array" aca="1" ref="BD39" ca="1">IFERROR(INDEX(Leccion[selectorLeccion],SMALL(IF(BD$1=Leccion[SubSección],MATCH(ROW(Leccion[SubSección]),ROW(Leccion[SubSección]))),ROW(BC38))),"")</f>
        <v/>
      </c>
      <c r="BE39" s="51" t="str">
        <f t="array" aca="1" ref="BE39" ca="1">IFERROR(INDEX(Leccion[selectorLeccion],SMALL(IF(BE$1=Leccion[SubSección],MATCH(ROW(Leccion[SubSección]),ROW(Leccion[SubSección]))),ROW(BD38))),"")</f>
        <v/>
      </c>
      <c r="BF39" s="51" t="str">
        <f t="array" aca="1" ref="BF39" ca="1">IFERROR(INDEX(Leccion[selectorLeccion],SMALL(IF(BF$1=Leccion[SubSección],MATCH(ROW(Leccion[SubSección]),ROW(Leccion[SubSección]))),ROW(BE38))),"")</f>
        <v/>
      </c>
      <c r="BG39" s="51" t="str">
        <f t="array" aca="1" ref="BG39" ca="1">IFERROR(INDEX(Leccion[selectorLeccion],SMALL(IF(BG$1=Leccion[SubSección],MATCH(ROW(Leccion[SubSección]),ROW(Leccion[SubSección]))),ROW(BF38))),"")</f>
        <v/>
      </c>
      <c r="BH39" s="51" t="str">
        <f t="array" aca="1" ref="BH39" ca="1">IFERROR(INDEX(Leccion[selectorLeccion],SMALL(IF(BH$1=Leccion[SubSección],MATCH(ROW(Leccion[SubSección]),ROW(Leccion[SubSección]))),ROW(BG38))),"")</f>
        <v/>
      </c>
      <c r="BI39" s="51" t="str">
        <f t="array" aca="1" ref="BI39" ca="1">IFERROR(INDEX(Leccion[selectorLeccion],SMALL(IF(BI$1=Leccion[SubSección],MATCH(ROW(Leccion[SubSección]),ROW(Leccion[SubSección]))),ROW(BH38))),"")</f>
        <v/>
      </c>
      <c r="BJ39" s="51" t="str">
        <f t="array" aca="1" ref="BJ39" ca="1">IFERROR(INDEX(Leccion[selectorLeccion],SMALL(IF(BJ$1=Leccion[SubSección],MATCH(ROW(Leccion[SubSección]),ROW(Leccion[SubSección]))),ROW(BI38))),"")</f>
        <v/>
      </c>
      <c r="BK39" s="51" t="str">
        <f t="array" aca="1" ref="BK39" ca="1">IFERROR(INDEX(Leccion[selectorLeccion],SMALL(IF(BK$1=Leccion[SubSección],MATCH(ROW(Leccion[SubSección]),ROW(Leccion[SubSección]))),ROW(BJ38))),"")</f>
        <v/>
      </c>
      <c r="BL39" s="51" t="str">
        <f t="array" aca="1" ref="BL39" ca="1">IFERROR(INDEX(Leccion[selectorLeccion],SMALL(IF(BL$1=Leccion[SubSección],MATCH(ROW(Leccion[SubSección]),ROW(Leccion[SubSección]))),ROW(BK38))),"")</f>
        <v/>
      </c>
      <c r="BM39" s="51" t="str">
        <f t="array" aca="1" ref="BM39" ca="1">IFERROR(INDEX(Leccion[selectorLeccion],SMALL(IF(BM$1=Leccion[SubSección],MATCH(ROW(Leccion[SubSección]),ROW(Leccion[SubSección]))),ROW(BL38))),"")</f>
        <v/>
      </c>
      <c r="BN39" s="51" t="str">
        <f t="array" aca="1" ref="BN39" ca="1">IFERROR(INDEX(Leccion[selectorLeccion],SMALL(IF(BN$1=Leccion[SubSección],MATCH(ROW(Leccion[SubSección]),ROW(Leccion[SubSección]))),ROW(BM38))),"")</f>
        <v/>
      </c>
      <c r="BO39" s="51" t="str">
        <f t="array" aca="1" ref="BO39" ca="1">IFERROR(INDEX(Leccion[selectorLeccion],SMALL(IF(BO$1=Leccion[SubSección],MATCH(ROW(Leccion[SubSección]),ROW(Leccion[SubSección]))),ROW(BN38))),"")</f>
        <v/>
      </c>
      <c r="BP39" s="51" t="str">
        <f t="array" aca="1" ref="BP39" ca="1">IFERROR(INDEX(Leccion[selectorLeccion],SMALL(IF(BP$1=Leccion[SubSección],MATCH(ROW(Leccion[SubSección]),ROW(Leccion[SubSección]))),ROW(BO38))),"")</f>
        <v/>
      </c>
      <c r="BQ39" s="51" t="str">
        <f t="array" aca="1" ref="BQ39" ca="1">IFERROR(INDEX(Leccion[selectorLeccion],SMALL(IF(BQ$1=Leccion[SubSección],MATCH(ROW(Leccion[SubSección]),ROW(Leccion[SubSección]))),ROW(BP38))),"")</f>
        <v/>
      </c>
      <c r="BR39" s="51" t="str">
        <f t="array" aca="1" ref="BR39" ca="1">IFERROR(INDEX(Leccion[selectorLeccion],SMALL(IF(BR$1=Leccion[SubSección],MATCH(ROW(Leccion[SubSección]),ROW(Leccion[SubSección]))),ROW(BQ38))),"")</f>
        <v/>
      </c>
      <c r="BS39" s="51" t="str">
        <f t="array" aca="1" ref="BS39" ca="1">IFERROR(INDEX(Leccion[selectorLeccion],SMALL(IF(BS$1=Leccion[SubSección],MATCH(ROW(Leccion[SubSección]),ROW(Leccion[SubSección]))),ROW(BR38))),"")</f>
        <v/>
      </c>
      <c r="BT39" s="51" t="str">
        <f t="array" aca="1" ref="BT39" ca="1">IFERROR(INDEX(Leccion[selectorLeccion],SMALL(IF(BT$1=Leccion[SubSección],MATCH(ROW(Leccion[SubSección]),ROW(Leccion[SubSección]))),ROW(BS38))),"")</f>
        <v/>
      </c>
      <c r="BU39" s="51" t="str">
        <f t="array" aca="1" ref="BU39" ca="1">IFERROR(INDEX(Leccion[selectorLeccion],SMALL(IF(BU$1=Leccion[SubSección],MATCH(ROW(Leccion[SubSección]),ROW(Leccion[SubSección]))),ROW(BT38))),"")</f>
        <v/>
      </c>
      <c r="BV39" s="51" t="str">
        <f t="array" aca="1" ref="BV39" ca="1">IFERROR(INDEX(Leccion[selectorLeccion],SMALL(IF(BV$1=Leccion[SubSección],MATCH(ROW(Leccion[SubSección]),ROW(Leccion[SubSección]))),ROW(BU38))),"")</f>
        <v/>
      </c>
      <c r="BW39" s="51" t="str">
        <f t="array" aca="1" ref="BW39" ca="1">IFERROR(INDEX(Leccion[selectorLeccion],SMALL(IF(BW$1=Leccion[SubSección],MATCH(ROW(Leccion[SubSección]),ROW(Leccion[SubSección]))),ROW(BV38))),"")</f>
        <v/>
      </c>
      <c r="BX39" s="51" t="str">
        <f t="array" aca="1" ref="BX39" ca="1">IFERROR(INDEX(Leccion[selectorLeccion],SMALL(IF(BX$1=Leccion[SubSección],MATCH(ROW(Leccion[SubSección]),ROW(Leccion[SubSección]))),ROW(BW38))),"")</f>
        <v/>
      </c>
      <c r="BY39" s="51" t="str">
        <f t="array" aca="1" ref="BY39" ca="1">IFERROR(INDEX(Leccion[selectorLeccion],SMALL(IF(BY$1=Leccion[SubSección],MATCH(ROW(Leccion[SubSección]),ROW(Leccion[SubSección]))),ROW(BX38))),"")</f>
        <v/>
      </c>
      <c r="BZ39" s="51" t="str">
        <f t="array" aca="1" ref="BZ39" ca="1">IFERROR(INDEX(Leccion[selectorLeccion],SMALL(IF(BZ$1=Leccion[SubSección],MATCH(ROW(Leccion[SubSección]),ROW(Leccion[SubSección]))),ROW(BY38))),"")</f>
        <v/>
      </c>
      <c r="CA39" s="51" t="str">
        <f t="array" aca="1" ref="CA39" ca="1">IFERROR(INDEX(Leccion[selectorLeccion],SMALL(IF(CA$1=Leccion[SubSección],MATCH(ROW(Leccion[SubSección]),ROW(Leccion[SubSección]))),ROW(BZ38))),"")</f>
        <v/>
      </c>
      <c r="CB39" s="51" t="str">
        <f t="array" aca="1" ref="CB39" ca="1">IFERROR(INDEX(Leccion[selectorLeccion],SMALL(IF(CB$1=Leccion[SubSección],MATCH(ROW(Leccion[SubSección]),ROW(Leccion[SubSección]))),ROW(CA38))),"")</f>
        <v/>
      </c>
      <c r="CC39" s="51" t="str">
        <f t="array" aca="1" ref="CC39" ca="1">IFERROR(INDEX(Leccion[selectorLeccion],SMALL(IF(CC$1=Leccion[SubSección],MATCH(ROW(Leccion[SubSección]),ROW(Leccion[SubSección]))),ROW(CB38))),"")</f>
        <v/>
      </c>
      <c r="CD39" s="51" t="str">
        <f t="array" aca="1" ref="CD39" ca="1">IFERROR(INDEX(Leccion[selectorLeccion],SMALL(IF(CD$1=Leccion[SubSección],MATCH(ROW(Leccion[SubSección]),ROW(Leccion[SubSección]))),ROW(CC38))),"")</f>
        <v/>
      </c>
      <c r="CE39" s="51" t="str">
        <f t="array" aca="1" ref="CE39" ca="1">IFERROR(INDEX(Leccion[selectorLeccion],SMALL(IF(CE$1=Leccion[SubSección],MATCH(ROW(Leccion[SubSección]),ROW(Leccion[SubSección]))),ROW(CD38))),"")</f>
        <v/>
      </c>
      <c r="CF39" s="51" t="str">
        <f t="array" aca="1" ref="CF39" ca="1">IFERROR(INDEX(Leccion[selectorLeccion],SMALL(IF(CF$1=Leccion[SubSección],MATCH(ROW(Leccion[SubSección]),ROW(Leccion[SubSección]))),ROW(CE38))),"")</f>
        <v/>
      </c>
      <c r="CG39" s="51" t="str">
        <f t="array" aca="1" ref="CG39" ca="1">IFERROR(INDEX(Leccion[selectorLeccion],SMALL(IF(CG$1=Leccion[SubSección],MATCH(ROW(Leccion[SubSección]),ROW(Leccion[SubSección]))),ROW(CF38))),"")</f>
        <v/>
      </c>
      <c r="CH39" s="51" t="str">
        <f t="array" aca="1" ref="CH39" ca="1">IFERROR(INDEX(Leccion[selectorLeccion],SMALL(IF(CH$1=Leccion[SubSección],MATCH(ROW(Leccion[SubSección]),ROW(Leccion[SubSección]))),ROW(CG38))),"")</f>
        <v/>
      </c>
      <c r="CI39" s="51" t="str">
        <f t="array" aca="1" ref="CI39" ca="1">IFERROR(INDEX(Leccion[selectorLeccion],SMALL(IF(CI$1=Leccion[SubSección],MATCH(ROW(Leccion[SubSección]),ROW(Leccion[SubSección]))),ROW(CH38))),"")</f>
        <v/>
      </c>
      <c r="CJ39" s="51" t="str">
        <f t="array" aca="1" ref="CJ39" ca="1">IFERROR(INDEX(Leccion[selectorLeccion],SMALL(IF(CJ$1=Leccion[SubSección],MATCH(ROW(Leccion[SubSección]),ROW(Leccion[SubSección]))),ROW(CI38))),"")</f>
        <v/>
      </c>
      <c r="CK39" s="51" t="str">
        <f t="array" aca="1" ref="CK39" ca="1">IFERROR(INDEX(Leccion[selectorLeccion],SMALL(IF(CK$1=Leccion[SubSección],MATCH(ROW(Leccion[SubSección]),ROW(Leccion[SubSección]))),ROW(CJ38))),"")</f>
        <v/>
      </c>
      <c r="CL39" s="51" t="str">
        <f t="array" aca="1" ref="CL39" ca="1">IFERROR(INDEX(Leccion[selectorLeccion],SMALL(IF(CL$1=Leccion[SubSección],MATCH(ROW(Leccion[SubSección]),ROW(Leccion[SubSección]))),ROW(CK38))),"")</f>
        <v/>
      </c>
      <c r="CM39" s="51" t="str">
        <f t="array" aca="1" ref="CM39" ca="1">IFERROR(INDEX(Leccion[selectorLeccion],SMALL(IF(CM$1=Leccion[SubSección],MATCH(ROW(Leccion[SubSección]),ROW(Leccion[SubSección]))),ROW(CL38))),"")</f>
        <v/>
      </c>
      <c r="CN39" s="51" t="str">
        <f t="array" aca="1" ref="CN39" ca="1">IFERROR(INDEX(Leccion[selectorLeccion],SMALL(IF(CN$1=Leccion[SubSección],MATCH(ROW(Leccion[SubSección]),ROW(Leccion[SubSección]))),ROW(CM38))),"")</f>
        <v/>
      </c>
      <c r="CO39" s="51" t="str">
        <f t="array" aca="1" ref="CO39" ca="1">IFERROR(INDEX(Leccion[selectorLeccion],SMALL(IF(CO$1=Leccion[SubSección],MATCH(ROW(Leccion[SubSección]),ROW(Leccion[SubSección]))),ROW(CN38))),"")</f>
        <v/>
      </c>
      <c r="CP39" s="51" t="str">
        <f t="array" aca="1" ref="CP39" ca="1">IFERROR(INDEX(Leccion[selectorLeccion],SMALL(IF(CP$1=Leccion[SubSección],MATCH(ROW(Leccion[SubSección]),ROW(Leccion[SubSección]))),ROW(CO38))),"")</f>
        <v/>
      </c>
      <c r="CQ39" s="51" t="str">
        <f t="array" aca="1" ref="CQ39" ca="1">IFERROR(INDEX(Leccion[selectorLeccion],SMALL(IF(CQ$1=Leccion[SubSección],MATCH(ROW(Leccion[SubSección]),ROW(Leccion[SubSección]))),ROW(CP38))),"")</f>
        <v/>
      </c>
      <c r="CR39" s="51" t="str">
        <f t="array" aca="1" ref="CR39" ca="1">IFERROR(INDEX(Leccion[selectorLeccion],SMALL(IF(CR$1=Leccion[SubSección],MATCH(ROW(Leccion[SubSección]),ROW(Leccion[SubSección]))),ROW(CQ38))),"")</f>
        <v/>
      </c>
      <c r="CS39" s="51" t="str">
        <f t="array" aca="1" ref="CS39" ca="1">IFERROR(INDEX(Leccion[selectorLeccion],SMALL(IF(CS$1=Leccion[SubSección],MATCH(ROW(Leccion[SubSección]),ROW(Leccion[SubSección]))),ROW(CR38))),"")</f>
        <v/>
      </c>
      <c r="CT39" s="51" t="str">
        <f t="array" aca="1" ref="CT39" ca="1">IFERROR(INDEX(Leccion[selectorLeccion],SMALL(IF(CT$1=Leccion[SubSección],MATCH(ROW(Leccion[SubSección]),ROW(Leccion[SubSección]))),ROW(CS38))),"")</f>
        <v/>
      </c>
      <c r="CU39" s="51" t="str">
        <f t="array" aca="1" ref="CU39" ca="1">IFERROR(INDEX(Leccion[selectorLeccion],SMALL(IF(CU$1=Leccion[SubSección],MATCH(ROW(Leccion[SubSección]),ROW(Leccion[SubSección]))),ROW(CT38))),"")</f>
        <v/>
      </c>
      <c r="CV39" s="51" t="str">
        <f t="array" aca="1" ref="CV39" ca="1">IFERROR(INDEX(Leccion[selectorLeccion],SMALL(IF(CV$1=Leccion[SubSección],MATCH(ROW(Leccion[SubSección]),ROW(Leccion[SubSección]))),ROW(CU38))),"")</f>
        <v/>
      </c>
      <c r="CW39" s="51" t="str">
        <f t="array" aca="1" ref="CW39" ca="1">IFERROR(INDEX(Leccion[selectorLeccion],SMALL(IF(CW$1=Leccion[SubSección],MATCH(ROW(Leccion[SubSección]),ROW(Leccion[SubSección]))),ROW(CV38))),"")</f>
        <v/>
      </c>
      <c r="CX39" s="51" t="str">
        <f t="array" aca="1" ref="CX39" ca="1">IFERROR(INDEX(Leccion[selectorLeccion],SMALL(IF(CX$1=Leccion[SubSección],MATCH(ROW(Leccion[SubSección]),ROW(Leccion[SubSección]))),ROW(CW38))),"")</f>
        <v/>
      </c>
      <c r="CY39" s="51" t="str">
        <f t="array" aca="1" ref="CY39" ca="1">IFERROR(INDEX(Leccion[selectorLeccion],SMALL(IF(CY$1=Leccion[SubSección],MATCH(ROW(Leccion[SubSección]),ROW(Leccion[SubSección]))),ROW(CX38))),"")</f>
        <v/>
      </c>
      <c r="CZ39" s="51" t="str">
        <f t="array" aca="1" ref="CZ39" ca="1">IFERROR(INDEX(Leccion[selectorLeccion],SMALL(IF(CZ$1=Leccion[SubSección],MATCH(ROW(Leccion[SubSección]),ROW(Leccion[SubSección]))),ROW(CY38))),"")</f>
        <v/>
      </c>
      <c r="DA39" s="51" t="str">
        <f t="array" aca="1" ref="DA39" ca="1">IFERROR(INDEX(Leccion[selectorLeccion],SMALL(IF(DA$1=Leccion[SubSección],MATCH(ROW(Leccion[SubSección]),ROW(Leccion[SubSección]))),ROW(CZ38))),"")</f>
        <v/>
      </c>
      <c r="DB39" s="51" t="str">
        <f t="array" aca="1" ref="DB39" ca="1">IFERROR(INDEX(Leccion[selectorLeccion],SMALL(IF(DB$1=Leccion[SubSección],MATCH(ROW(Leccion[SubSección]),ROW(Leccion[SubSección]))),ROW(DA38))),"")</f>
        <v/>
      </c>
      <c r="DC39" s="51" t="str">
        <f t="array" aca="1" ref="DC39" ca="1">IFERROR(INDEX(Leccion[selectorLeccion],SMALL(IF(DC$1=Leccion[SubSección],MATCH(ROW(Leccion[SubSección]),ROW(Leccion[SubSección]))),ROW(DB38))),"")</f>
        <v/>
      </c>
      <c r="DD39" s="51" t="str">
        <f t="array" aca="1" ref="DD39" ca="1">IFERROR(INDEX(Leccion[selectorLeccion],SMALL(IF(DD$1=Leccion[SubSección],MATCH(ROW(Leccion[SubSección]),ROW(Leccion[SubSección]))),ROW(DC38))),"")</f>
        <v/>
      </c>
      <c r="DE39" s="51" t="str">
        <f t="array" aca="1" ref="DE39" ca="1">IFERROR(INDEX(Leccion[selectorLeccion],SMALL(IF(DE$1=Leccion[SubSección],MATCH(ROW(Leccion[SubSección]),ROW(Leccion[SubSección]))),ROW(DD38))),"")</f>
        <v/>
      </c>
      <c r="DF39" s="51" t="str">
        <f t="array" aca="1" ref="DF39" ca="1">IFERROR(INDEX(Leccion[selectorLeccion],SMALL(IF(DF$1=Leccion[SubSección],MATCH(ROW(Leccion[SubSección]),ROW(Leccion[SubSección]))),ROW(DE38))),"")</f>
        <v/>
      </c>
      <c r="DG39" s="51" t="str">
        <f t="array" aca="1" ref="DG39" ca="1">IFERROR(INDEX(Leccion[selectorLeccion],SMALL(IF(DG$1=Leccion[SubSección],MATCH(ROW(Leccion[SubSección]),ROW(Leccion[SubSección]))),ROW(DF38))),"")</f>
        <v/>
      </c>
      <c r="DH39" s="51" t="str">
        <f t="array" aca="1" ref="DH39" ca="1">IFERROR(INDEX(Leccion[selectorLeccion],SMALL(IF(DH$1=Leccion[SubSección],MATCH(ROW(Leccion[SubSección]),ROW(Leccion[SubSección]))),ROW(DG38))),"")</f>
        <v/>
      </c>
      <c r="DI39" s="51" t="str">
        <f t="array" aca="1" ref="DI39" ca="1">IFERROR(INDEX(Leccion[selectorLeccion],SMALL(IF(DI$1=Leccion[SubSección],MATCH(ROW(Leccion[SubSección]),ROW(Leccion[SubSección]))),ROW(DH38))),"")</f>
        <v/>
      </c>
      <c r="DJ39" s="51" t="str">
        <f t="array" aca="1" ref="DJ39" ca="1">IFERROR(INDEX(Leccion[selectorLeccion],SMALL(IF(DJ$1=Leccion[SubSección],MATCH(ROW(Leccion[SubSección]),ROW(Leccion[SubSección]))),ROW(DI38))),"")</f>
        <v/>
      </c>
      <c r="DK39" s="51" t="str">
        <f t="array" aca="1" ref="DK39" ca="1">IFERROR(INDEX(Leccion[selectorLeccion],SMALL(IF(DK$1=Leccion[SubSección],MATCH(ROW(Leccion[SubSección]),ROW(Leccion[SubSección]))),ROW(DJ38))),"")</f>
        <v/>
      </c>
      <c r="DL39" s="51" t="str">
        <f t="array" aca="1" ref="DL39" ca="1">IFERROR(INDEX(Leccion[selectorLeccion],SMALL(IF(DL$1=Leccion[SubSección],MATCH(ROW(Leccion[SubSección]),ROW(Leccion[SubSección]))),ROW(DK38))),"")</f>
        <v/>
      </c>
      <c r="DM39" s="51" t="str">
        <f t="array" aca="1" ref="DM39" ca="1">IFERROR(INDEX(Leccion[selectorLeccion],SMALL(IF(DM$1=Leccion[SubSección],MATCH(ROW(Leccion[SubSección]),ROW(Leccion[SubSección]))),ROW(DL38))),"")</f>
        <v/>
      </c>
      <c r="DN39" s="51" t="str">
        <f t="array" aca="1" ref="DN39" ca="1">IFERROR(INDEX(Leccion[selectorLeccion],SMALL(IF(DN$1=Leccion[SubSección],MATCH(ROW(Leccion[SubSección]),ROW(Leccion[SubSección]))),ROW(DM38))),"")</f>
        <v/>
      </c>
      <c r="DO39" s="51" t="str">
        <f t="array" aca="1" ref="DO39" ca="1">IFERROR(INDEX(Leccion[selectorLeccion],SMALL(IF(DO$1=Leccion[SubSección],MATCH(ROW(Leccion[SubSección]),ROW(Leccion[SubSección]))),ROW(DN38))),"")</f>
        <v/>
      </c>
      <c r="DP39" s="51" t="str">
        <f t="array" aca="1" ref="DP39" ca="1">IFERROR(INDEX(Leccion[selectorLeccion],SMALL(IF(DP$1=Leccion[SubSección],MATCH(ROW(Leccion[SubSección]),ROW(Leccion[SubSección]))),ROW(DO38))),"")</f>
        <v/>
      </c>
      <c r="DQ39" s="51" t="str">
        <f t="array" aca="1" ref="DQ39" ca="1">IFERROR(INDEX(Leccion[selectorLeccion],SMALL(IF(DQ$1=Leccion[SubSección],MATCH(ROW(Leccion[SubSección]),ROW(Leccion[SubSección]))),ROW(DP38))),"")</f>
        <v/>
      </c>
      <c r="DR39" s="51" t="str">
        <f t="array" aca="1" ref="DR39" ca="1">IFERROR(INDEX(Leccion[selectorLeccion],SMALL(IF(DR$1=Leccion[SubSección],MATCH(ROW(Leccion[SubSección]),ROW(Leccion[SubSección]))),ROW(DQ38))),"")</f>
        <v/>
      </c>
      <c r="DS39" s="51" t="str">
        <f t="array" aca="1" ref="DS39" ca="1">IFERROR(INDEX(Leccion[selectorLeccion],SMALL(IF(DS$1=Leccion[SubSección],MATCH(ROW(Leccion[SubSección]),ROW(Leccion[SubSección]))),ROW(DR38))),"")</f>
        <v/>
      </c>
      <c r="DT39" s="51" t="str">
        <f t="array" aca="1" ref="DT39" ca="1">IFERROR(INDEX(Leccion[selectorLeccion],SMALL(IF(DT$1=Leccion[SubSección],MATCH(ROW(Leccion[SubSección]),ROW(Leccion[SubSección]))),ROW(DS38))),"")</f>
        <v/>
      </c>
      <c r="DU39" s="51" t="str">
        <f t="array" aca="1" ref="DU39" ca="1">IFERROR(INDEX(Leccion[selectorLeccion],SMALL(IF(DU$1=Leccion[SubSección],MATCH(ROW(Leccion[SubSección]),ROW(Leccion[SubSección]))),ROW(DT38))),"")</f>
        <v/>
      </c>
      <c r="DV39" s="51" t="str">
        <f t="array" aca="1" ref="DV39" ca="1">IFERROR(INDEX(Leccion[selectorLeccion],SMALL(IF(DV$1=Leccion[SubSección],MATCH(ROW(Leccion[SubSección]),ROW(Leccion[SubSección]))),ROW(DU38))),"")</f>
        <v/>
      </c>
      <c r="DW39" s="51" t="str">
        <f t="array" aca="1" ref="DW39" ca="1">IFERROR(INDEX(Leccion[selectorLeccion],SMALL(IF(DW$1=Leccion[SubSección],MATCH(ROW(Leccion[SubSección]),ROW(Leccion[SubSección]))),ROW(DV38))),"")</f>
        <v/>
      </c>
      <c r="DX39" s="51" t="str">
        <f t="array" aca="1" ref="DX39" ca="1">IFERROR(INDEX(Leccion[selectorLeccion],SMALL(IF(DX$1=Leccion[SubSección],MATCH(ROW(Leccion[SubSección]),ROW(Leccion[SubSección]))),ROW(DW38))),"")</f>
        <v/>
      </c>
      <c r="DY39" s="51" t="str">
        <f t="array" aca="1" ref="DY39" ca="1">IFERROR(INDEX(Leccion[selectorLeccion],SMALL(IF(DY$1=Leccion[SubSección],MATCH(ROW(Leccion[SubSección]),ROW(Leccion[SubSección]))),ROW(DX38))),"")</f>
        <v/>
      </c>
      <c r="DZ39" s="51" t="str">
        <f t="array" aca="1" ref="DZ39" ca="1">IFERROR(INDEX(Leccion[selectorLeccion],SMALL(IF(DZ$1=Leccion[SubSección],MATCH(ROW(Leccion[SubSección]),ROW(Leccion[SubSección]))),ROW(DY38))),"")</f>
        <v/>
      </c>
      <c r="EA39" s="51" t="str">
        <f t="array" aca="1" ref="EA39" ca="1">IFERROR(INDEX(Leccion[selectorLeccion],SMALL(IF(EA$1=Leccion[SubSección],MATCH(ROW(Leccion[SubSección]),ROW(Leccion[SubSección]))),ROW(DZ38))),"")</f>
        <v/>
      </c>
      <c r="EB39" s="51" t="str">
        <f t="array" aca="1" ref="EB39" ca="1">IFERROR(INDEX(Leccion[selectorLeccion],SMALL(IF(EB$1=Leccion[SubSección],MATCH(ROW(Leccion[SubSección]),ROW(Leccion[SubSección]))),ROW(EA38))),"")</f>
        <v/>
      </c>
      <c r="EC39" s="51" t="str">
        <f t="array" aca="1" ref="EC39" ca="1">IFERROR(INDEX(Leccion[selectorLeccion],SMALL(IF(EC$1=Leccion[SubSección],MATCH(ROW(Leccion[SubSección]),ROW(Leccion[SubSección]))),ROW(EB38))),"")</f>
        <v/>
      </c>
      <c r="ED39" s="51" t="str">
        <f t="array" aca="1" ref="ED39" ca="1">IFERROR(INDEX(Leccion[selectorLeccion],SMALL(IF(ED$1=Leccion[SubSección],MATCH(ROW(Leccion[SubSección]),ROW(Leccion[SubSección]))),ROW(EC38))),"")</f>
        <v/>
      </c>
      <c r="EE39" s="51" t="str">
        <f t="array" aca="1" ref="EE39" ca="1">IFERROR(INDEX(Leccion[selectorLeccion],SMALL(IF(EE$1=Leccion[SubSección],MATCH(ROW(Leccion[SubSección]),ROW(Leccion[SubSección]))),ROW(ED38))),"")</f>
        <v/>
      </c>
      <c r="EF39" s="51" t="str">
        <f t="array" aca="1" ref="EF39" ca="1">IFERROR(INDEX(Leccion[selectorLeccion],SMALL(IF(EF$1=Leccion[SubSección],MATCH(ROW(Leccion[SubSección]),ROW(Leccion[SubSección]))),ROW(EE38))),"")</f>
        <v/>
      </c>
      <c r="EG39" s="51" t="str">
        <f t="array" aca="1" ref="EG39" ca="1">IFERROR(INDEX(Leccion[selectorLeccion],SMALL(IF(EG$1=Leccion[SubSección],MATCH(ROW(Leccion[SubSección]),ROW(Leccion[SubSección]))),ROW(EF38))),"")</f>
        <v/>
      </c>
      <c r="EH39" s="51" t="str">
        <f t="array" aca="1" ref="EH39" ca="1">IFERROR(INDEX(Leccion[selectorLeccion],SMALL(IF(EH$1=Leccion[SubSección],MATCH(ROW(Leccion[SubSección]),ROW(Leccion[SubSección]))),ROW(EG38))),"")</f>
        <v/>
      </c>
      <c r="EI39" s="51" t="str">
        <f t="array" aca="1" ref="EI39" ca="1">IFERROR(INDEX(Leccion[selectorLeccion],SMALL(IF(EI$1=Leccion[SubSección],MATCH(ROW(Leccion[SubSección]),ROW(Leccion[SubSección]))),ROW(EH38))),"")</f>
        <v/>
      </c>
      <c r="EJ39" s="51" t="str">
        <f t="array" aca="1" ref="EJ39" ca="1">IFERROR(INDEX(Leccion[selectorLeccion],SMALL(IF(EJ$1=Leccion[SubSección],MATCH(ROW(Leccion[SubSección]),ROW(Leccion[SubSección]))),ROW(EI38))),"")</f>
        <v/>
      </c>
      <c r="EK39" s="51" t="str">
        <f t="array" aca="1" ref="EK39" ca="1">IFERROR(INDEX(Leccion[selectorLeccion],SMALL(IF(EK$1=Leccion[SubSección],MATCH(ROW(Leccion[SubSección]),ROW(Leccion[SubSección]))),ROW(EJ38))),"")</f>
        <v/>
      </c>
      <c r="EL39" s="51" t="str">
        <f t="array" aca="1" ref="EL39" ca="1">IFERROR(INDEX(Leccion[selectorLeccion],SMALL(IF(EL$1=Leccion[SubSección],MATCH(ROW(Leccion[SubSección]),ROW(Leccion[SubSección]))),ROW(EK38))),"")</f>
        <v/>
      </c>
      <c r="EM39" s="51" t="str">
        <f t="array" aca="1" ref="EM39" ca="1">IFERROR(INDEX(Leccion[selectorLeccion],SMALL(IF(EM$1=Leccion[SubSección],MATCH(ROW(Leccion[SubSección]),ROW(Leccion[SubSección]))),ROW(EL38))),"")</f>
        <v/>
      </c>
      <c r="EN39" s="51" t="str">
        <f t="array" aca="1" ref="EN39" ca="1">IFERROR(INDEX(Leccion[selectorLeccion],SMALL(IF(EN$1=Leccion[SubSección],MATCH(ROW(Leccion[SubSección]),ROW(Leccion[SubSección]))),ROW(EM38))),"")</f>
        <v/>
      </c>
      <c r="EO39" s="51" t="str">
        <f t="array" aca="1" ref="EO39" ca="1">IFERROR(INDEX(Leccion[selectorLeccion],SMALL(IF(EO$1=Leccion[SubSección],MATCH(ROW(Leccion[SubSección]),ROW(Leccion[SubSección]))),ROW(EN38))),"")</f>
        <v/>
      </c>
      <c r="EP39" s="51" t="str">
        <f t="array" aca="1" ref="EP39" ca="1">IFERROR(INDEX(Leccion[selectorLeccion],SMALL(IF(EP$1=Leccion[SubSección],MATCH(ROW(Leccion[SubSección]),ROW(Leccion[SubSección]))),ROW(EO38))),"")</f>
        <v/>
      </c>
      <c r="EQ39" s="51" t="str">
        <f t="array" aca="1" ref="EQ39" ca="1">IFERROR(INDEX(Leccion[selectorLeccion],SMALL(IF(EQ$1=Leccion[SubSección],MATCH(ROW(Leccion[SubSección]),ROW(Leccion[SubSección]))),ROW(EP38))),"")</f>
        <v/>
      </c>
      <c r="ER39" s="51" t="str">
        <f t="array" aca="1" ref="ER39" ca="1">IFERROR(INDEX(Leccion[selectorLeccion],SMALL(IF(ER$1=Leccion[SubSección],MATCH(ROW(Leccion[SubSección]),ROW(Leccion[SubSección]))),ROW(EQ38))),"")</f>
        <v/>
      </c>
      <c r="ES39" s="51" t="str">
        <f t="array" aca="1" ref="ES39" ca="1">IFERROR(INDEX(Leccion[selectorLeccion],SMALL(IF(ES$1=Leccion[SubSección],MATCH(ROW(Leccion[SubSección]),ROW(Leccion[SubSección]))),ROW(ER38))),"")</f>
        <v/>
      </c>
      <c r="ET39" s="51" t="str">
        <f t="array" aca="1" ref="ET39" ca="1">IFERROR(INDEX(Leccion[selectorLeccion],SMALL(IF(ET$1=Leccion[SubSección],MATCH(ROW(Leccion[SubSección]),ROW(Leccion[SubSección]))),ROW(ES38))),"")</f>
        <v/>
      </c>
      <c r="EU39" s="51" t="str">
        <f t="array" aca="1" ref="EU39" ca="1">IFERROR(INDEX(Leccion[selectorLeccion],SMALL(IF(EU$1=Leccion[SubSección],MATCH(ROW(Leccion[SubSección]),ROW(Leccion[SubSección]))),ROW(ET38))),"")</f>
        <v/>
      </c>
      <c r="EV39" s="51" t="str">
        <f t="array" aca="1" ref="EV39" ca="1">IFERROR(INDEX(Leccion[selectorLeccion],SMALL(IF(EV$1=Leccion[SubSección],MATCH(ROW(Leccion[SubSección]),ROW(Leccion[SubSección]))),ROW(EU38))),"")</f>
        <v/>
      </c>
      <c r="EW39" s="51" t="str">
        <f t="array" aca="1" ref="EW39" ca="1">IFERROR(INDEX(Leccion[selectorLeccion],SMALL(IF(EW$1=Leccion[SubSección],MATCH(ROW(Leccion[SubSección]),ROW(Leccion[SubSección]))),ROW(EV38))),"")</f>
        <v/>
      </c>
      <c r="EX39" s="51" t="str">
        <f t="array" aca="1" ref="EX39" ca="1">IFERROR(INDEX(Leccion[selectorLeccion],SMALL(IF(EX$1=Leccion[SubSección],MATCH(ROW(Leccion[SubSección]),ROW(Leccion[SubSección]))),ROW(EW38))),"")</f>
        <v/>
      </c>
      <c r="EY39" s="51" t="str">
        <f t="array" aca="1" ref="EY39" ca="1">IFERROR(INDEX(Leccion[selectorLeccion],SMALL(IF(EY$1=Leccion[SubSección],MATCH(ROW(Leccion[SubSección]),ROW(Leccion[SubSección]))),ROW(EX38))),"")</f>
        <v/>
      </c>
      <c r="EZ39" s="51" t="str">
        <f t="array" aca="1" ref="EZ39" ca="1">IFERROR(INDEX(Leccion[selectorLeccion],SMALL(IF(EZ$1=Leccion[SubSección],MATCH(ROW(Leccion[SubSección]),ROW(Leccion[SubSección]))),ROW(EY38))),"")</f>
        <v/>
      </c>
    </row>
    <row r="40" spans="2:156" x14ac:dyDescent="0.3">
      <c r="B40" s="51" t="str">
        <f t="array" aca="1" ref="B40" ca="1">IFERROR(INDEX(Leccion[selectorLeccion],SMALL(IF(B$1=Leccion[SubSección],MATCH(ROW(Leccion[SubSección]),ROW(Leccion[SubSección]))),ROW(A39))),"")</f>
        <v/>
      </c>
      <c r="C40" s="51" t="str">
        <f t="array" aca="1" ref="C40" ca="1">IFERROR(INDEX(Leccion[selectorLeccion],SMALL(IF(C$1=Leccion[SubSección],MATCH(ROW(Leccion[SubSección]),ROW(Leccion[SubSección]))),ROW(B39))),"")</f>
        <v/>
      </c>
      <c r="D40" s="51" t="str">
        <f t="array" aca="1" ref="D40" ca="1">IFERROR(INDEX(Leccion[selectorLeccion],SMALL(IF(D$1=Leccion[SubSección],MATCH(ROW(Leccion[SubSección]),ROW(Leccion[SubSección]))),ROW(C39))),"")</f>
        <v/>
      </c>
      <c r="E40" s="51" t="str">
        <f t="array" aca="1" ref="E40" ca="1">IFERROR(INDEX(Leccion[selectorLeccion],SMALL(IF(E$1=Leccion[SubSección],MATCH(ROW(Leccion[SubSección]),ROW(Leccion[SubSección]))),ROW(D39))),"")</f>
        <v/>
      </c>
      <c r="F40" s="51" t="str">
        <f t="array" aca="1" ref="F40" ca="1">IFERROR(INDEX(Leccion[selectorLeccion],SMALL(IF(F$1=Leccion[SubSección],MATCH(ROW(Leccion[SubSección]),ROW(Leccion[SubSección]))),ROW(E39))),"")</f>
        <v/>
      </c>
      <c r="G40" s="51" t="str">
        <f t="array" aca="1" ref="G40" ca="1">IFERROR(INDEX(Leccion[selectorLeccion],SMALL(IF(G$1=Leccion[SubSección],MATCH(ROW(Leccion[SubSección]),ROW(Leccion[SubSección]))),ROW(F39))),"")</f>
        <v/>
      </c>
      <c r="H40" s="51" t="str">
        <f t="array" aca="1" ref="H40" ca="1">IFERROR(INDEX(Leccion[selectorLeccion],SMALL(IF(H$1=Leccion[SubSección],MATCH(ROW(Leccion[SubSección]),ROW(Leccion[SubSección]))),ROW(G39))),"")</f>
        <v/>
      </c>
      <c r="I40" s="51" t="str">
        <f t="array" aca="1" ref="I40" ca="1">IFERROR(INDEX(Leccion[selectorLeccion],SMALL(IF(I$1=Leccion[SubSección],MATCH(ROW(Leccion[SubSección]),ROW(Leccion[SubSección]))),ROW(H39))),"")</f>
        <v/>
      </c>
      <c r="J40" s="51" t="str">
        <f t="array" aca="1" ref="J40" ca="1">IFERROR(INDEX(Leccion[selectorLeccion],SMALL(IF(J$1=Leccion[SubSección],MATCH(ROW(Leccion[SubSección]),ROW(Leccion[SubSección]))),ROW(I39))),"")</f>
        <v/>
      </c>
      <c r="K40" s="51" t="str">
        <f t="array" aca="1" ref="K40" ca="1">IFERROR(INDEX(Leccion[selectorLeccion],SMALL(IF(K$1=Leccion[SubSección],MATCH(ROW(Leccion[SubSección]),ROW(Leccion[SubSección]))),ROW(J39))),"")</f>
        <v/>
      </c>
      <c r="L40" s="51" t="str">
        <f t="array" aca="1" ref="L40" ca="1">IFERROR(INDEX(Leccion[selectorLeccion],SMALL(IF(L$1=Leccion[SubSección],MATCH(ROW(Leccion[SubSección]),ROW(Leccion[SubSección]))),ROW(K39))),"")</f>
        <v/>
      </c>
      <c r="M40" s="51" t="str">
        <f t="array" aca="1" ref="M40" ca="1">IFERROR(INDEX(Leccion[selectorLeccion],SMALL(IF(M$1=Leccion[SubSección],MATCH(ROW(Leccion[SubSección]),ROW(Leccion[SubSección]))),ROW(L39))),"")</f>
        <v/>
      </c>
      <c r="N40" s="51" t="str">
        <f t="array" aca="1" ref="N40" ca="1">IFERROR(INDEX(Leccion[selectorLeccion],SMALL(IF(N$1=Leccion[SubSección],MATCH(ROW(Leccion[SubSección]),ROW(Leccion[SubSección]))),ROW(M39))),"")</f>
        <v/>
      </c>
      <c r="O40" s="51" t="str">
        <f t="array" aca="1" ref="O40" ca="1">IFERROR(INDEX(Leccion[selectorLeccion],SMALL(IF(O$1=Leccion[SubSección],MATCH(ROW(Leccion[SubSección]),ROW(Leccion[SubSección]))),ROW(N39))),"")</f>
        <v/>
      </c>
      <c r="P40" s="51" t="str">
        <f t="array" aca="1" ref="P40" ca="1">IFERROR(INDEX(Leccion[selectorLeccion],SMALL(IF(P$1=Leccion[SubSección],MATCH(ROW(Leccion[SubSección]),ROW(Leccion[SubSección]))),ROW(O39))),"")</f>
        <v/>
      </c>
      <c r="Q40" s="51" t="str">
        <f t="array" aca="1" ref="Q40" ca="1">IFERROR(INDEX(Leccion[selectorLeccion],SMALL(IF(Q$1=Leccion[SubSección],MATCH(ROW(Leccion[SubSección]),ROW(Leccion[SubSección]))),ROW(P39))),"")</f>
        <v/>
      </c>
      <c r="R40" s="51" t="str">
        <f t="array" aca="1" ref="R40" ca="1">IFERROR(INDEX(Leccion[selectorLeccion],SMALL(IF(R$1=Leccion[SubSección],MATCH(ROW(Leccion[SubSección]),ROW(Leccion[SubSección]))),ROW(Q39))),"")</f>
        <v/>
      </c>
      <c r="S40" s="51" t="str">
        <f t="array" aca="1" ref="S40" ca="1">IFERROR(INDEX(Leccion[selectorLeccion],SMALL(IF(S$1=Leccion[SubSección],MATCH(ROW(Leccion[SubSección]),ROW(Leccion[SubSección]))),ROW(R39))),"")</f>
        <v/>
      </c>
      <c r="T40" s="51" t="str">
        <f t="array" aca="1" ref="T40" ca="1">IFERROR(INDEX(Leccion[selectorLeccion],SMALL(IF(T$1=Leccion[SubSección],MATCH(ROW(Leccion[SubSección]),ROW(Leccion[SubSección]))),ROW(S39))),"")</f>
        <v/>
      </c>
      <c r="U40" s="51" t="str">
        <f t="array" aca="1" ref="U40" ca="1">IFERROR(INDEX(Leccion[selectorLeccion],SMALL(IF(U$1=Leccion[SubSección],MATCH(ROW(Leccion[SubSección]),ROW(Leccion[SubSección]))),ROW(T39))),"")</f>
        <v/>
      </c>
      <c r="V40" s="51" t="str">
        <f t="array" aca="1" ref="V40" ca="1">IFERROR(INDEX(Leccion[selectorLeccion],SMALL(IF(V$1=Leccion[SubSección],MATCH(ROW(Leccion[SubSección]),ROW(Leccion[SubSección]))),ROW(U39))),"")</f>
        <v/>
      </c>
      <c r="W40" s="51" t="str">
        <f t="array" aca="1" ref="W40" ca="1">IFERROR(INDEX(Leccion[selectorLeccion],SMALL(IF(W$1=Leccion[SubSección],MATCH(ROW(Leccion[SubSección]),ROW(Leccion[SubSección]))),ROW(V39))),"")</f>
        <v/>
      </c>
      <c r="X40" s="51" t="str">
        <f t="array" aca="1" ref="X40" ca="1">IFERROR(INDEX(Leccion[selectorLeccion],SMALL(IF(X$1=Leccion[SubSección],MATCH(ROW(Leccion[SubSección]),ROW(Leccion[SubSección]))),ROW(W39))),"")</f>
        <v/>
      </c>
      <c r="Y40" s="51" t="str">
        <f t="array" aca="1" ref="Y40" ca="1">IFERROR(INDEX(Leccion[selectorLeccion],SMALL(IF(Y$1=Leccion[SubSección],MATCH(ROW(Leccion[SubSección]),ROW(Leccion[SubSección]))),ROW(X39))),"")</f>
        <v/>
      </c>
      <c r="Z40" s="51" t="str">
        <f t="array" aca="1" ref="Z40" ca="1">IFERROR(INDEX(Leccion[selectorLeccion],SMALL(IF(Z$1=Leccion[SubSección],MATCH(ROW(Leccion[SubSección]),ROW(Leccion[SubSección]))),ROW(Y39))),"")</f>
        <v/>
      </c>
      <c r="AA40" s="51" t="str">
        <f t="array" aca="1" ref="AA40" ca="1">IFERROR(INDEX(Leccion[selectorLeccion],SMALL(IF(AA$1=Leccion[SubSección],MATCH(ROW(Leccion[SubSección]),ROW(Leccion[SubSección]))),ROW(Z39))),"")</f>
        <v/>
      </c>
      <c r="AB40" s="51" t="str">
        <f t="array" aca="1" ref="AB40" ca="1">IFERROR(INDEX(Leccion[selectorLeccion],SMALL(IF(AB$1=Leccion[SubSección],MATCH(ROW(Leccion[SubSección]),ROW(Leccion[SubSección]))),ROW(AA39))),"")</f>
        <v/>
      </c>
      <c r="AC40" s="51" t="str">
        <f t="array" aca="1" ref="AC40" ca="1">IFERROR(INDEX(Leccion[selectorLeccion],SMALL(IF(AC$1=Leccion[SubSección],MATCH(ROW(Leccion[SubSección]),ROW(Leccion[SubSección]))),ROW(AB39))),"")</f>
        <v/>
      </c>
      <c r="AD40" s="51" t="str">
        <f t="array" aca="1" ref="AD40" ca="1">IFERROR(INDEX(Leccion[selectorLeccion],SMALL(IF(AD$1=Leccion[SubSección],MATCH(ROW(Leccion[SubSección]),ROW(Leccion[SubSección]))),ROW(AC39))),"")</f>
        <v/>
      </c>
      <c r="AE40" s="51" t="str">
        <f t="array" aca="1" ref="AE40" ca="1">IFERROR(INDEX(Leccion[selectorLeccion],SMALL(IF(AE$1=Leccion[SubSección],MATCH(ROW(Leccion[SubSección]),ROW(Leccion[SubSección]))),ROW(AD39))),"")</f>
        <v/>
      </c>
      <c r="AF40" s="51" t="str">
        <f t="array" aca="1" ref="AF40" ca="1">IFERROR(INDEX(Leccion[selectorLeccion],SMALL(IF(AF$1=Leccion[SubSección],MATCH(ROW(Leccion[SubSección]),ROW(Leccion[SubSección]))),ROW(AE39))),"")</f>
        <v/>
      </c>
      <c r="AG40" s="51" t="str">
        <f t="array" aca="1" ref="AG40" ca="1">IFERROR(INDEX(Leccion[selectorLeccion],SMALL(IF(AG$1=Leccion[SubSección],MATCH(ROW(Leccion[SubSección]),ROW(Leccion[SubSección]))),ROW(AF39))),"")</f>
        <v/>
      </c>
      <c r="AH40" s="51" t="str">
        <f t="array" aca="1" ref="AH40" ca="1">IFERROR(INDEX(Leccion[selectorLeccion],SMALL(IF(AH$1=Leccion[SubSección],MATCH(ROW(Leccion[SubSección]),ROW(Leccion[SubSección]))),ROW(AG39))),"")</f>
        <v/>
      </c>
      <c r="AI40" s="51" t="str">
        <f t="array" aca="1" ref="AI40" ca="1">IFERROR(INDEX(Leccion[selectorLeccion],SMALL(IF(AI$1=Leccion[SubSección],MATCH(ROW(Leccion[SubSección]),ROW(Leccion[SubSección]))),ROW(AH39))),"")</f>
        <v/>
      </c>
      <c r="AJ40" s="51" t="str">
        <f t="array" aca="1" ref="AJ40" ca="1">IFERROR(INDEX(Leccion[selectorLeccion],SMALL(IF(AJ$1=Leccion[SubSección],MATCH(ROW(Leccion[SubSección]),ROW(Leccion[SubSección]))),ROW(AI39))),"")</f>
        <v/>
      </c>
      <c r="AK40" s="51" t="str">
        <f t="array" aca="1" ref="AK40" ca="1">IFERROR(INDEX(Leccion[selectorLeccion],SMALL(IF(AK$1=Leccion[SubSección],MATCH(ROW(Leccion[SubSección]),ROW(Leccion[SubSección]))),ROW(AJ39))),"")</f>
        <v/>
      </c>
      <c r="AL40" s="51" t="str">
        <f t="array" aca="1" ref="AL40" ca="1">IFERROR(INDEX(Leccion[selectorLeccion],SMALL(IF(AL$1=Leccion[SubSección],MATCH(ROW(Leccion[SubSección]),ROW(Leccion[SubSección]))),ROW(AK39))),"")</f>
        <v/>
      </c>
      <c r="AM40" s="51" t="str">
        <f t="array" aca="1" ref="AM40" ca="1">IFERROR(INDEX(Leccion[selectorLeccion],SMALL(IF(AM$1=Leccion[SubSección],MATCH(ROW(Leccion[SubSección]),ROW(Leccion[SubSección]))),ROW(AL39))),"")</f>
        <v/>
      </c>
      <c r="AN40" s="51" t="str">
        <f t="array" aca="1" ref="AN40" ca="1">IFERROR(INDEX(Leccion[selectorLeccion],SMALL(IF(AN$1=Leccion[SubSección],MATCH(ROW(Leccion[SubSección]),ROW(Leccion[SubSección]))),ROW(AM39))),"")</f>
        <v/>
      </c>
      <c r="AO40" s="51" t="str">
        <f t="array" aca="1" ref="AO40" ca="1">IFERROR(INDEX(Leccion[selectorLeccion],SMALL(IF(AO$1=Leccion[SubSección],MATCH(ROW(Leccion[SubSección]),ROW(Leccion[SubSección]))),ROW(AN39))),"")</f>
        <v/>
      </c>
      <c r="AP40" s="51" t="str">
        <f t="array" aca="1" ref="AP40" ca="1">IFERROR(INDEX(Leccion[selectorLeccion],SMALL(IF(AP$1=Leccion[SubSección],MATCH(ROW(Leccion[SubSección]),ROW(Leccion[SubSección]))),ROW(AO39))),"")</f>
        <v/>
      </c>
      <c r="AQ40" s="51" t="str">
        <f t="array" aca="1" ref="AQ40" ca="1">IFERROR(INDEX(Leccion[selectorLeccion],SMALL(IF(AQ$1=Leccion[SubSección],MATCH(ROW(Leccion[SubSección]),ROW(Leccion[SubSección]))),ROW(AP39))),"")</f>
        <v/>
      </c>
      <c r="AR40" s="51" t="str">
        <f t="array" aca="1" ref="AR40" ca="1">IFERROR(INDEX(Leccion[selectorLeccion],SMALL(IF(AR$1=Leccion[SubSección],MATCH(ROW(Leccion[SubSección]),ROW(Leccion[SubSección]))),ROW(AQ39))),"")</f>
        <v/>
      </c>
      <c r="AS40" s="51" t="str">
        <f t="array" aca="1" ref="AS40" ca="1">IFERROR(INDEX(Leccion[selectorLeccion],SMALL(IF(AS$1=Leccion[SubSección],MATCH(ROW(Leccion[SubSección]),ROW(Leccion[SubSección]))),ROW(AR39))),"")</f>
        <v/>
      </c>
      <c r="AT40" s="51" t="str">
        <f t="array" aca="1" ref="AT40" ca="1">IFERROR(INDEX(Leccion[selectorLeccion],SMALL(IF(AT$1=Leccion[SubSección],MATCH(ROW(Leccion[SubSección]),ROW(Leccion[SubSección]))),ROW(AS39))),"")</f>
        <v/>
      </c>
      <c r="AU40" s="51" t="str">
        <f t="array" aca="1" ref="AU40" ca="1">IFERROR(INDEX(Leccion[selectorLeccion],SMALL(IF(AU$1=Leccion[SubSección],MATCH(ROW(Leccion[SubSección]),ROW(Leccion[SubSección]))),ROW(AT39))),"")</f>
        <v/>
      </c>
      <c r="AV40" s="51" t="str">
        <f t="array" aca="1" ref="AV40" ca="1">IFERROR(INDEX(Leccion[selectorLeccion],SMALL(IF(AV$1=Leccion[SubSección],MATCH(ROW(Leccion[SubSección]),ROW(Leccion[SubSección]))),ROW(AU39))),"")</f>
        <v/>
      </c>
      <c r="AW40" s="51" t="str">
        <f t="array" aca="1" ref="AW40" ca="1">IFERROR(INDEX(Leccion[selectorLeccion],SMALL(IF(AW$1=Leccion[SubSección],MATCH(ROW(Leccion[SubSección]),ROW(Leccion[SubSección]))),ROW(AV39))),"")</f>
        <v/>
      </c>
      <c r="AX40" s="51" t="str">
        <f t="array" aca="1" ref="AX40" ca="1">IFERROR(INDEX(Leccion[selectorLeccion],SMALL(IF(AX$1=Leccion[SubSección],MATCH(ROW(Leccion[SubSección]),ROW(Leccion[SubSección]))),ROW(AW39))),"")</f>
        <v/>
      </c>
      <c r="AY40" s="51" t="str">
        <f t="array" aca="1" ref="AY40" ca="1">IFERROR(INDEX(Leccion[selectorLeccion],SMALL(IF(AY$1=Leccion[SubSección],MATCH(ROW(Leccion[SubSección]),ROW(Leccion[SubSección]))),ROW(AX39))),"")</f>
        <v/>
      </c>
      <c r="AZ40" s="51" t="str">
        <f t="array" aca="1" ref="AZ40" ca="1">IFERROR(INDEX(Leccion[selectorLeccion],SMALL(IF(AZ$1=Leccion[SubSección],MATCH(ROW(Leccion[SubSección]),ROW(Leccion[SubSección]))),ROW(AY39))),"")</f>
        <v/>
      </c>
      <c r="BA40" s="51" t="str">
        <f t="array" aca="1" ref="BA40" ca="1">IFERROR(INDEX(Leccion[selectorLeccion],SMALL(IF(BA$1=Leccion[SubSección],MATCH(ROW(Leccion[SubSección]),ROW(Leccion[SubSección]))),ROW(AZ39))),"")</f>
        <v/>
      </c>
      <c r="BB40" s="51" t="str">
        <f t="array" aca="1" ref="BB40" ca="1">IFERROR(INDEX(Leccion[selectorLeccion],SMALL(IF(BB$1=Leccion[SubSección],MATCH(ROW(Leccion[SubSección]),ROW(Leccion[SubSección]))),ROW(BA39))),"")</f>
        <v/>
      </c>
      <c r="BC40" s="51" t="str">
        <f t="array" aca="1" ref="BC40" ca="1">IFERROR(INDEX(Leccion[selectorLeccion],SMALL(IF(BC$1=Leccion[SubSección],MATCH(ROW(Leccion[SubSección]),ROW(Leccion[SubSección]))),ROW(BB39))),"")</f>
        <v/>
      </c>
      <c r="BD40" s="51" t="str">
        <f t="array" aca="1" ref="BD40" ca="1">IFERROR(INDEX(Leccion[selectorLeccion],SMALL(IF(BD$1=Leccion[SubSección],MATCH(ROW(Leccion[SubSección]),ROW(Leccion[SubSección]))),ROW(BC39))),"")</f>
        <v/>
      </c>
      <c r="BE40" s="51" t="str">
        <f t="array" aca="1" ref="BE40" ca="1">IFERROR(INDEX(Leccion[selectorLeccion],SMALL(IF(BE$1=Leccion[SubSección],MATCH(ROW(Leccion[SubSección]),ROW(Leccion[SubSección]))),ROW(BD39))),"")</f>
        <v/>
      </c>
      <c r="BF40" s="51" t="str">
        <f t="array" aca="1" ref="BF40" ca="1">IFERROR(INDEX(Leccion[selectorLeccion],SMALL(IF(BF$1=Leccion[SubSección],MATCH(ROW(Leccion[SubSección]),ROW(Leccion[SubSección]))),ROW(BE39))),"")</f>
        <v/>
      </c>
      <c r="BG40" s="51" t="str">
        <f t="array" aca="1" ref="BG40" ca="1">IFERROR(INDEX(Leccion[selectorLeccion],SMALL(IF(BG$1=Leccion[SubSección],MATCH(ROW(Leccion[SubSección]),ROW(Leccion[SubSección]))),ROW(BF39))),"")</f>
        <v/>
      </c>
      <c r="BH40" s="51" t="str">
        <f t="array" aca="1" ref="BH40" ca="1">IFERROR(INDEX(Leccion[selectorLeccion],SMALL(IF(BH$1=Leccion[SubSección],MATCH(ROW(Leccion[SubSección]),ROW(Leccion[SubSección]))),ROW(BG39))),"")</f>
        <v/>
      </c>
      <c r="BI40" s="51" t="str">
        <f t="array" aca="1" ref="BI40" ca="1">IFERROR(INDEX(Leccion[selectorLeccion],SMALL(IF(BI$1=Leccion[SubSección],MATCH(ROW(Leccion[SubSección]),ROW(Leccion[SubSección]))),ROW(BH39))),"")</f>
        <v/>
      </c>
      <c r="BJ40" s="51" t="str">
        <f t="array" aca="1" ref="BJ40" ca="1">IFERROR(INDEX(Leccion[selectorLeccion],SMALL(IF(BJ$1=Leccion[SubSección],MATCH(ROW(Leccion[SubSección]),ROW(Leccion[SubSección]))),ROW(BI39))),"")</f>
        <v/>
      </c>
      <c r="BK40" s="51" t="str">
        <f t="array" aca="1" ref="BK40" ca="1">IFERROR(INDEX(Leccion[selectorLeccion],SMALL(IF(BK$1=Leccion[SubSección],MATCH(ROW(Leccion[SubSección]),ROW(Leccion[SubSección]))),ROW(BJ39))),"")</f>
        <v/>
      </c>
      <c r="BL40" s="51" t="str">
        <f t="array" aca="1" ref="BL40" ca="1">IFERROR(INDEX(Leccion[selectorLeccion],SMALL(IF(BL$1=Leccion[SubSección],MATCH(ROW(Leccion[SubSección]),ROW(Leccion[SubSección]))),ROW(BK39))),"")</f>
        <v/>
      </c>
      <c r="BM40" s="51" t="str">
        <f t="array" aca="1" ref="BM40" ca="1">IFERROR(INDEX(Leccion[selectorLeccion],SMALL(IF(BM$1=Leccion[SubSección],MATCH(ROW(Leccion[SubSección]),ROW(Leccion[SubSección]))),ROW(BL39))),"")</f>
        <v/>
      </c>
      <c r="BN40" s="51" t="str">
        <f t="array" aca="1" ref="BN40" ca="1">IFERROR(INDEX(Leccion[selectorLeccion],SMALL(IF(BN$1=Leccion[SubSección],MATCH(ROW(Leccion[SubSección]),ROW(Leccion[SubSección]))),ROW(BM39))),"")</f>
        <v/>
      </c>
      <c r="BO40" s="51" t="str">
        <f t="array" aca="1" ref="BO40" ca="1">IFERROR(INDEX(Leccion[selectorLeccion],SMALL(IF(BO$1=Leccion[SubSección],MATCH(ROW(Leccion[SubSección]),ROW(Leccion[SubSección]))),ROW(BN39))),"")</f>
        <v/>
      </c>
      <c r="BP40" s="51" t="str">
        <f t="array" aca="1" ref="BP40" ca="1">IFERROR(INDEX(Leccion[selectorLeccion],SMALL(IF(BP$1=Leccion[SubSección],MATCH(ROW(Leccion[SubSección]),ROW(Leccion[SubSección]))),ROW(BO39))),"")</f>
        <v/>
      </c>
      <c r="BQ40" s="51" t="str">
        <f t="array" aca="1" ref="BQ40" ca="1">IFERROR(INDEX(Leccion[selectorLeccion],SMALL(IF(BQ$1=Leccion[SubSección],MATCH(ROW(Leccion[SubSección]),ROW(Leccion[SubSección]))),ROW(BP39))),"")</f>
        <v/>
      </c>
      <c r="BR40" s="51" t="str">
        <f t="array" aca="1" ref="BR40" ca="1">IFERROR(INDEX(Leccion[selectorLeccion],SMALL(IF(BR$1=Leccion[SubSección],MATCH(ROW(Leccion[SubSección]),ROW(Leccion[SubSección]))),ROW(BQ39))),"")</f>
        <v/>
      </c>
      <c r="BS40" s="51" t="str">
        <f t="array" aca="1" ref="BS40" ca="1">IFERROR(INDEX(Leccion[selectorLeccion],SMALL(IF(BS$1=Leccion[SubSección],MATCH(ROW(Leccion[SubSección]),ROW(Leccion[SubSección]))),ROW(BR39))),"")</f>
        <v/>
      </c>
      <c r="BT40" s="51" t="str">
        <f t="array" aca="1" ref="BT40" ca="1">IFERROR(INDEX(Leccion[selectorLeccion],SMALL(IF(BT$1=Leccion[SubSección],MATCH(ROW(Leccion[SubSección]),ROW(Leccion[SubSección]))),ROW(BS39))),"")</f>
        <v/>
      </c>
      <c r="BU40" s="51" t="str">
        <f t="array" aca="1" ref="BU40" ca="1">IFERROR(INDEX(Leccion[selectorLeccion],SMALL(IF(BU$1=Leccion[SubSección],MATCH(ROW(Leccion[SubSección]),ROW(Leccion[SubSección]))),ROW(BT39))),"")</f>
        <v/>
      </c>
      <c r="BV40" s="51" t="str">
        <f t="array" aca="1" ref="BV40" ca="1">IFERROR(INDEX(Leccion[selectorLeccion],SMALL(IF(BV$1=Leccion[SubSección],MATCH(ROW(Leccion[SubSección]),ROW(Leccion[SubSección]))),ROW(BU39))),"")</f>
        <v/>
      </c>
      <c r="BW40" s="51" t="str">
        <f t="array" aca="1" ref="BW40" ca="1">IFERROR(INDEX(Leccion[selectorLeccion],SMALL(IF(BW$1=Leccion[SubSección],MATCH(ROW(Leccion[SubSección]),ROW(Leccion[SubSección]))),ROW(BV39))),"")</f>
        <v/>
      </c>
      <c r="BX40" s="51" t="str">
        <f t="array" aca="1" ref="BX40" ca="1">IFERROR(INDEX(Leccion[selectorLeccion],SMALL(IF(BX$1=Leccion[SubSección],MATCH(ROW(Leccion[SubSección]),ROW(Leccion[SubSección]))),ROW(BW39))),"")</f>
        <v/>
      </c>
      <c r="BY40" s="51" t="str">
        <f t="array" aca="1" ref="BY40" ca="1">IFERROR(INDEX(Leccion[selectorLeccion],SMALL(IF(BY$1=Leccion[SubSección],MATCH(ROW(Leccion[SubSección]),ROW(Leccion[SubSección]))),ROW(BX39))),"")</f>
        <v/>
      </c>
      <c r="BZ40" s="51" t="str">
        <f t="array" aca="1" ref="BZ40" ca="1">IFERROR(INDEX(Leccion[selectorLeccion],SMALL(IF(BZ$1=Leccion[SubSección],MATCH(ROW(Leccion[SubSección]),ROW(Leccion[SubSección]))),ROW(BY39))),"")</f>
        <v/>
      </c>
      <c r="CA40" s="51" t="str">
        <f t="array" aca="1" ref="CA40" ca="1">IFERROR(INDEX(Leccion[selectorLeccion],SMALL(IF(CA$1=Leccion[SubSección],MATCH(ROW(Leccion[SubSección]),ROW(Leccion[SubSección]))),ROW(BZ39))),"")</f>
        <v/>
      </c>
      <c r="CB40" s="51" t="str">
        <f t="array" aca="1" ref="CB40" ca="1">IFERROR(INDEX(Leccion[selectorLeccion],SMALL(IF(CB$1=Leccion[SubSección],MATCH(ROW(Leccion[SubSección]),ROW(Leccion[SubSección]))),ROW(CA39))),"")</f>
        <v/>
      </c>
      <c r="CC40" s="51" t="str">
        <f t="array" aca="1" ref="CC40" ca="1">IFERROR(INDEX(Leccion[selectorLeccion],SMALL(IF(CC$1=Leccion[SubSección],MATCH(ROW(Leccion[SubSección]),ROW(Leccion[SubSección]))),ROW(CB39))),"")</f>
        <v/>
      </c>
      <c r="CD40" s="51" t="str">
        <f t="array" aca="1" ref="CD40" ca="1">IFERROR(INDEX(Leccion[selectorLeccion],SMALL(IF(CD$1=Leccion[SubSección],MATCH(ROW(Leccion[SubSección]),ROW(Leccion[SubSección]))),ROW(CC39))),"")</f>
        <v/>
      </c>
      <c r="CE40" s="51" t="str">
        <f t="array" aca="1" ref="CE40" ca="1">IFERROR(INDEX(Leccion[selectorLeccion],SMALL(IF(CE$1=Leccion[SubSección],MATCH(ROW(Leccion[SubSección]),ROW(Leccion[SubSección]))),ROW(CD39))),"")</f>
        <v/>
      </c>
      <c r="CF40" s="51" t="str">
        <f t="array" aca="1" ref="CF40" ca="1">IFERROR(INDEX(Leccion[selectorLeccion],SMALL(IF(CF$1=Leccion[SubSección],MATCH(ROW(Leccion[SubSección]),ROW(Leccion[SubSección]))),ROW(CE39))),"")</f>
        <v/>
      </c>
      <c r="CG40" s="51" t="str">
        <f t="array" aca="1" ref="CG40" ca="1">IFERROR(INDEX(Leccion[selectorLeccion],SMALL(IF(CG$1=Leccion[SubSección],MATCH(ROW(Leccion[SubSección]),ROW(Leccion[SubSección]))),ROW(CF39))),"")</f>
        <v/>
      </c>
      <c r="CH40" s="51" t="str">
        <f t="array" aca="1" ref="CH40" ca="1">IFERROR(INDEX(Leccion[selectorLeccion],SMALL(IF(CH$1=Leccion[SubSección],MATCH(ROW(Leccion[SubSección]),ROW(Leccion[SubSección]))),ROW(CG39))),"")</f>
        <v/>
      </c>
      <c r="CI40" s="51" t="str">
        <f t="array" aca="1" ref="CI40" ca="1">IFERROR(INDEX(Leccion[selectorLeccion],SMALL(IF(CI$1=Leccion[SubSección],MATCH(ROW(Leccion[SubSección]),ROW(Leccion[SubSección]))),ROW(CH39))),"")</f>
        <v/>
      </c>
      <c r="CJ40" s="51" t="str">
        <f t="array" aca="1" ref="CJ40" ca="1">IFERROR(INDEX(Leccion[selectorLeccion],SMALL(IF(CJ$1=Leccion[SubSección],MATCH(ROW(Leccion[SubSección]),ROW(Leccion[SubSección]))),ROW(CI39))),"")</f>
        <v/>
      </c>
      <c r="CK40" s="51" t="str">
        <f t="array" aca="1" ref="CK40" ca="1">IFERROR(INDEX(Leccion[selectorLeccion],SMALL(IF(CK$1=Leccion[SubSección],MATCH(ROW(Leccion[SubSección]),ROW(Leccion[SubSección]))),ROW(CJ39))),"")</f>
        <v/>
      </c>
      <c r="CL40" s="51" t="str">
        <f t="array" aca="1" ref="CL40" ca="1">IFERROR(INDEX(Leccion[selectorLeccion],SMALL(IF(CL$1=Leccion[SubSección],MATCH(ROW(Leccion[SubSección]),ROW(Leccion[SubSección]))),ROW(CK39))),"")</f>
        <v/>
      </c>
      <c r="CM40" s="51" t="str">
        <f t="array" aca="1" ref="CM40" ca="1">IFERROR(INDEX(Leccion[selectorLeccion],SMALL(IF(CM$1=Leccion[SubSección],MATCH(ROW(Leccion[SubSección]),ROW(Leccion[SubSección]))),ROW(CL39))),"")</f>
        <v/>
      </c>
      <c r="CN40" s="51" t="str">
        <f t="array" aca="1" ref="CN40" ca="1">IFERROR(INDEX(Leccion[selectorLeccion],SMALL(IF(CN$1=Leccion[SubSección],MATCH(ROW(Leccion[SubSección]),ROW(Leccion[SubSección]))),ROW(CM39))),"")</f>
        <v/>
      </c>
      <c r="CO40" s="51" t="str">
        <f t="array" aca="1" ref="CO40" ca="1">IFERROR(INDEX(Leccion[selectorLeccion],SMALL(IF(CO$1=Leccion[SubSección],MATCH(ROW(Leccion[SubSección]),ROW(Leccion[SubSección]))),ROW(CN39))),"")</f>
        <v/>
      </c>
      <c r="CP40" s="51" t="str">
        <f t="array" aca="1" ref="CP40" ca="1">IFERROR(INDEX(Leccion[selectorLeccion],SMALL(IF(CP$1=Leccion[SubSección],MATCH(ROW(Leccion[SubSección]),ROW(Leccion[SubSección]))),ROW(CO39))),"")</f>
        <v/>
      </c>
      <c r="CQ40" s="51" t="str">
        <f t="array" aca="1" ref="CQ40" ca="1">IFERROR(INDEX(Leccion[selectorLeccion],SMALL(IF(CQ$1=Leccion[SubSección],MATCH(ROW(Leccion[SubSección]),ROW(Leccion[SubSección]))),ROW(CP39))),"")</f>
        <v/>
      </c>
      <c r="CR40" s="51" t="str">
        <f t="array" aca="1" ref="CR40" ca="1">IFERROR(INDEX(Leccion[selectorLeccion],SMALL(IF(CR$1=Leccion[SubSección],MATCH(ROW(Leccion[SubSección]),ROW(Leccion[SubSección]))),ROW(CQ39))),"")</f>
        <v/>
      </c>
      <c r="CS40" s="51" t="str">
        <f t="array" aca="1" ref="CS40" ca="1">IFERROR(INDEX(Leccion[selectorLeccion],SMALL(IF(CS$1=Leccion[SubSección],MATCH(ROW(Leccion[SubSección]),ROW(Leccion[SubSección]))),ROW(CR39))),"")</f>
        <v/>
      </c>
      <c r="CT40" s="51" t="str">
        <f t="array" aca="1" ref="CT40" ca="1">IFERROR(INDEX(Leccion[selectorLeccion],SMALL(IF(CT$1=Leccion[SubSección],MATCH(ROW(Leccion[SubSección]),ROW(Leccion[SubSección]))),ROW(CS39))),"")</f>
        <v/>
      </c>
      <c r="CU40" s="51" t="str">
        <f t="array" aca="1" ref="CU40" ca="1">IFERROR(INDEX(Leccion[selectorLeccion],SMALL(IF(CU$1=Leccion[SubSección],MATCH(ROW(Leccion[SubSección]),ROW(Leccion[SubSección]))),ROW(CT39))),"")</f>
        <v/>
      </c>
      <c r="CV40" s="51" t="str">
        <f t="array" aca="1" ref="CV40" ca="1">IFERROR(INDEX(Leccion[selectorLeccion],SMALL(IF(CV$1=Leccion[SubSección],MATCH(ROW(Leccion[SubSección]),ROW(Leccion[SubSección]))),ROW(CU39))),"")</f>
        <v/>
      </c>
      <c r="CW40" s="51" t="str">
        <f t="array" aca="1" ref="CW40" ca="1">IFERROR(INDEX(Leccion[selectorLeccion],SMALL(IF(CW$1=Leccion[SubSección],MATCH(ROW(Leccion[SubSección]),ROW(Leccion[SubSección]))),ROW(CV39))),"")</f>
        <v/>
      </c>
      <c r="CX40" s="51" t="str">
        <f t="array" aca="1" ref="CX40" ca="1">IFERROR(INDEX(Leccion[selectorLeccion],SMALL(IF(CX$1=Leccion[SubSección],MATCH(ROW(Leccion[SubSección]),ROW(Leccion[SubSección]))),ROW(CW39))),"")</f>
        <v/>
      </c>
      <c r="CY40" s="51" t="str">
        <f t="array" aca="1" ref="CY40" ca="1">IFERROR(INDEX(Leccion[selectorLeccion],SMALL(IF(CY$1=Leccion[SubSección],MATCH(ROW(Leccion[SubSección]),ROW(Leccion[SubSección]))),ROW(CX39))),"")</f>
        <v/>
      </c>
      <c r="CZ40" s="51" t="str">
        <f t="array" aca="1" ref="CZ40" ca="1">IFERROR(INDEX(Leccion[selectorLeccion],SMALL(IF(CZ$1=Leccion[SubSección],MATCH(ROW(Leccion[SubSección]),ROW(Leccion[SubSección]))),ROW(CY39))),"")</f>
        <v/>
      </c>
      <c r="DA40" s="51" t="str">
        <f t="array" aca="1" ref="DA40" ca="1">IFERROR(INDEX(Leccion[selectorLeccion],SMALL(IF(DA$1=Leccion[SubSección],MATCH(ROW(Leccion[SubSección]),ROW(Leccion[SubSección]))),ROW(CZ39))),"")</f>
        <v/>
      </c>
      <c r="DB40" s="51" t="str">
        <f t="array" aca="1" ref="DB40" ca="1">IFERROR(INDEX(Leccion[selectorLeccion],SMALL(IF(DB$1=Leccion[SubSección],MATCH(ROW(Leccion[SubSección]),ROW(Leccion[SubSección]))),ROW(DA39))),"")</f>
        <v/>
      </c>
      <c r="DC40" s="51" t="str">
        <f t="array" aca="1" ref="DC40" ca="1">IFERROR(INDEX(Leccion[selectorLeccion],SMALL(IF(DC$1=Leccion[SubSección],MATCH(ROW(Leccion[SubSección]),ROW(Leccion[SubSección]))),ROW(DB39))),"")</f>
        <v/>
      </c>
      <c r="DD40" s="51" t="str">
        <f t="array" aca="1" ref="DD40" ca="1">IFERROR(INDEX(Leccion[selectorLeccion],SMALL(IF(DD$1=Leccion[SubSección],MATCH(ROW(Leccion[SubSección]),ROW(Leccion[SubSección]))),ROW(DC39))),"")</f>
        <v/>
      </c>
      <c r="DE40" s="51" t="str">
        <f t="array" aca="1" ref="DE40" ca="1">IFERROR(INDEX(Leccion[selectorLeccion],SMALL(IF(DE$1=Leccion[SubSección],MATCH(ROW(Leccion[SubSección]),ROW(Leccion[SubSección]))),ROW(DD39))),"")</f>
        <v/>
      </c>
      <c r="DF40" s="51" t="str">
        <f t="array" aca="1" ref="DF40" ca="1">IFERROR(INDEX(Leccion[selectorLeccion],SMALL(IF(DF$1=Leccion[SubSección],MATCH(ROW(Leccion[SubSección]),ROW(Leccion[SubSección]))),ROW(DE39))),"")</f>
        <v/>
      </c>
      <c r="DG40" s="51" t="str">
        <f t="array" aca="1" ref="DG40" ca="1">IFERROR(INDEX(Leccion[selectorLeccion],SMALL(IF(DG$1=Leccion[SubSección],MATCH(ROW(Leccion[SubSección]),ROW(Leccion[SubSección]))),ROW(DF39))),"")</f>
        <v/>
      </c>
      <c r="DH40" s="51" t="str">
        <f t="array" aca="1" ref="DH40" ca="1">IFERROR(INDEX(Leccion[selectorLeccion],SMALL(IF(DH$1=Leccion[SubSección],MATCH(ROW(Leccion[SubSección]),ROW(Leccion[SubSección]))),ROW(DG39))),"")</f>
        <v/>
      </c>
      <c r="DI40" s="51" t="str">
        <f t="array" aca="1" ref="DI40" ca="1">IFERROR(INDEX(Leccion[selectorLeccion],SMALL(IF(DI$1=Leccion[SubSección],MATCH(ROW(Leccion[SubSección]),ROW(Leccion[SubSección]))),ROW(DH39))),"")</f>
        <v/>
      </c>
      <c r="DJ40" s="51" t="str">
        <f t="array" aca="1" ref="DJ40" ca="1">IFERROR(INDEX(Leccion[selectorLeccion],SMALL(IF(DJ$1=Leccion[SubSección],MATCH(ROW(Leccion[SubSección]),ROW(Leccion[SubSección]))),ROW(DI39))),"")</f>
        <v/>
      </c>
      <c r="DK40" s="51" t="str">
        <f t="array" aca="1" ref="DK40" ca="1">IFERROR(INDEX(Leccion[selectorLeccion],SMALL(IF(DK$1=Leccion[SubSección],MATCH(ROW(Leccion[SubSección]),ROW(Leccion[SubSección]))),ROW(DJ39))),"")</f>
        <v/>
      </c>
      <c r="DL40" s="51" t="str">
        <f t="array" aca="1" ref="DL40" ca="1">IFERROR(INDEX(Leccion[selectorLeccion],SMALL(IF(DL$1=Leccion[SubSección],MATCH(ROW(Leccion[SubSección]),ROW(Leccion[SubSección]))),ROW(DK39))),"")</f>
        <v/>
      </c>
      <c r="DM40" s="51" t="str">
        <f t="array" aca="1" ref="DM40" ca="1">IFERROR(INDEX(Leccion[selectorLeccion],SMALL(IF(DM$1=Leccion[SubSección],MATCH(ROW(Leccion[SubSección]),ROW(Leccion[SubSección]))),ROW(DL39))),"")</f>
        <v/>
      </c>
      <c r="DN40" s="51" t="str">
        <f t="array" aca="1" ref="DN40" ca="1">IFERROR(INDEX(Leccion[selectorLeccion],SMALL(IF(DN$1=Leccion[SubSección],MATCH(ROW(Leccion[SubSección]),ROW(Leccion[SubSección]))),ROW(DM39))),"")</f>
        <v/>
      </c>
      <c r="DO40" s="51" t="str">
        <f t="array" aca="1" ref="DO40" ca="1">IFERROR(INDEX(Leccion[selectorLeccion],SMALL(IF(DO$1=Leccion[SubSección],MATCH(ROW(Leccion[SubSección]),ROW(Leccion[SubSección]))),ROW(DN39))),"")</f>
        <v/>
      </c>
      <c r="DP40" s="51" t="str">
        <f t="array" aca="1" ref="DP40" ca="1">IFERROR(INDEX(Leccion[selectorLeccion],SMALL(IF(DP$1=Leccion[SubSección],MATCH(ROW(Leccion[SubSección]),ROW(Leccion[SubSección]))),ROW(DO39))),"")</f>
        <v/>
      </c>
      <c r="DQ40" s="51" t="str">
        <f t="array" aca="1" ref="DQ40" ca="1">IFERROR(INDEX(Leccion[selectorLeccion],SMALL(IF(DQ$1=Leccion[SubSección],MATCH(ROW(Leccion[SubSección]),ROW(Leccion[SubSección]))),ROW(DP39))),"")</f>
        <v/>
      </c>
      <c r="DR40" s="51" t="str">
        <f t="array" aca="1" ref="DR40" ca="1">IFERROR(INDEX(Leccion[selectorLeccion],SMALL(IF(DR$1=Leccion[SubSección],MATCH(ROW(Leccion[SubSección]),ROW(Leccion[SubSección]))),ROW(DQ39))),"")</f>
        <v/>
      </c>
      <c r="DS40" s="51" t="str">
        <f t="array" aca="1" ref="DS40" ca="1">IFERROR(INDEX(Leccion[selectorLeccion],SMALL(IF(DS$1=Leccion[SubSección],MATCH(ROW(Leccion[SubSección]),ROW(Leccion[SubSección]))),ROW(DR39))),"")</f>
        <v/>
      </c>
      <c r="DT40" s="51" t="str">
        <f t="array" aca="1" ref="DT40" ca="1">IFERROR(INDEX(Leccion[selectorLeccion],SMALL(IF(DT$1=Leccion[SubSección],MATCH(ROW(Leccion[SubSección]),ROW(Leccion[SubSección]))),ROW(DS39))),"")</f>
        <v/>
      </c>
      <c r="DU40" s="51" t="str">
        <f t="array" aca="1" ref="DU40" ca="1">IFERROR(INDEX(Leccion[selectorLeccion],SMALL(IF(DU$1=Leccion[SubSección],MATCH(ROW(Leccion[SubSección]),ROW(Leccion[SubSección]))),ROW(DT39))),"")</f>
        <v/>
      </c>
      <c r="DV40" s="51" t="str">
        <f t="array" aca="1" ref="DV40" ca="1">IFERROR(INDEX(Leccion[selectorLeccion],SMALL(IF(DV$1=Leccion[SubSección],MATCH(ROW(Leccion[SubSección]),ROW(Leccion[SubSección]))),ROW(DU39))),"")</f>
        <v/>
      </c>
      <c r="DW40" s="51" t="str">
        <f t="array" aca="1" ref="DW40" ca="1">IFERROR(INDEX(Leccion[selectorLeccion],SMALL(IF(DW$1=Leccion[SubSección],MATCH(ROW(Leccion[SubSección]),ROW(Leccion[SubSección]))),ROW(DV39))),"")</f>
        <v/>
      </c>
      <c r="DX40" s="51" t="str">
        <f t="array" aca="1" ref="DX40" ca="1">IFERROR(INDEX(Leccion[selectorLeccion],SMALL(IF(DX$1=Leccion[SubSección],MATCH(ROW(Leccion[SubSección]),ROW(Leccion[SubSección]))),ROW(DW39))),"")</f>
        <v/>
      </c>
      <c r="DY40" s="51" t="str">
        <f t="array" aca="1" ref="DY40" ca="1">IFERROR(INDEX(Leccion[selectorLeccion],SMALL(IF(DY$1=Leccion[SubSección],MATCH(ROW(Leccion[SubSección]),ROW(Leccion[SubSección]))),ROW(DX39))),"")</f>
        <v/>
      </c>
      <c r="DZ40" s="51" t="str">
        <f t="array" aca="1" ref="DZ40" ca="1">IFERROR(INDEX(Leccion[selectorLeccion],SMALL(IF(DZ$1=Leccion[SubSección],MATCH(ROW(Leccion[SubSección]),ROW(Leccion[SubSección]))),ROW(DY39))),"")</f>
        <v/>
      </c>
      <c r="EA40" s="51" t="str">
        <f t="array" aca="1" ref="EA40" ca="1">IFERROR(INDEX(Leccion[selectorLeccion],SMALL(IF(EA$1=Leccion[SubSección],MATCH(ROW(Leccion[SubSección]),ROW(Leccion[SubSección]))),ROW(DZ39))),"")</f>
        <v/>
      </c>
      <c r="EB40" s="51" t="str">
        <f t="array" aca="1" ref="EB40" ca="1">IFERROR(INDEX(Leccion[selectorLeccion],SMALL(IF(EB$1=Leccion[SubSección],MATCH(ROW(Leccion[SubSección]),ROW(Leccion[SubSección]))),ROW(EA39))),"")</f>
        <v/>
      </c>
      <c r="EC40" s="51" t="str">
        <f t="array" aca="1" ref="EC40" ca="1">IFERROR(INDEX(Leccion[selectorLeccion],SMALL(IF(EC$1=Leccion[SubSección],MATCH(ROW(Leccion[SubSección]),ROW(Leccion[SubSección]))),ROW(EB39))),"")</f>
        <v/>
      </c>
      <c r="ED40" s="51" t="str">
        <f t="array" aca="1" ref="ED40" ca="1">IFERROR(INDEX(Leccion[selectorLeccion],SMALL(IF(ED$1=Leccion[SubSección],MATCH(ROW(Leccion[SubSección]),ROW(Leccion[SubSección]))),ROW(EC39))),"")</f>
        <v/>
      </c>
      <c r="EE40" s="51" t="str">
        <f t="array" aca="1" ref="EE40" ca="1">IFERROR(INDEX(Leccion[selectorLeccion],SMALL(IF(EE$1=Leccion[SubSección],MATCH(ROW(Leccion[SubSección]),ROW(Leccion[SubSección]))),ROW(ED39))),"")</f>
        <v/>
      </c>
      <c r="EF40" s="51" t="str">
        <f t="array" aca="1" ref="EF40" ca="1">IFERROR(INDEX(Leccion[selectorLeccion],SMALL(IF(EF$1=Leccion[SubSección],MATCH(ROW(Leccion[SubSección]),ROW(Leccion[SubSección]))),ROW(EE39))),"")</f>
        <v/>
      </c>
      <c r="EG40" s="51" t="str">
        <f t="array" aca="1" ref="EG40" ca="1">IFERROR(INDEX(Leccion[selectorLeccion],SMALL(IF(EG$1=Leccion[SubSección],MATCH(ROW(Leccion[SubSección]),ROW(Leccion[SubSección]))),ROW(EF39))),"")</f>
        <v/>
      </c>
      <c r="EH40" s="51" t="str">
        <f t="array" aca="1" ref="EH40" ca="1">IFERROR(INDEX(Leccion[selectorLeccion],SMALL(IF(EH$1=Leccion[SubSección],MATCH(ROW(Leccion[SubSección]),ROW(Leccion[SubSección]))),ROW(EG39))),"")</f>
        <v/>
      </c>
      <c r="EI40" s="51" t="str">
        <f t="array" aca="1" ref="EI40" ca="1">IFERROR(INDEX(Leccion[selectorLeccion],SMALL(IF(EI$1=Leccion[SubSección],MATCH(ROW(Leccion[SubSección]),ROW(Leccion[SubSección]))),ROW(EH39))),"")</f>
        <v/>
      </c>
      <c r="EJ40" s="51" t="str">
        <f t="array" aca="1" ref="EJ40" ca="1">IFERROR(INDEX(Leccion[selectorLeccion],SMALL(IF(EJ$1=Leccion[SubSección],MATCH(ROW(Leccion[SubSección]),ROW(Leccion[SubSección]))),ROW(EI39))),"")</f>
        <v/>
      </c>
      <c r="EK40" s="51" t="str">
        <f t="array" aca="1" ref="EK40" ca="1">IFERROR(INDEX(Leccion[selectorLeccion],SMALL(IF(EK$1=Leccion[SubSección],MATCH(ROW(Leccion[SubSección]),ROW(Leccion[SubSección]))),ROW(EJ39))),"")</f>
        <v/>
      </c>
      <c r="EL40" s="51" t="str">
        <f t="array" aca="1" ref="EL40" ca="1">IFERROR(INDEX(Leccion[selectorLeccion],SMALL(IF(EL$1=Leccion[SubSección],MATCH(ROW(Leccion[SubSección]),ROW(Leccion[SubSección]))),ROW(EK39))),"")</f>
        <v/>
      </c>
      <c r="EM40" s="51" t="str">
        <f t="array" aca="1" ref="EM40" ca="1">IFERROR(INDEX(Leccion[selectorLeccion],SMALL(IF(EM$1=Leccion[SubSección],MATCH(ROW(Leccion[SubSección]),ROW(Leccion[SubSección]))),ROW(EL39))),"")</f>
        <v/>
      </c>
      <c r="EN40" s="51" t="str">
        <f t="array" aca="1" ref="EN40" ca="1">IFERROR(INDEX(Leccion[selectorLeccion],SMALL(IF(EN$1=Leccion[SubSección],MATCH(ROW(Leccion[SubSección]),ROW(Leccion[SubSección]))),ROW(EM39))),"")</f>
        <v/>
      </c>
      <c r="EO40" s="51" t="str">
        <f t="array" aca="1" ref="EO40" ca="1">IFERROR(INDEX(Leccion[selectorLeccion],SMALL(IF(EO$1=Leccion[SubSección],MATCH(ROW(Leccion[SubSección]),ROW(Leccion[SubSección]))),ROW(EN39))),"")</f>
        <v/>
      </c>
      <c r="EP40" s="51" t="str">
        <f t="array" aca="1" ref="EP40" ca="1">IFERROR(INDEX(Leccion[selectorLeccion],SMALL(IF(EP$1=Leccion[SubSección],MATCH(ROW(Leccion[SubSección]),ROW(Leccion[SubSección]))),ROW(EO39))),"")</f>
        <v/>
      </c>
      <c r="EQ40" s="51" t="str">
        <f t="array" aca="1" ref="EQ40" ca="1">IFERROR(INDEX(Leccion[selectorLeccion],SMALL(IF(EQ$1=Leccion[SubSección],MATCH(ROW(Leccion[SubSección]),ROW(Leccion[SubSección]))),ROW(EP39))),"")</f>
        <v/>
      </c>
      <c r="ER40" s="51" t="str">
        <f t="array" aca="1" ref="ER40" ca="1">IFERROR(INDEX(Leccion[selectorLeccion],SMALL(IF(ER$1=Leccion[SubSección],MATCH(ROW(Leccion[SubSección]),ROW(Leccion[SubSección]))),ROW(EQ39))),"")</f>
        <v/>
      </c>
      <c r="ES40" s="51" t="str">
        <f t="array" aca="1" ref="ES40" ca="1">IFERROR(INDEX(Leccion[selectorLeccion],SMALL(IF(ES$1=Leccion[SubSección],MATCH(ROW(Leccion[SubSección]),ROW(Leccion[SubSección]))),ROW(ER39))),"")</f>
        <v/>
      </c>
      <c r="ET40" s="51" t="str">
        <f t="array" aca="1" ref="ET40" ca="1">IFERROR(INDEX(Leccion[selectorLeccion],SMALL(IF(ET$1=Leccion[SubSección],MATCH(ROW(Leccion[SubSección]),ROW(Leccion[SubSección]))),ROW(ES39))),"")</f>
        <v/>
      </c>
      <c r="EU40" s="51" t="str">
        <f t="array" aca="1" ref="EU40" ca="1">IFERROR(INDEX(Leccion[selectorLeccion],SMALL(IF(EU$1=Leccion[SubSección],MATCH(ROW(Leccion[SubSección]),ROW(Leccion[SubSección]))),ROW(ET39))),"")</f>
        <v/>
      </c>
      <c r="EV40" s="51" t="str">
        <f t="array" aca="1" ref="EV40" ca="1">IFERROR(INDEX(Leccion[selectorLeccion],SMALL(IF(EV$1=Leccion[SubSección],MATCH(ROW(Leccion[SubSección]),ROW(Leccion[SubSección]))),ROW(EU39))),"")</f>
        <v/>
      </c>
      <c r="EW40" s="51" t="str">
        <f t="array" aca="1" ref="EW40" ca="1">IFERROR(INDEX(Leccion[selectorLeccion],SMALL(IF(EW$1=Leccion[SubSección],MATCH(ROW(Leccion[SubSección]),ROW(Leccion[SubSección]))),ROW(EV39))),"")</f>
        <v/>
      </c>
      <c r="EX40" s="51" t="str">
        <f t="array" aca="1" ref="EX40" ca="1">IFERROR(INDEX(Leccion[selectorLeccion],SMALL(IF(EX$1=Leccion[SubSección],MATCH(ROW(Leccion[SubSección]),ROW(Leccion[SubSección]))),ROW(EW39))),"")</f>
        <v/>
      </c>
      <c r="EY40" s="51" t="str">
        <f t="array" aca="1" ref="EY40" ca="1">IFERROR(INDEX(Leccion[selectorLeccion],SMALL(IF(EY$1=Leccion[SubSección],MATCH(ROW(Leccion[SubSección]),ROW(Leccion[SubSección]))),ROW(EX39))),"")</f>
        <v/>
      </c>
      <c r="EZ40" s="51" t="str">
        <f t="array" aca="1" ref="EZ40" ca="1">IFERROR(INDEX(Leccion[selectorLeccion],SMALL(IF(EZ$1=Leccion[SubSección],MATCH(ROW(Leccion[SubSección]),ROW(Leccion[SubSección]))),ROW(EY39))),"")</f>
        <v/>
      </c>
    </row>
    <row r="41" spans="2:156" x14ac:dyDescent="0.3">
      <c r="B41" s="51" t="str">
        <f t="array" aca="1" ref="B41" ca="1">IFERROR(INDEX(Leccion[selectorLeccion],SMALL(IF(B$1=Leccion[SubSección],MATCH(ROW(Leccion[SubSección]),ROW(Leccion[SubSección]))),ROW(A40))),"")</f>
        <v/>
      </c>
      <c r="C41" s="51" t="str">
        <f t="array" aca="1" ref="C41" ca="1">IFERROR(INDEX(Leccion[selectorLeccion],SMALL(IF(C$1=Leccion[SubSección],MATCH(ROW(Leccion[SubSección]),ROW(Leccion[SubSección]))),ROW(B40))),"")</f>
        <v/>
      </c>
      <c r="D41" s="51" t="str">
        <f t="array" aca="1" ref="D41" ca="1">IFERROR(INDEX(Leccion[selectorLeccion],SMALL(IF(D$1=Leccion[SubSección],MATCH(ROW(Leccion[SubSección]),ROW(Leccion[SubSección]))),ROW(C40))),"")</f>
        <v/>
      </c>
      <c r="E41" s="51" t="str">
        <f t="array" aca="1" ref="E41" ca="1">IFERROR(INDEX(Leccion[selectorLeccion],SMALL(IF(E$1=Leccion[SubSección],MATCH(ROW(Leccion[SubSección]),ROW(Leccion[SubSección]))),ROW(D40))),"")</f>
        <v/>
      </c>
      <c r="F41" s="51" t="str">
        <f t="array" aca="1" ref="F41" ca="1">IFERROR(INDEX(Leccion[selectorLeccion],SMALL(IF(F$1=Leccion[SubSección],MATCH(ROW(Leccion[SubSección]),ROW(Leccion[SubSección]))),ROW(E40))),"")</f>
        <v/>
      </c>
      <c r="G41" s="51" t="str">
        <f t="array" aca="1" ref="G41" ca="1">IFERROR(INDEX(Leccion[selectorLeccion],SMALL(IF(G$1=Leccion[SubSección],MATCH(ROW(Leccion[SubSección]),ROW(Leccion[SubSección]))),ROW(F40))),"")</f>
        <v/>
      </c>
      <c r="H41" s="51" t="str">
        <f t="array" aca="1" ref="H41" ca="1">IFERROR(INDEX(Leccion[selectorLeccion],SMALL(IF(H$1=Leccion[SubSección],MATCH(ROW(Leccion[SubSección]),ROW(Leccion[SubSección]))),ROW(G40))),"")</f>
        <v/>
      </c>
      <c r="I41" s="51" t="str">
        <f t="array" aca="1" ref="I41" ca="1">IFERROR(INDEX(Leccion[selectorLeccion],SMALL(IF(I$1=Leccion[SubSección],MATCH(ROW(Leccion[SubSección]),ROW(Leccion[SubSección]))),ROW(H40))),"")</f>
        <v/>
      </c>
      <c r="J41" s="51" t="str">
        <f t="array" aca="1" ref="J41" ca="1">IFERROR(INDEX(Leccion[selectorLeccion],SMALL(IF(J$1=Leccion[SubSección],MATCH(ROW(Leccion[SubSección]),ROW(Leccion[SubSección]))),ROW(I40))),"")</f>
        <v/>
      </c>
      <c r="K41" s="51" t="str">
        <f t="array" aca="1" ref="K41" ca="1">IFERROR(INDEX(Leccion[selectorLeccion],SMALL(IF(K$1=Leccion[SubSección],MATCH(ROW(Leccion[SubSección]),ROW(Leccion[SubSección]))),ROW(J40))),"")</f>
        <v/>
      </c>
      <c r="L41" s="51" t="str">
        <f t="array" aca="1" ref="L41" ca="1">IFERROR(INDEX(Leccion[selectorLeccion],SMALL(IF(L$1=Leccion[SubSección],MATCH(ROW(Leccion[SubSección]),ROW(Leccion[SubSección]))),ROW(K40))),"")</f>
        <v/>
      </c>
      <c r="M41" s="51" t="str">
        <f t="array" aca="1" ref="M41" ca="1">IFERROR(INDEX(Leccion[selectorLeccion],SMALL(IF(M$1=Leccion[SubSección],MATCH(ROW(Leccion[SubSección]),ROW(Leccion[SubSección]))),ROW(L40))),"")</f>
        <v/>
      </c>
      <c r="N41" s="51" t="str">
        <f t="array" aca="1" ref="N41" ca="1">IFERROR(INDEX(Leccion[selectorLeccion],SMALL(IF(N$1=Leccion[SubSección],MATCH(ROW(Leccion[SubSección]),ROW(Leccion[SubSección]))),ROW(M40))),"")</f>
        <v/>
      </c>
      <c r="O41" s="51" t="str">
        <f t="array" aca="1" ref="O41" ca="1">IFERROR(INDEX(Leccion[selectorLeccion],SMALL(IF(O$1=Leccion[SubSección],MATCH(ROW(Leccion[SubSección]),ROW(Leccion[SubSección]))),ROW(N40))),"")</f>
        <v/>
      </c>
      <c r="P41" s="51" t="str">
        <f t="array" aca="1" ref="P41" ca="1">IFERROR(INDEX(Leccion[selectorLeccion],SMALL(IF(P$1=Leccion[SubSección],MATCH(ROW(Leccion[SubSección]),ROW(Leccion[SubSección]))),ROW(O40))),"")</f>
        <v/>
      </c>
      <c r="Q41" s="51" t="str">
        <f t="array" aca="1" ref="Q41" ca="1">IFERROR(INDEX(Leccion[selectorLeccion],SMALL(IF(Q$1=Leccion[SubSección],MATCH(ROW(Leccion[SubSección]),ROW(Leccion[SubSección]))),ROW(P40))),"")</f>
        <v/>
      </c>
      <c r="R41" s="51" t="str">
        <f t="array" aca="1" ref="R41" ca="1">IFERROR(INDEX(Leccion[selectorLeccion],SMALL(IF(R$1=Leccion[SubSección],MATCH(ROW(Leccion[SubSección]),ROW(Leccion[SubSección]))),ROW(Q40))),"")</f>
        <v/>
      </c>
      <c r="S41" s="51" t="str">
        <f t="array" aca="1" ref="S41" ca="1">IFERROR(INDEX(Leccion[selectorLeccion],SMALL(IF(S$1=Leccion[SubSección],MATCH(ROW(Leccion[SubSección]),ROW(Leccion[SubSección]))),ROW(R40))),"")</f>
        <v/>
      </c>
      <c r="T41" s="51" t="str">
        <f t="array" aca="1" ref="T41" ca="1">IFERROR(INDEX(Leccion[selectorLeccion],SMALL(IF(T$1=Leccion[SubSección],MATCH(ROW(Leccion[SubSección]),ROW(Leccion[SubSección]))),ROW(S40))),"")</f>
        <v/>
      </c>
      <c r="U41" s="51" t="str">
        <f t="array" aca="1" ref="U41" ca="1">IFERROR(INDEX(Leccion[selectorLeccion],SMALL(IF(U$1=Leccion[SubSección],MATCH(ROW(Leccion[SubSección]),ROW(Leccion[SubSección]))),ROW(T40))),"")</f>
        <v/>
      </c>
      <c r="V41" s="51" t="str">
        <f t="array" aca="1" ref="V41" ca="1">IFERROR(INDEX(Leccion[selectorLeccion],SMALL(IF(V$1=Leccion[SubSección],MATCH(ROW(Leccion[SubSección]),ROW(Leccion[SubSección]))),ROW(U40))),"")</f>
        <v/>
      </c>
      <c r="W41" s="51" t="str">
        <f t="array" aca="1" ref="W41" ca="1">IFERROR(INDEX(Leccion[selectorLeccion],SMALL(IF(W$1=Leccion[SubSección],MATCH(ROW(Leccion[SubSección]),ROW(Leccion[SubSección]))),ROW(V40))),"")</f>
        <v/>
      </c>
      <c r="X41" s="51" t="str">
        <f t="array" aca="1" ref="X41" ca="1">IFERROR(INDEX(Leccion[selectorLeccion],SMALL(IF(X$1=Leccion[SubSección],MATCH(ROW(Leccion[SubSección]),ROW(Leccion[SubSección]))),ROW(W40))),"")</f>
        <v/>
      </c>
      <c r="Y41" s="51" t="str">
        <f t="array" aca="1" ref="Y41" ca="1">IFERROR(INDEX(Leccion[selectorLeccion],SMALL(IF(Y$1=Leccion[SubSección],MATCH(ROW(Leccion[SubSección]),ROW(Leccion[SubSección]))),ROW(X40))),"")</f>
        <v/>
      </c>
      <c r="Z41" s="51" t="str">
        <f t="array" aca="1" ref="Z41" ca="1">IFERROR(INDEX(Leccion[selectorLeccion],SMALL(IF(Z$1=Leccion[SubSección],MATCH(ROW(Leccion[SubSección]),ROW(Leccion[SubSección]))),ROW(Y40))),"")</f>
        <v/>
      </c>
      <c r="AA41" s="51" t="str">
        <f t="array" aca="1" ref="AA41" ca="1">IFERROR(INDEX(Leccion[selectorLeccion],SMALL(IF(AA$1=Leccion[SubSección],MATCH(ROW(Leccion[SubSección]),ROW(Leccion[SubSección]))),ROW(Z40))),"")</f>
        <v/>
      </c>
      <c r="AB41" s="51" t="str">
        <f t="array" aca="1" ref="AB41" ca="1">IFERROR(INDEX(Leccion[selectorLeccion],SMALL(IF(AB$1=Leccion[SubSección],MATCH(ROW(Leccion[SubSección]),ROW(Leccion[SubSección]))),ROW(AA40))),"")</f>
        <v/>
      </c>
      <c r="AC41" s="51" t="str">
        <f t="array" aca="1" ref="AC41" ca="1">IFERROR(INDEX(Leccion[selectorLeccion],SMALL(IF(AC$1=Leccion[SubSección],MATCH(ROW(Leccion[SubSección]),ROW(Leccion[SubSección]))),ROW(AB40))),"")</f>
        <v/>
      </c>
      <c r="AD41" s="51" t="str">
        <f t="array" aca="1" ref="AD41" ca="1">IFERROR(INDEX(Leccion[selectorLeccion],SMALL(IF(AD$1=Leccion[SubSección],MATCH(ROW(Leccion[SubSección]),ROW(Leccion[SubSección]))),ROW(AC40))),"")</f>
        <v/>
      </c>
      <c r="AE41" s="51" t="str">
        <f t="array" aca="1" ref="AE41" ca="1">IFERROR(INDEX(Leccion[selectorLeccion],SMALL(IF(AE$1=Leccion[SubSección],MATCH(ROW(Leccion[SubSección]),ROW(Leccion[SubSección]))),ROW(AD40))),"")</f>
        <v/>
      </c>
      <c r="AF41" s="51" t="str">
        <f t="array" aca="1" ref="AF41" ca="1">IFERROR(INDEX(Leccion[selectorLeccion],SMALL(IF(AF$1=Leccion[SubSección],MATCH(ROW(Leccion[SubSección]),ROW(Leccion[SubSección]))),ROW(AE40))),"")</f>
        <v/>
      </c>
      <c r="AG41" s="51" t="str">
        <f t="array" aca="1" ref="AG41" ca="1">IFERROR(INDEX(Leccion[selectorLeccion],SMALL(IF(AG$1=Leccion[SubSección],MATCH(ROW(Leccion[SubSección]),ROW(Leccion[SubSección]))),ROW(AF40))),"")</f>
        <v/>
      </c>
      <c r="AH41" s="51" t="str">
        <f t="array" aca="1" ref="AH41" ca="1">IFERROR(INDEX(Leccion[selectorLeccion],SMALL(IF(AH$1=Leccion[SubSección],MATCH(ROW(Leccion[SubSección]),ROW(Leccion[SubSección]))),ROW(AG40))),"")</f>
        <v/>
      </c>
      <c r="AI41" s="51" t="str">
        <f t="array" aca="1" ref="AI41" ca="1">IFERROR(INDEX(Leccion[selectorLeccion],SMALL(IF(AI$1=Leccion[SubSección],MATCH(ROW(Leccion[SubSección]),ROW(Leccion[SubSección]))),ROW(AH40))),"")</f>
        <v/>
      </c>
      <c r="AJ41" s="51" t="str">
        <f t="array" aca="1" ref="AJ41" ca="1">IFERROR(INDEX(Leccion[selectorLeccion],SMALL(IF(AJ$1=Leccion[SubSección],MATCH(ROW(Leccion[SubSección]),ROW(Leccion[SubSección]))),ROW(AI40))),"")</f>
        <v/>
      </c>
      <c r="AK41" s="51" t="str">
        <f t="array" aca="1" ref="AK41" ca="1">IFERROR(INDEX(Leccion[selectorLeccion],SMALL(IF(AK$1=Leccion[SubSección],MATCH(ROW(Leccion[SubSección]),ROW(Leccion[SubSección]))),ROW(AJ40))),"")</f>
        <v/>
      </c>
      <c r="AL41" s="51" t="str">
        <f t="array" aca="1" ref="AL41" ca="1">IFERROR(INDEX(Leccion[selectorLeccion],SMALL(IF(AL$1=Leccion[SubSección],MATCH(ROW(Leccion[SubSección]),ROW(Leccion[SubSección]))),ROW(AK40))),"")</f>
        <v/>
      </c>
      <c r="AM41" s="51" t="str">
        <f t="array" aca="1" ref="AM41" ca="1">IFERROR(INDEX(Leccion[selectorLeccion],SMALL(IF(AM$1=Leccion[SubSección],MATCH(ROW(Leccion[SubSección]),ROW(Leccion[SubSección]))),ROW(AL40))),"")</f>
        <v/>
      </c>
      <c r="AN41" s="51" t="str">
        <f t="array" aca="1" ref="AN41" ca="1">IFERROR(INDEX(Leccion[selectorLeccion],SMALL(IF(AN$1=Leccion[SubSección],MATCH(ROW(Leccion[SubSección]),ROW(Leccion[SubSección]))),ROW(AM40))),"")</f>
        <v/>
      </c>
      <c r="AO41" s="51" t="str">
        <f t="array" aca="1" ref="AO41" ca="1">IFERROR(INDEX(Leccion[selectorLeccion],SMALL(IF(AO$1=Leccion[SubSección],MATCH(ROW(Leccion[SubSección]),ROW(Leccion[SubSección]))),ROW(AN40))),"")</f>
        <v/>
      </c>
      <c r="AP41" s="51" t="str">
        <f t="array" aca="1" ref="AP41" ca="1">IFERROR(INDEX(Leccion[selectorLeccion],SMALL(IF(AP$1=Leccion[SubSección],MATCH(ROW(Leccion[SubSección]),ROW(Leccion[SubSección]))),ROW(AO40))),"")</f>
        <v/>
      </c>
      <c r="AQ41" s="51" t="str">
        <f t="array" aca="1" ref="AQ41" ca="1">IFERROR(INDEX(Leccion[selectorLeccion],SMALL(IF(AQ$1=Leccion[SubSección],MATCH(ROW(Leccion[SubSección]),ROW(Leccion[SubSección]))),ROW(AP40))),"")</f>
        <v/>
      </c>
      <c r="AR41" s="51" t="str">
        <f t="array" aca="1" ref="AR41" ca="1">IFERROR(INDEX(Leccion[selectorLeccion],SMALL(IF(AR$1=Leccion[SubSección],MATCH(ROW(Leccion[SubSección]),ROW(Leccion[SubSección]))),ROW(AQ40))),"")</f>
        <v/>
      </c>
      <c r="AS41" s="51" t="str">
        <f t="array" aca="1" ref="AS41" ca="1">IFERROR(INDEX(Leccion[selectorLeccion],SMALL(IF(AS$1=Leccion[SubSección],MATCH(ROW(Leccion[SubSección]),ROW(Leccion[SubSección]))),ROW(AR40))),"")</f>
        <v/>
      </c>
      <c r="AT41" s="51" t="str">
        <f t="array" aca="1" ref="AT41" ca="1">IFERROR(INDEX(Leccion[selectorLeccion],SMALL(IF(AT$1=Leccion[SubSección],MATCH(ROW(Leccion[SubSección]),ROW(Leccion[SubSección]))),ROW(AS40))),"")</f>
        <v/>
      </c>
      <c r="AU41" s="51" t="str">
        <f t="array" aca="1" ref="AU41" ca="1">IFERROR(INDEX(Leccion[selectorLeccion],SMALL(IF(AU$1=Leccion[SubSección],MATCH(ROW(Leccion[SubSección]),ROW(Leccion[SubSección]))),ROW(AT40))),"")</f>
        <v/>
      </c>
      <c r="AV41" s="51" t="str">
        <f t="array" aca="1" ref="AV41" ca="1">IFERROR(INDEX(Leccion[selectorLeccion],SMALL(IF(AV$1=Leccion[SubSección],MATCH(ROW(Leccion[SubSección]),ROW(Leccion[SubSección]))),ROW(AU40))),"")</f>
        <v/>
      </c>
      <c r="AW41" s="51" t="str">
        <f t="array" aca="1" ref="AW41" ca="1">IFERROR(INDEX(Leccion[selectorLeccion],SMALL(IF(AW$1=Leccion[SubSección],MATCH(ROW(Leccion[SubSección]),ROW(Leccion[SubSección]))),ROW(AV40))),"")</f>
        <v/>
      </c>
      <c r="AX41" s="51" t="str">
        <f t="array" aca="1" ref="AX41" ca="1">IFERROR(INDEX(Leccion[selectorLeccion],SMALL(IF(AX$1=Leccion[SubSección],MATCH(ROW(Leccion[SubSección]),ROW(Leccion[SubSección]))),ROW(AW40))),"")</f>
        <v/>
      </c>
      <c r="AY41" s="51" t="str">
        <f t="array" aca="1" ref="AY41" ca="1">IFERROR(INDEX(Leccion[selectorLeccion],SMALL(IF(AY$1=Leccion[SubSección],MATCH(ROW(Leccion[SubSección]),ROW(Leccion[SubSección]))),ROW(AX40))),"")</f>
        <v/>
      </c>
      <c r="AZ41" s="51" t="str">
        <f t="array" aca="1" ref="AZ41" ca="1">IFERROR(INDEX(Leccion[selectorLeccion],SMALL(IF(AZ$1=Leccion[SubSección],MATCH(ROW(Leccion[SubSección]),ROW(Leccion[SubSección]))),ROW(AY40))),"")</f>
        <v/>
      </c>
      <c r="BA41" s="51" t="str">
        <f t="array" aca="1" ref="BA41" ca="1">IFERROR(INDEX(Leccion[selectorLeccion],SMALL(IF(BA$1=Leccion[SubSección],MATCH(ROW(Leccion[SubSección]),ROW(Leccion[SubSección]))),ROW(AZ40))),"")</f>
        <v/>
      </c>
      <c r="BB41" s="51" t="str">
        <f t="array" aca="1" ref="BB41" ca="1">IFERROR(INDEX(Leccion[selectorLeccion],SMALL(IF(BB$1=Leccion[SubSección],MATCH(ROW(Leccion[SubSección]),ROW(Leccion[SubSección]))),ROW(BA40))),"")</f>
        <v/>
      </c>
      <c r="BC41" s="51" t="str">
        <f t="array" aca="1" ref="BC41" ca="1">IFERROR(INDEX(Leccion[selectorLeccion],SMALL(IF(BC$1=Leccion[SubSección],MATCH(ROW(Leccion[SubSección]),ROW(Leccion[SubSección]))),ROW(BB40))),"")</f>
        <v/>
      </c>
      <c r="BD41" s="51" t="str">
        <f t="array" aca="1" ref="BD41" ca="1">IFERROR(INDEX(Leccion[selectorLeccion],SMALL(IF(BD$1=Leccion[SubSección],MATCH(ROW(Leccion[SubSección]),ROW(Leccion[SubSección]))),ROW(BC40))),"")</f>
        <v/>
      </c>
      <c r="BE41" s="51" t="str">
        <f t="array" aca="1" ref="BE41" ca="1">IFERROR(INDEX(Leccion[selectorLeccion],SMALL(IF(BE$1=Leccion[SubSección],MATCH(ROW(Leccion[SubSección]),ROW(Leccion[SubSección]))),ROW(BD40))),"")</f>
        <v/>
      </c>
      <c r="BF41" s="51" t="str">
        <f t="array" aca="1" ref="BF41" ca="1">IFERROR(INDEX(Leccion[selectorLeccion],SMALL(IF(BF$1=Leccion[SubSección],MATCH(ROW(Leccion[SubSección]),ROW(Leccion[SubSección]))),ROW(BE40))),"")</f>
        <v/>
      </c>
      <c r="BG41" s="51" t="str">
        <f t="array" aca="1" ref="BG41" ca="1">IFERROR(INDEX(Leccion[selectorLeccion],SMALL(IF(BG$1=Leccion[SubSección],MATCH(ROW(Leccion[SubSección]),ROW(Leccion[SubSección]))),ROW(BF40))),"")</f>
        <v/>
      </c>
      <c r="BH41" s="51" t="str">
        <f t="array" aca="1" ref="BH41" ca="1">IFERROR(INDEX(Leccion[selectorLeccion],SMALL(IF(BH$1=Leccion[SubSección],MATCH(ROW(Leccion[SubSección]),ROW(Leccion[SubSección]))),ROW(BG40))),"")</f>
        <v/>
      </c>
      <c r="BI41" s="51" t="str">
        <f t="array" aca="1" ref="BI41" ca="1">IFERROR(INDEX(Leccion[selectorLeccion],SMALL(IF(BI$1=Leccion[SubSección],MATCH(ROW(Leccion[SubSección]),ROW(Leccion[SubSección]))),ROW(BH40))),"")</f>
        <v/>
      </c>
      <c r="BJ41" s="51" t="str">
        <f t="array" aca="1" ref="BJ41" ca="1">IFERROR(INDEX(Leccion[selectorLeccion],SMALL(IF(BJ$1=Leccion[SubSección],MATCH(ROW(Leccion[SubSección]),ROW(Leccion[SubSección]))),ROW(BI40))),"")</f>
        <v/>
      </c>
      <c r="BK41" s="51" t="str">
        <f t="array" aca="1" ref="BK41" ca="1">IFERROR(INDEX(Leccion[selectorLeccion],SMALL(IF(BK$1=Leccion[SubSección],MATCH(ROW(Leccion[SubSección]),ROW(Leccion[SubSección]))),ROW(BJ40))),"")</f>
        <v/>
      </c>
      <c r="BL41" s="51" t="str">
        <f t="array" aca="1" ref="BL41" ca="1">IFERROR(INDEX(Leccion[selectorLeccion],SMALL(IF(BL$1=Leccion[SubSección],MATCH(ROW(Leccion[SubSección]),ROW(Leccion[SubSección]))),ROW(BK40))),"")</f>
        <v/>
      </c>
      <c r="BM41" s="51" t="str">
        <f t="array" aca="1" ref="BM41" ca="1">IFERROR(INDEX(Leccion[selectorLeccion],SMALL(IF(BM$1=Leccion[SubSección],MATCH(ROW(Leccion[SubSección]),ROW(Leccion[SubSección]))),ROW(BL40))),"")</f>
        <v/>
      </c>
      <c r="BN41" s="51" t="str">
        <f t="array" aca="1" ref="BN41" ca="1">IFERROR(INDEX(Leccion[selectorLeccion],SMALL(IF(BN$1=Leccion[SubSección],MATCH(ROW(Leccion[SubSección]),ROW(Leccion[SubSección]))),ROW(BM40))),"")</f>
        <v/>
      </c>
      <c r="BO41" s="51" t="str">
        <f t="array" aca="1" ref="BO41" ca="1">IFERROR(INDEX(Leccion[selectorLeccion],SMALL(IF(BO$1=Leccion[SubSección],MATCH(ROW(Leccion[SubSección]),ROW(Leccion[SubSección]))),ROW(BN40))),"")</f>
        <v/>
      </c>
      <c r="BP41" s="51" t="str">
        <f t="array" aca="1" ref="BP41" ca="1">IFERROR(INDEX(Leccion[selectorLeccion],SMALL(IF(BP$1=Leccion[SubSección],MATCH(ROW(Leccion[SubSección]),ROW(Leccion[SubSección]))),ROW(BO40))),"")</f>
        <v/>
      </c>
      <c r="BQ41" s="51" t="str">
        <f t="array" aca="1" ref="BQ41" ca="1">IFERROR(INDEX(Leccion[selectorLeccion],SMALL(IF(BQ$1=Leccion[SubSección],MATCH(ROW(Leccion[SubSección]),ROW(Leccion[SubSección]))),ROW(BP40))),"")</f>
        <v/>
      </c>
      <c r="BR41" s="51" t="str">
        <f t="array" aca="1" ref="BR41" ca="1">IFERROR(INDEX(Leccion[selectorLeccion],SMALL(IF(BR$1=Leccion[SubSección],MATCH(ROW(Leccion[SubSección]),ROW(Leccion[SubSección]))),ROW(BQ40))),"")</f>
        <v/>
      </c>
      <c r="BS41" s="51" t="str">
        <f t="array" aca="1" ref="BS41" ca="1">IFERROR(INDEX(Leccion[selectorLeccion],SMALL(IF(BS$1=Leccion[SubSección],MATCH(ROW(Leccion[SubSección]),ROW(Leccion[SubSección]))),ROW(BR40))),"")</f>
        <v/>
      </c>
      <c r="BT41" s="51" t="str">
        <f t="array" aca="1" ref="BT41" ca="1">IFERROR(INDEX(Leccion[selectorLeccion],SMALL(IF(BT$1=Leccion[SubSección],MATCH(ROW(Leccion[SubSección]),ROW(Leccion[SubSección]))),ROW(BS40))),"")</f>
        <v/>
      </c>
      <c r="BU41" s="51" t="str">
        <f t="array" aca="1" ref="BU41" ca="1">IFERROR(INDEX(Leccion[selectorLeccion],SMALL(IF(BU$1=Leccion[SubSección],MATCH(ROW(Leccion[SubSección]),ROW(Leccion[SubSección]))),ROW(BT40))),"")</f>
        <v/>
      </c>
      <c r="BV41" s="51" t="str">
        <f t="array" aca="1" ref="BV41" ca="1">IFERROR(INDEX(Leccion[selectorLeccion],SMALL(IF(BV$1=Leccion[SubSección],MATCH(ROW(Leccion[SubSección]),ROW(Leccion[SubSección]))),ROW(BU40))),"")</f>
        <v/>
      </c>
      <c r="BW41" s="51" t="str">
        <f t="array" aca="1" ref="BW41" ca="1">IFERROR(INDEX(Leccion[selectorLeccion],SMALL(IF(BW$1=Leccion[SubSección],MATCH(ROW(Leccion[SubSección]),ROW(Leccion[SubSección]))),ROW(BV40))),"")</f>
        <v/>
      </c>
      <c r="BX41" s="51" t="str">
        <f t="array" aca="1" ref="BX41" ca="1">IFERROR(INDEX(Leccion[selectorLeccion],SMALL(IF(BX$1=Leccion[SubSección],MATCH(ROW(Leccion[SubSección]),ROW(Leccion[SubSección]))),ROW(BW40))),"")</f>
        <v/>
      </c>
      <c r="BY41" s="51" t="str">
        <f t="array" aca="1" ref="BY41" ca="1">IFERROR(INDEX(Leccion[selectorLeccion],SMALL(IF(BY$1=Leccion[SubSección],MATCH(ROW(Leccion[SubSección]),ROW(Leccion[SubSección]))),ROW(BX40))),"")</f>
        <v/>
      </c>
      <c r="BZ41" s="51" t="str">
        <f t="array" aca="1" ref="BZ41" ca="1">IFERROR(INDEX(Leccion[selectorLeccion],SMALL(IF(BZ$1=Leccion[SubSección],MATCH(ROW(Leccion[SubSección]),ROW(Leccion[SubSección]))),ROW(BY40))),"")</f>
        <v/>
      </c>
      <c r="CA41" s="51" t="str">
        <f t="array" aca="1" ref="CA41" ca="1">IFERROR(INDEX(Leccion[selectorLeccion],SMALL(IF(CA$1=Leccion[SubSección],MATCH(ROW(Leccion[SubSección]),ROW(Leccion[SubSección]))),ROW(BZ40))),"")</f>
        <v/>
      </c>
      <c r="CB41" s="51" t="str">
        <f t="array" aca="1" ref="CB41" ca="1">IFERROR(INDEX(Leccion[selectorLeccion],SMALL(IF(CB$1=Leccion[SubSección],MATCH(ROW(Leccion[SubSección]),ROW(Leccion[SubSección]))),ROW(CA40))),"")</f>
        <v/>
      </c>
      <c r="CC41" s="51" t="str">
        <f t="array" aca="1" ref="CC41" ca="1">IFERROR(INDEX(Leccion[selectorLeccion],SMALL(IF(CC$1=Leccion[SubSección],MATCH(ROW(Leccion[SubSección]),ROW(Leccion[SubSección]))),ROW(CB40))),"")</f>
        <v/>
      </c>
      <c r="CD41" s="51" t="str">
        <f t="array" aca="1" ref="CD41" ca="1">IFERROR(INDEX(Leccion[selectorLeccion],SMALL(IF(CD$1=Leccion[SubSección],MATCH(ROW(Leccion[SubSección]),ROW(Leccion[SubSección]))),ROW(CC40))),"")</f>
        <v/>
      </c>
      <c r="CE41" s="51" t="str">
        <f t="array" aca="1" ref="CE41" ca="1">IFERROR(INDEX(Leccion[selectorLeccion],SMALL(IF(CE$1=Leccion[SubSección],MATCH(ROW(Leccion[SubSección]),ROW(Leccion[SubSección]))),ROW(CD40))),"")</f>
        <v/>
      </c>
      <c r="CF41" s="51" t="str">
        <f t="array" aca="1" ref="CF41" ca="1">IFERROR(INDEX(Leccion[selectorLeccion],SMALL(IF(CF$1=Leccion[SubSección],MATCH(ROW(Leccion[SubSección]),ROW(Leccion[SubSección]))),ROW(CE40))),"")</f>
        <v/>
      </c>
      <c r="CG41" s="51" t="str">
        <f t="array" aca="1" ref="CG41" ca="1">IFERROR(INDEX(Leccion[selectorLeccion],SMALL(IF(CG$1=Leccion[SubSección],MATCH(ROW(Leccion[SubSección]),ROW(Leccion[SubSección]))),ROW(CF40))),"")</f>
        <v/>
      </c>
      <c r="CH41" s="51" t="str">
        <f t="array" aca="1" ref="CH41" ca="1">IFERROR(INDEX(Leccion[selectorLeccion],SMALL(IF(CH$1=Leccion[SubSección],MATCH(ROW(Leccion[SubSección]),ROW(Leccion[SubSección]))),ROW(CG40))),"")</f>
        <v/>
      </c>
      <c r="CI41" s="51" t="str">
        <f t="array" aca="1" ref="CI41" ca="1">IFERROR(INDEX(Leccion[selectorLeccion],SMALL(IF(CI$1=Leccion[SubSección],MATCH(ROW(Leccion[SubSección]),ROW(Leccion[SubSección]))),ROW(CH40))),"")</f>
        <v/>
      </c>
      <c r="CJ41" s="51" t="str">
        <f t="array" aca="1" ref="CJ41" ca="1">IFERROR(INDEX(Leccion[selectorLeccion],SMALL(IF(CJ$1=Leccion[SubSección],MATCH(ROW(Leccion[SubSección]),ROW(Leccion[SubSección]))),ROW(CI40))),"")</f>
        <v/>
      </c>
      <c r="CK41" s="51" t="str">
        <f t="array" aca="1" ref="CK41" ca="1">IFERROR(INDEX(Leccion[selectorLeccion],SMALL(IF(CK$1=Leccion[SubSección],MATCH(ROW(Leccion[SubSección]),ROW(Leccion[SubSección]))),ROW(CJ40))),"")</f>
        <v/>
      </c>
      <c r="CL41" s="51" t="str">
        <f t="array" aca="1" ref="CL41" ca="1">IFERROR(INDEX(Leccion[selectorLeccion],SMALL(IF(CL$1=Leccion[SubSección],MATCH(ROW(Leccion[SubSección]),ROW(Leccion[SubSección]))),ROW(CK40))),"")</f>
        <v/>
      </c>
      <c r="CM41" s="51" t="str">
        <f t="array" aca="1" ref="CM41" ca="1">IFERROR(INDEX(Leccion[selectorLeccion],SMALL(IF(CM$1=Leccion[SubSección],MATCH(ROW(Leccion[SubSección]),ROW(Leccion[SubSección]))),ROW(CL40))),"")</f>
        <v/>
      </c>
      <c r="CN41" s="51" t="str">
        <f t="array" aca="1" ref="CN41" ca="1">IFERROR(INDEX(Leccion[selectorLeccion],SMALL(IF(CN$1=Leccion[SubSección],MATCH(ROW(Leccion[SubSección]),ROW(Leccion[SubSección]))),ROW(CM40))),"")</f>
        <v/>
      </c>
      <c r="CO41" s="51" t="str">
        <f t="array" aca="1" ref="CO41" ca="1">IFERROR(INDEX(Leccion[selectorLeccion],SMALL(IF(CO$1=Leccion[SubSección],MATCH(ROW(Leccion[SubSección]),ROW(Leccion[SubSección]))),ROW(CN40))),"")</f>
        <v/>
      </c>
      <c r="CP41" s="51" t="str">
        <f t="array" aca="1" ref="CP41" ca="1">IFERROR(INDEX(Leccion[selectorLeccion],SMALL(IF(CP$1=Leccion[SubSección],MATCH(ROW(Leccion[SubSección]),ROW(Leccion[SubSección]))),ROW(CO40))),"")</f>
        <v/>
      </c>
      <c r="CQ41" s="51" t="str">
        <f t="array" aca="1" ref="CQ41" ca="1">IFERROR(INDEX(Leccion[selectorLeccion],SMALL(IF(CQ$1=Leccion[SubSección],MATCH(ROW(Leccion[SubSección]),ROW(Leccion[SubSección]))),ROW(CP40))),"")</f>
        <v/>
      </c>
      <c r="CR41" s="51" t="str">
        <f t="array" aca="1" ref="CR41" ca="1">IFERROR(INDEX(Leccion[selectorLeccion],SMALL(IF(CR$1=Leccion[SubSección],MATCH(ROW(Leccion[SubSección]),ROW(Leccion[SubSección]))),ROW(CQ40))),"")</f>
        <v/>
      </c>
      <c r="CS41" s="51" t="str">
        <f t="array" aca="1" ref="CS41" ca="1">IFERROR(INDEX(Leccion[selectorLeccion],SMALL(IF(CS$1=Leccion[SubSección],MATCH(ROW(Leccion[SubSección]),ROW(Leccion[SubSección]))),ROW(CR40))),"")</f>
        <v/>
      </c>
      <c r="CT41" s="51" t="str">
        <f t="array" aca="1" ref="CT41" ca="1">IFERROR(INDEX(Leccion[selectorLeccion],SMALL(IF(CT$1=Leccion[SubSección],MATCH(ROW(Leccion[SubSección]),ROW(Leccion[SubSección]))),ROW(CS40))),"")</f>
        <v/>
      </c>
      <c r="CU41" s="51" t="str">
        <f t="array" aca="1" ref="CU41" ca="1">IFERROR(INDEX(Leccion[selectorLeccion],SMALL(IF(CU$1=Leccion[SubSección],MATCH(ROW(Leccion[SubSección]),ROW(Leccion[SubSección]))),ROW(CT40))),"")</f>
        <v/>
      </c>
      <c r="CV41" s="51" t="str">
        <f t="array" aca="1" ref="CV41" ca="1">IFERROR(INDEX(Leccion[selectorLeccion],SMALL(IF(CV$1=Leccion[SubSección],MATCH(ROW(Leccion[SubSección]),ROW(Leccion[SubSección]))),ROW(CU40))),"")</f>
        <v/>
      </c>
      <c r="CW41" s="51" t="str">
        <f t="array" aca="1" ref="CW41" ca="1">IFERROR(INDEX(Leccion[selectorLeccion],SMALL(IF(CW$1=Leccion[SubSección],MATCH(ROW(Leccion[SubSección]),ROW(Leccion[SubSección]))),ROW(CV40))),"")</f>
        <v/>
      </c>
      <c r="CX41" s="51" t="str">
        <f t="array" aca="1" ref="CX41" ca="1">IFERROR(INDEX(Leccion[selectorLeccion],SMALL(IF(CX$1=Leccion[SubSección],MATCH(ROW(Leccion[SubSección]),ROW(Leccion[SubSección]))),ROW(CW40))),"")</f>
        <v/>
      </c>
      <c r="CY41" s="51" t="str">
        <f t="array" aca="1" ref="CY41" ca="1">IFERROR(INDEX(Leccion[selectorLeccion],SMALL(IF(CY$1=Leccion[SubSección],MATCH(ROW(Leccion[SubSección]),ROW(Leccion[SubSección]))),ROW(CX40))),"")</f>
        <v/>
      </c>
      <c r="CZ41" s="51" t="str">
        <f t="array" aca="1" ref="CZ41" ca="1">IFERROR(INDEX(Leccion[selectorLeccion],SMALL(IF(CZ$1=Leccion[SubSección],MATCH(ROW(Leccion[SubSección]),ROW(Leccion[SubSección]))),ROW(CY40))),"")</f>
        <v/>
      </c>
      <c r="DA41" s="51" t="str">
        <f t="array" aca="1" ref="DA41" ca="1">IFERROR(INDEX(Leccion[selectorLeccion],SMALL(IF(DA$1=Leccion[SubSección],MATCH(ROW(Leccion[SubSección]),ROW(Leccion[SubSección]))),ROW(CZ40))),"")</f>
        <v/>
      </c>
      <c r="DB41" s="51" t="str">
        <f t="array" aca="1" ref="DB41" ca="1">IFERROR(INDEX(Leccion[selectorLeccion],SMALL(IF(DB$1=Leccion[SubSección],MATCH(ROW(Leccion[SubSección]),ROW(Leccion[SubSección]))),ROW(DA40))),"")</f>
        <v/>
      </c>
      <c r="DC41" s="51" t="str">
        <f t="array" aca="1" ref="DC41" ca="1">IFERROR(INDEX(Leccion[selectorLeccion],SMALL(IF(DC$1=Leccion[SubSección],MATCH(ROW(Leccion[SubSección]),ROW(Leccion[SubSección]))),ROW(DB40))),"")</f>
        <v/>
      </c>
      <c r="DD41" s="51" t="str">
        <f t="array" aca="1" ref="DD41" ca="1">IFERROR(INDEX(Leccion[selectorLeccion],SMALL(IF(DD$1=Leccion[SubSección],MATCH(ROW(Leccion[SubSección]),ROW(Leccion[SubSección]))),ROW(DC40))),"")</f>
        <v/>
      </c>
      <c r="DE41" s="51" t="str">
        <f t="array" aca="1" ref="DE41" ca="1">IFERROR(INDEX(Leccion[selectorLeccion],SMALL(IF(DE$1=Leccion[SubSección],MATCH(ROW(Leccion[SubSección]),ROW(Leccion[SubSección]))),ROW(DD40))),"")</f>
        <v/>
      </c>
      <c r="DF41" s="51" t="str">
        <f t="array" aca="1" ref="DF41" ca="1">IFERROR(INDEX(Leccion[selectorLeccion],SMALL(IF(DF$1=Leccion[SubSección],MATCH(ROW(Leccion[SubSección]),ROW(Leccion[SubSección]))),ROW(DE40))),"")</f>
        <v/>
      </c>
      <c r="DG41" s="51" t="str">
        <f t="array" aca="1" ref="DG41" ca="1">IFERROR(INDEX(Leccion[selectorLeccion],SMALL(IF(DG$1=Leccion[SubSección],MATCH(ROW(Leccion[SubSección]),ROW(Leccion[SubSección]))),ROW(DF40))),"")</f>
        <v/>
      </c>
      <c r="DH41" s="51" t="str">
        <f t="array" aca="1" ref="DH41" ca="1">IFERROR(INDEX(Leccion[selectorLeccion],SMALL(IF(DH$1=Leccion[SubSección],MATCH(ROW(Leccion[SubSección]),ROW(Leccion[SubSección]))),ROW(DG40))),"")</f>
        <v/>
      </c>
      <c r="DI41" s="51" t="str">
        <f t="array" aca="1" ref="DI41" ca="1">IFERROR(INDEX(Leccion[selectorLeccion],SMALL(IF(DI$1=Leccion[SubSección],MATCH(ROW(Leccion[SubSección]),ROW(Leccion[SubSección]))),ROW(DH40))),"")</f>
        <v/>
      </c>
      <c r="DJ41" s="51" t="str">
        <f t="array" aca="1" ref="DJ41" ca="1">IFERROR(INDEX(Leccion[selectorLeccion],SMALL(IF(DJ$1=Leccion[SubSección],MATCH(ROW(Leccion[SubSección]),ROW(Leccion[SubSección]))),ROW(DI40))),"")</f>
        <v/>
      </c>
      <c r="DK41" s="51" t="str">
        <f t="array" aca="1" ref="DK41" ca="1">IFERROR(INDEX(Leccion[selectorLeccion],SMALL(IF(DK$1=Leccion[SubSección],MATCH(ROW(Leccion[SubSección]),ROW(Leccion[SubSección]))),ROW(DJ40))),"")</f>
        <v/>
      </c>
      <c r="DL41" s="51" t="str">
        <f t="array" aca="1" ref="DL41" ca="1">IFERROR(INDEX(Leccion[selectorLeccion],SMALL(IF(DL$1=Leccion[SubSección],MATCH(ROW(Leccion[SubSección]),ROW(Leccion[SubSección]))),ROW(DK40))),"")</f>
        <v/>
      </c>
      <c r="DM41" s="51" t="str">
        <f t="array" aca="1" ref="DM41" ca="1">IFERROR(INDEX(Leccion[selectorLeccion],SMALL(IF(DM$1=Leccion[SubSección],MATCH(ROW(Leccion[SubSección]),ROW(Leccion[SubSección]))),ROW(DL40))),"")</f>
        <v/>
      </c>
      <c r="DN41" s="51" t="str">
        <f t="array" aca="1" ref="DN41" ca="1">IFERROR(INDEX(Leccion[selectorLeccion],SMALL(IF(DN$1=Leccion[SubSección],MATCH(ROW(Leccion[SubSección]),ROW(Leccion[SubSección]))),ROW(DM40))),"")</f>
        <v/>
      </c>
      <c r="DO41" s="51" t="str">
        <f t="array" aca="1" ref="DO41" ca="1">IFERROR(INDEX(Leccion[selectorLeccion],SMALL(IF(DO$1=Leccion[SubSección],MATCH(ROW(Leccion[SubSección]),ROW(Leccion[SubSección]))),ROW(DN40))),"")</f>
        <v/>
      </c>
      <c r="DP41" s="51" t="str">
        <f t="array" aca="1" ref="DP41" ca="1">IFERROR(INDEX(Leccion[selectorLeccion],SMALL(IF(DP$1=Leccion[SubSección],MATCH(ROW(Leccion[SubSección]),ROW(Leccion[SubSección]))),ROW(DO40))),"")</f>
        <v/>
      </c>
      <c r="DQ41" s="51" t="str">
        <f t="array" aca="1" ref="DQ41" ca="1">IFERROR(INDEX(Leccion[selectorLeccion],SMALL(IF(DQ$1=Leccion[SubSección],MATCH(ROW(Leccion[SubSección]),ROW(Leccion[SubSección]))),ROW(DP40))),"")</f>
        <v/>
      </c>
      <c r="DR41" s="51" t="str">
        <f t="array" aca="1" ref="DR41" ca="1">IFERROR(INDEX(Leccion[selectorLeccion],SMALL(IF(DR$1=Leccion[SubSección],MATCH(ROW(Leccion[SubSección]),ROW(Leccion[SubSección]))),ROW(DQ40))),"")</f>
        <v/>
      </c>
      <c r="DS41" s="51" t="str">
        <f t="array" aca="1" ref="DS41" ca="1">IFERROR(INDEX(Leccion[selectorLeccion],SMALL(IF(DS$1=Leccion[SubSección],MATCH(ROW(Leccion[SubSección]),ROW(Leccion[SubSección]))),ROW(DR40))),"")</f>
        <v/>
      </c>
      <c r="DT41" s="51" t="str">
        <f t="array" aca="1" ref="DT41" ca="1">IFERROR(INDEX(Leccion[selectorLeccion],SMALL(IF(DT$1=Leccion[SubSección],MATCH(ROW(Leccion[SubSección]),ROW(Leccion[SubSección]))),ROW(DS40))),"")</f>
        <v/>
      </c>
      <c r="DU41" s="51" t="str">
        <f t="array" aca="1" ref="DU41" ca="1">IFERROR(INDEX(Leccion[selectorLeccion],SMALL(IF(DU$1=Leccion[SubSección],MATCH(ROW(Leccion[SubSección]),ROW(Leccion[SubSección]))),ROW(DT40))),"")</f>
        <v/>
      </c>
      <c r="DV41" s="51" t="str">
        <f t="array" aca="1" ref="DV41" ca="1">IFERROR(INDEX(Leccion[selectorLeccion],SMALL(IF(DV$1=Leccion[SubSección],MATCH(ROW(Leccion[SubSección]),ROW(Leccion[SubSección]))),ROW(DU40))),"")</f>
        <v/>
      </c>
      <c r="DW41" s="51" t="str">
        <f t="array" aca="1" ref="DW41" ca="1">IFERROR(INDEX(Leccion[selectorLeccion],SMALL(IF(DW$1=Leccion[SubSección],MATCH(ROW(Leccion[SubSección]),ROW(Leccion[SubSección]))),ROW(DV40))),"")</f>
        <v/>
      </c>
      <c r="DX41" s="51" t="str">
        <f t="array" aca="1" ref="DX41" ca="1">IFERROR(INDEX(Leccion[selectorLeccion],SMALL(IF(DX$1=Leccion[SubSección],MATCH(ROW(Leccion[SubSección]),ROW(Leccion[SubSección]))),ROW(DW40))),"")</f>
        <v/>
      </c>
      <c r="DY41" s="51" t="str">
        <f t="array" aca="1" ref="DY41" ca="1">IFERROR(INDEX(Leccion[selectorLeccion],SMALL(IF(DY$1=Leccion[SubSección],MATCH(ROW(Leccion[SubSección]),ROW(Leccion[SubSección]))),ROW(DX40))),"")</f>
        <v/>
      </c>
      <c r="DZ41" s="51" t="str">
        <f t="array" aca="1" ref="DZ41" ca="1">IFERROR(INDEX(Leccion[selectorLeccion],SMALL(IF(DZ$1=Leccion[SubSección],MATCH(ROW(Leccion[SubSección]),ROW(Leccion[SubSección]))),ROW(DY40))),"")</f>
        <v/>
      </c>
      <c r="EA41" s="51" t="str">
        <f t="array" aca="1" ref="EA41" ca="1">IFERROR(INDEX(Leccion[selectorLeccion],SMALL(IF(EA$1=Leccion[SubSección],MATCH(ROW(Leccion[SubSección]),ROW(Leccion[SubSección]))),ROW(DZ40))),"")</f>
        <v/>
      </c>
      <c r="EB41" s="51" t="str">
        <f t="array" aca="1" ref="EB41" ca="1">IFERROR(INDEX(Leccion[selectorLeccion],SMALL(IF(EB$1=Leccion[SubSección],MATCH(ROW(Leccion[SubSección]),ROW(Leccion[SubSección]))),ROW(EA40))),"")</f>
        <v/>
      </c>
      <c r="EC41" s="51" t="str">
        <f t="array" aca="1" ref="EC41" ca="1">IFERROR(INDEX(Leccion[selectorLeccion],SMALL(IF(EC$1=Leccion[SubSección],MATCH(ROW(Leccion[SubSección]),ROW(Leccion[SubSección]))),ROW(EB40))),"")</f>
        <v/>
      </c>
      <c r="ED41" s="51" t="str">
        <f t="array" aca="1" ref="ED41" ca="1">IFERROR(INDEX(Leccion[selectorLeccion],SMALL(IF(ED$1=Leccion[SubSección],MATCH(ROW(Leccion[SubSección]),ROW(Leccion[SubSección]))),ROW(EC40))),"")</f>
        <v/>
      </c>
      <c r="EE41" s="51" t="str">
        <f t="array" aca="1" ref="EE41" ca="1">IFERROR(INDEX(Leccion[selectorLeccion],SMALL(IF(EE$1=Leccion[SubSección],MATCH(ROW(Leccion[SubSección]),ROW(Leccion[SubSección]))),ROW(ED40))),"")</f>
        <v/>
      </c>
      <c r="EF41" s="51" t="str">
        <f t="array" aca="1" ref="EF41" ca="1">IFERROR(INDEX(Leccion[selectorLeccion],SMALL(IF(EF$1=Leccion[SubSección],MATCH(ROW(Leccion[SubSección]),ROW(Leccion[SubSección]))),ROW(EE40))),"")</f>
        <v/>
      </c>
      <c r="EG41" s="51" t="str">
        <f t="array" aca="1" ref="EG41" ca="1">IFERROR(INDEX(Leccion[selectorLeccion],SMALL(IF(EG$1=Leccion[SubSección],MATCH(ROW(Leccion[SubSección]),ROW(Leccion[SubSección]))),ROW(EF40))),"")</f>
        <v/>
      </c>
      <c r="EH41" s="51" t="str">
        <f t="array" aca="1" ref="EH41" ca="1">IFERROR(INDEX(Leccion[selectorLeccion],SMALL(IF(EH$1=Leccion[SubSección],MATCH(ROW(Leccion[SubSección]),ROW(Leccion[SubSección]))),ROW(EG40))),"")</f>
        <v/>
      </c>
      <c r="EI41" s="51" t="str">
        <f t="array" aca="1" ref="EI41" ca="1">IFERROR(INDEX(Leccion[selectorLeccion],SMALL(IF(EI$1=Leccion[SubSección],MATCH(ROW(Leccion[SubSección]),ROW(Leccion[SubSección]))),ROW(EH40))),"")</f>
        <v/>
      </c>
      <c r="EJ41" s="51" t="str">
        <f t="array" aca="1" ref="EJ41" ca="1">IFERROR(INDEX(Leccion[selectorLeccion],SMALL(IF(EJ$1=Leccion[SubSección],MATCH(ROW(Leccion[SubSección]),ROW(Leccion[SubSección]))),ROW(EI40))),"")</f>
        <v/>
      </c>
      <c r="EK41" s="51" t="str">
        <f t="array" aca="1" ref="EK41" ca="1">IFERROR(INDEX(Leccion[selectorLeccion],SMALL(IF(EK$1=Leccion[SubSección],MATCH(ROW(Leccion[SubSección]),ROW(Leccion[SubSección]))),ROW(EJ40))),"")</f>
        <v/>
      </c>
      <c r="EL41" s="51" t="str">
        <f t="array" aca="1" ref="EL41" ca="1">IFERROR(INDEX(Leccion[selectorLeccion],SMALL(IF(EL$1=Leccion[SubSección],MATCH(ROW(Leccion[SubSección]),ROW(Leccion[SubSección]))),ROW(EK40))),"")</f>
        <v/>
      </c>
      <c r="EM41" s="51" t="str">
        <f t="array" aca="1" ref="EM41" ca="1">IFERROR(INDEX(Leccion[selectorLeccion],SMALL(IF(EM$1=Leccion[SubSección],MATCH(ROW(Leccion[SubSección]),ROW(Leccion[SubSección]))),ROW(EL40))),"")</f>
        <v/>
      </c>
      <c r="EN41" s="51" t="str">
        <f t="array" aca="1" ref="EN41" ca="1">IFERROR(INDEX(Leccion[selectorLeccion],SMALL(IF(EN$1=Leccion[SubSección],MATCH(ROW(Leccion[SubSección]),ROW(Leccion[SubSección]))),ROW(EM40))),"")</f>
        <v/>
      </c>
      <c r="EO41" s="51" t="str">
        <f t="array" aca="1" ref="EO41" ca="1">IFERROR(INDEX(Leccion[selectorLeccion],SMALL(IF(EO$1=Leccion[SubSección],MATCH(ROW(Leccion[SubSección]),ROW(Leccion[SubSección]))),ROW(EN40))),"")</f>
        <v/>
      </c>
      <c r="EP41" s="51" t="str">
        <f t="array" aca="1" ref="EP41" ca="1">IFERROR(INDEX(Leccion[selectorLeccion],SMALL(IF(EP$1=Leccion[SubSección],MATCH(ROW(Leccion[SubSección]),ROW(Leccion[SubSección]))),ROW(EO40))),"")</f>
        <v/>
      </c>
      <c r="EQ41" s="51" t="str">
        <f t="array" aca="1" ref="EQ41" ca="1">IFERROR(INDEX(Leccion[selectorLeccion],SMALL(IF(EQ$1=Leccion[SubSección],MATCH(ROW(Leccion[SubSección]),ROW(Leccion[SubSección]))),ROW(EP40))),"")</f>
        <v/>
      </c>
      <c r="ER41" s="51" t="str">
        <f t="array" aca="1" ref="ER41" ca="1">IFERROR(INDEX(Leccion[selectorLeccion],SMALL(IF(ER$1=Leccion[SubSección],MATCH(ROW(Leccion[SubSección]),ROW(Leccion[SubSección]))),ROW(EQ40))),"")</f>
        <v/>
      </c>
      <c r="ES41" s="51" t="str">
        <f t="array" aca="1" ref="ES41" ca="1">IFERROR(INDEX(Leccion[selectorLeccion],SMALL(IF(ES$1=Leccion[SubSección],MATCH(ROW(Leccion[SubSección]),ROW(Leccion[SubSección]))),ROW(ER40))),"")</f>
        <v/>
      </c>
      <c r="ET41" s="51" t="str">
        <f t="array" aca="1" ref="ET41" ca="1">IFERROR(INDEX(Leccion[selectorLeccion],SMALL(IF(ET$1=Leccion[SubSección],MATCH(ROW(Leccion[SubSección]),ROW(Leccion[SubSección]))),ROW(ES40))),"")</f>
        <v/>
      </c>
      <c r="EU41" s="51" t="str">
        <f t="array" aca="1" ref="EU41" ca="1">IFERROR(INDEX(Leccion[selectorLeccion],SMALL(IF(EU$1=Leccion[SubSección],MATCH(ROW(Leccion[SubSección]),ROW(Leccion[SubSección]))),ROW(ET40))),"")</f>
        <v/>
      </c>
      <c r="EV41" s="51" t="str">
        <f t="array" aca="1" ref="EV41" ca="1">IFERROR(INDEX(Leccion[selectorLeccion],SMALL(IF(EV$1=Leccion[SubSección],MATCH(ROW(Leccion[SubSección]),ROW(Leccion[SubSección]))),ROW(EU40))),"")</f>
        <v/>
      </c>
      <c r="EW41" s="51" t="str">
        <f t="array" aca="1" ref="EW41" ca="1">IFERROR(INDEX(Leccion[selectorLeccion],SMALL(IF(EW$1=Leccion[SubSección],MATCH(ROW(Leccion[SubSección]),ROW(Leccion[SubSección]))),ROW(EV40))),"")</f>
        <v/>
      </c>
      <c r="EX41" s="51" t="str">
        <f t="array" aca="1" ref="EX41" ca="1">IFERROR(INDEX(Leccion[selectorLeccion],SMALL(IF(EX$1=Leccion[SubSección],MATCH(ROW(Leccion[SubSección]),ROW(Leccion[SubSección]))),ROW(EW40))),"")</f>
        <v/>
      </c>
      <c r="EY41" s="51" t="str">
        <f t="array" aca="1" ref="EY41" ca="1">IFERROR(INDEX(Leccion[selectorLeccion],SMALL(IF(EY$1=Leccion[SubSección],MATCH(ROW(Leccion[SubSección]),ROW(Leccion[SubSección]))),ROW(EX40))),"")</f>
        <v/>
      </c>
      <c r="EZ41" s="51" t="str">
        <f t="array" aca="1" ref="EZ41" ca="1">IFERROR(INDEX(Leccion[selectorLeccion],SMALL(IF(EZ$1=Leccion[SubSección],MATCH(ROW(Leccion[SubSección]),ROW(Leccion[SubSección]))),ROW(EY40))),"")</f>
        <v/>
      </c>
    </row>
    <row r="42" spans="2:156" x14ac:dyDescent="0.3">
      <c r="B42" s="51" t="str">
        <f t="array" aca="1" ref="B42" ca="1">IFERROR(INDEX(Leccion[selectorLeccion],SMALL(IF(B$1=Leccion[SubSección],MATCH(ROW(Leccion[SubSección]),ROW(Leccion[SubSección]))),ROW(A41))),"")</f>
        <v/>
      </c>
      <c r="C42" s="51" t="str">
        <f t="array" aca="1" ref="C42" ca="1">IFERROR(INDEX(Leccion[selectorLeccion],SMALL(IF(C$1=Leccion[SubSección],MATCH(ROW(Leccion[SubSección]),ROW(Leccion[SubSección]))),ROW(B41))),"")</f>
        <v/>
      </c>
      <c r="D42" s="51" t="str">
        <f t="array" aca="1" ref="D42" ca="1">IFERROR(INDEX(Leccion[selectorLeccion],SMALL(IF(D$1=Leccion[SubSección],MATCH(ROW(Leccion[SubSección]),ROW(Leccion[SubSección]))),ROW(C41))),"")</f>
        <v/>
      </c>
      <c r="E42" s="51" t="str">
        <f t="array" aca="1" ref="E42" ca="1">IFERROR(INDEX(Leccion[selectorLeccion],SMALL(IF(E$1=Leccion[SubSección],MATCH(ROW(Leccion[SubSección]),ROW(Leccion[SubSección]))),ROW(D41))),"")</f>
        <v/>
      </c>
      <c r="F42" s="51" t="str">
        <f t="array" aca="1" ref="F42" ca="1">IFERROR(INDEX(Leccion[selectorLeccion],SMALL(IF(F$1=Leccion[SubSección],MATCH(ROW(Leccion[SubSección]),ROW(Leccion[SubSección]))),ROW(E41))),"")</f>
        <v/>
      </c>
      <c r="G42" s="51" t="str">
        <f t="array" aca="1" ref="G42" ca="1">IFERROR(INDEX(Leccion[selectorLeccion],SMALL(IF(G$1=Leccion[SubSección],MATCH(ROW(Leccion[SubSección]),ROW(Leccion[SubSección]))),ROW(F41))),"")</f>
        <v/>
      </c>
      <c r="H42" s="51" t="str">
        <f t="array" aca="1" ref="H42" ca="1">IFERROR(INDEX(Leccion[selectorLeccion],SMALL(IF(H$1=Leccion[SubSección],MATCH(ROW(Leccion[SubSección]),ROW(Leccion[SubSección]))),ROW(G41))),"")</f>
        <v/>
      </c>
      <c r="I42" s="51" t="str">
        <f t="array" aca="1" ref="I42" ca="1">IFERROR(INDEX(Leccion[selectorLeccion],SMALL(IF(I$1=Leccion[SubSección],MATCH(ROW(Leccion[SubSección]),ROW(Leccion[SubSección]))),ROW(H41))),"")</f>
        <v/>
      </c>
      <c r="J42" s="51" t="str">
        <f t="array" aca="1" ref="J42" ca="1">IFERROR(INDEX(Leccion[selectorLeccion],SMALL(IF(J$1=Leccion[SubSección],MATCH(ROW(Leccion[SubSección]),ROW(Leccion[SubSección]))),ROW(I41))),"")</f>
        <v/>
      </c>
      <c r="K42" s="51" t="str">
        <f t="array" aca="1" ref="K42" ca="1">IFERROR(INDEX(Leccion[selectorLeccion],SMALL(IF(K$1=Leccion[SubSección],MATCH(ROW(Leccion[SubSección]),ROW(Leccion[SubSección]))),ROW(J41))),"")</f>
        <v/>
      </c>
      <c r="L42" s="51" t="str">
        <f t="array" aca="1" ref="L42" ca="1">IFERROR(INDEX(Leccion[selectorLeccion],SMALL(IF(L$1=Leccion[SubSección],MATCH(ROW(Leccion[SubSección]),ROW(Leccion[SubSección]))),ROW(K41))),"")</f>
        <v/>
      </c>
      <c r="M42" s="51" t="str">
        <f t="array" aca="1" ref="M42" ca="1">IFERROR(INDEX(Leccion[selectorLeccion],SMALL(IF(M$1=Leccion[SubSección],MATCH(ROW(Leccion[SubSección]),ROW(Leccion[SubSección]))),ROW(L41))),"")</f>
        <v/>
      </c>
      <c r="N42" s="51" t="str">
        <f t="array" aca="1" ref="N42" ca="1">IFERROR(INDEX(Leccion[selectorLeccion],SMALL(IF(N$1=Leccion[SubSección],MATCH(ROW(Leccion[SubSección]),ROW(Leccion[SubSección]))),ROW(M41))),"")</f>
        <v/>
      </c>
      <c r="O42" s="51" t="str">
        <f t="array" aca="1" ref="O42" ca="1">IFERROR(INDEX(Leccion[selectorLeccion],SMALL(IF(O$1=Leccion[SubSección],MATCH(ROW(Leccion[SubSección]),ROW(Leccion[SubSección]))),ROW(N41))),"")</f>
        <v/>
      </c>
      <c r="P42" s="51" t="str">
        <f t="array" aca="1" ref="P42" ca="1">IFERROR(INDEX(Leccion[selectorLeccion],SMALL(IF(P$1=Leccion[SubSección],MATCH(ROW(Leccion[SubSección]),ROW(Leccion[SubSección]))),ROW(O41))),"")</f>
        <v/>
      </c>
      <c r="Q42" s="51" t="str">
        <f t="array" aca="1" ref="Q42" ca="1">IFERROR(INDEX(Leccion[selectorLeccion],SMALL(IF(Q$1=Leccion[SubSección],MATCH(ROW(Leccion[SubSección]),ROW(Leccion[SubSección]))),ROW(P41))),"")</f>
        <v/>
      </c>
      <c r="R42" s="51" t="str">
        <f t="array" aca="1" ref="R42" ca="1">IFERROR(INDEX(Leccion[selectorLeccion],SMALL(IF(R$1=Leccion[SubSección],MATCH(ROW(Leccion[SubSección]),ROW(Leccion[SubSección]))),ROW(Q41))),"")</f>
        <v/>
      </c>
      <c r="S42" s="51" t="str">
        <f t="array" aca="1" ref="S42" ca="1">IFERROR(INDEX(Leccion[selectorLeccion],SMALL(IF(S$1=Leccion[SubSección],MATCH(ROW(Leccion[SubSección]),ROW(Leccion[SubSección]))),ROW(R41))),"")</f>
        <v/>
      </c>
      <c r="T42" s="51" t="str">
        <f t="array" aca="1" ref="T42" ca="1">IFERROR(INDEX(Leccion[selectorLeccion],SMALL(IF(T$1=Leccion[SubSección],MATCH(ROW(Leccion[SubSección]),ROW(Leccion[SubSección]))),ROW(S41))),"")</f>
        <v/>
      </c>
      <c r="U42" s="51" t="str">
        <f t="array" aca="1" ref="U42" ca="1">IFERROR(INDEX(Leccion[selectorLeccion],SMALL(IF(U$1=Leccion[SubSección],MATCH(ROW(Leccion[SubSección]),ROW(Leccion[SubSección]))),ROW(T41))),"")</f>
        <v/>
      </c>
      <c r="V42" s="51" t="str">
        <f t="array" aca="1" ref="V42" ca="1">IFERROR(INDEX(Leccion[selectorLeccion],SMALL(IF(V$1=Leccion[SubSección],MATCH(ROW(Leccion[SubSección]),ROW(Leccion[SubSección]))),ROW(U41))),"")</f>
        <v/>
      </c>
      <c r="W42" s="51" t="str">
        <f t="array" aca="1" ref="W42" ca="1">IFERROR(INDEX(Leccion[selectorLeccion],SMALL(IF(W$1=Leccion[SubSección],MATCH(ROW(Leccion[SubSección]),ROW(Leccion[SubSección]))),ROW(V41))),"")</f>
        <v/>
      </c>
      <c r="X42" s="51" t="str">
        <f t="array" aca="1" ref="X42" ca="1">IFERROR(INDEX(Leccion[selectorLeccion],SMALL(IF(X$1=Leccion[SubSección],MATCH(ROW(Leccion[SubSección]),ROW(Leccion[SubSección]))),ROW(W41))),"")</f>
        <v/>
      </c>
      <c r="Y42" s="51" t="str">
        <f t="array" aca="1" ref="Y42" ca="1">IFERROR(INDEX(Leccion[selectorLeccion],SMALL(IF(Y$1=Leccion[SubSección],MATCH(ROW(Leccion[SubSección]),ROW(Leccion[SubSección]))),ROW(X41))),"")</f>
        <v/>
      </c>
      <c r="Z42" s="51" t="str">
        <f t="array" aca="1" ref="Z42" ca="1">IFERROR(INDEX(Leccion[selectorLeccion],SMALL(IF(Z$1=Leccion[SubSección],MATCH(ROW(Leccion[SubSección]),ROW(Leccion[SubSección]))),ROW(Y41))),"")</f>
        <v/>
      </c>
      <c r="AA42" s="51" t="str">
        <f t="array" aca="1" ref="AA42" ca="1">IFERROR(INDEX(Leccion[selectorLeccion],SMALL(IF(AA$1=Leccion[SubSección],MATCH(ROW(Leccion[SubSección]),ROW(Leccion[SubSección]))),ROW(Z41))),"")</f>
        <v/>
      </c>
      <c r="AB42" s="51" t="str">
        <f t="array" aca="1" ref="AB42" ca="1">IFERROR(INDEX(Leccion[selectorLeccion],SMALL(IF(AB$1=Leccion[SubSección],MATCH(ROW(Leccion[SubSección]),ROW(Leccion[SubSección]))),ROW(AA41))),"")</f>
        <v/>
      </c>
      <c r="AC42" s="51" t="str">
        <f t="array" aca="1" ref="AC42" ca="1">IFERROR(INDEX(Leccion[selectorLeccion],SMALL(IF(AC$1=Leccion[SubSección],MATCH(ROW(Leccion[SubSección]),ROW(Leccion[SubSección]))),ROW(AB41))),"")</f>
        <v/>
      </c>
      <c r="AD42" s="51" t="str">
        <f t="array" aca="1" ref="AD42" ca="1">IFERROR(INDEX(Leccion[selectorLeccion],SMALL(IF(AD$1=Leccion[SubSección],MATCH(ROW(Leccion[SubSección]),ROW(Leccion[SubSección]))),ROW(AC41))),"")</f>
        <v/>
      </c>
      <c r="AE42" s="51" t="str">
        <f t="array" aca="1" ref="AE42" ca="1">IFERROR(INDEX(Leccion[selectorLeccion],SMALL(IF(AE$1=Leccion[SubSección],MATCH(ROW(Leccion[SubSección]),ROW(Leccion[SubSección]))),ROW(AD41))),"")</f>
        <v/>
      </c>
      <c r="AF42" s="51" t="str">
        <f t="array" aca="1" ref="AF42" ca="1">IFERROR(INDEX(Leccion[selectorLeccion],SMALL(IF(AF$1=Leccion[SubSección],MATCH(ROW(Leccion[SubSección]),ROW(Leccion[SubSección]))),ROW(AE41))),"")</f>
        <v/>
      </c>
      <c r="AG42" s="51" t="str">
        <f t="array" aca="1" ref="AG42" ca="1">IFERROR(INDEX(Leccion[selectorLeccion],SMALL(IF(AG$1=Leccion[SubSección],MATCH(ROW(Leccion[SubSección]),ROW(Leccion[SubSección]))),ROW(AF41))),"")</f>
        <v/>
      </c>
      <c r="AH42" s="51" t="str">
        <f t="array" aca="1" ref="AH42" ca="1">IFERROR(INDEX(Leccion[selectorLeccion],SMALL(IF(AH$1=Leccion[SubSección],MATCH(ROW(Leccion[SubSección]),ROW(Leccion[SubSección]))),ROW(AG41))),"")</f>
        <v/>
      </c>
      <c r="AI42" s="51" t="str">
        <f t="array" aca="1" ref="AI42" ca="1">IFERROR(INDEX(Leccion[selectorLeccion],SMALL(IF(AI$1=Leccion[SubSección],MATCH(ROW(Leccion[SubSección]),ROW(Leccion[SubSección]))),ROW(AH41))),"")</f>
        <v/>
      </c>
      <c r="AJ42" s="51" t="str">
        <f t="array" aca="1" ref="AJ42" ca="1">IFERROR(INDEX(Leccion[selectorLeccion],SMALL(IF(AJ$1=Leccion[SubSección],MATCH(ROW(Leccion[SubSección]),ROW(Leccion[SubSección]))),ROW(AI41))),"")</f>
        <v/>
      </c>
      <c r="AK42" s="51" t="str">
        <f t="array" aca="1" ref="AK42" ca="1">IFERROR(INDEX(Leccion[selectorLeccion],SMALL(IF(AK$1=Leccion[SubSección],MATCH(ROW(Leccion[SubSección]),ROW(Leccion[SubSección]))),ROW(AJ41))),"")</f>
        <v/>
      </c>
      <c r="AL42" s="51" t="str">
        <f t="array" aca="1" ref="AL42" ca="1">IFERROR(INDEX(Leccion[selectorLeccion],SMALL(IF(AL$1=Leccion[SubSección],MATCH(ROW(Leccion[SubSección]),ROW(Leccion[SubSección]))),ROW(AK41))),"")</f>
        <v/>
      </c>
      <c r="AM42" s="51" t="str">
        <f t="array" aca="1" ref="AM42" ca="1">IFERROR(INDEX(Leccion[selectorLeccion],SMALL(IF(AM$1=Leccion[SubSección],MATCH(ROW(Leccion[SubSección]),ROW(Leccion[SubSección]))),ROW(AL41))),"")</f>
        <v/>
      </c>
      <c r="AN42" s="51" t="str">
        <f t="array" aca="1" ref="AN42" ca="1">IFERROR(INDEX(Leccion[selectorLeccion],SMALL(IF(AN$1=Leccion[SubSección],MATCH(ROW(Leccion[SubSección]),ROW(Leccion[SubSección]))),ROW(AM41))),"")</f>
        <v/>
      </c>
      <c r="AO42" s="51" t="str">
        <f t="array" aca="1" ref="AO42" ca="1">IFERROR(INDEX(Leccion[selectorLeccion],SMALL(IF(AO$1=Leccion[SubSección],MATCH(ROW(Leccion[SubSección]),ROW(Leccion[SubSección]))),ROW(AN41))),"")</f>
        <v/>
      </c>
      <c r="AP42" s="51" t="str">
        <f t="array" aca="1" ref="AP42" ca="1">IFERROR(INDEX(Leccion[selectorLeccion],SMALL(IF(AP$1=Leccion[SubSección],MATCH(ROW(Leccion[SubSección]),ROW(Leccion[SubSección]))),ROW(AO41))),"")</f>
        <v/>
      </c>
      <c r="AQ42" s="51" t="str">
        <f t="array" aca="1" ref="AQ42" ca="1">IFERROR(INDEX(Leccion[selectorLeccion],SMALL(IF(AQ$1=Leccion[SubSección],MATCH(ROW(Leccion[SubSección]),ROW(Leccion[SubSección]))),ROW(AP41))),"")</f>
        <v/>
      </c>
      <c r="AR42" s="51" t="str">
        <f t="array" aca="1" ref="AR42" ca="1">IFERROR(INDEX(Leccion[selectorLeccion],SMALL(IF(AR$1=Leccion[SubSección],MATCH(ROW(Leccion[SubSección]),ROW(Leccion[SubSección]))),ROW(AQ41))),"")</f>
        <v/>
      </c>
      <c r="AS42" s="51" t="str">
        <f t="array" aca="1" ref="AS42" ca="1">IFERROR(INDEX(Leccion[selectorLeccion],SMALL(IF(AS$1=Leccion[SubSección],MATCH(ROW(Leccion[SubSección]),ROW(Leccion[SubSección]))),ROW(AR41))),"")</f>
        <v/>
      </c>
      <c r="AT42" s="51" t="str">
        <f t="array" aca="1" ref="AT42" ca="1">IFERROR(INDEX(Leccion[selectorLeccion],SMALL(IF(AT$1=Leccion[SubSección],MATCH(ROW(Leccion[SubSección]),ROW(Leccion[SubSección]))),ROW(AS41))),"")</f>
        <v/>
      </c>
      <c r="AU42" s="51" t="str">
        <f t="array" aca="1" ref="AU42" ca="1">IFERROR(INDEX(Leccion[selectorLeccion],SMALL(IF(AU$1=Leccion[SubSección],MATCH(ROW(Leccion[SubSección]),ROW(Leccion[SubSección]))),ROW(AT41))),"")</f>
        <v/>
      </c>
      <c r="AV42" s="51" t="str">
        <f t="array" aca="1" ref="AV42" ca="1">IFERROR(INDEX(Leccion[selectorLeccion],SMALL(IF(AV$1=Leccion[SubSección],MATCH(ROW(Leccion[SubSección]),ROW(Leccion[SubSección]))),ROW(AU41))),"")</f>
        <v/>
      </c>
      <c r="AW42" s="51" t="str">
        <f t="array" aca="1" ref="AW42" ca="1">IFERROR(INDEX(Leccion[selectorLeccion],SMALL(IF(AW$1=Leccion[SubSección],MATCH(ROW(Leccion[SubSección]),ROW(Leccion[SubSección]))),ROW(AV41))),"")</f>
        <v/>
      </c>
      <c r="AX42" s="51" t="str">
        <f t="array" aca="1" ref="AX42" ca="1">IFERROR(INDEX(Leccion[selectorLeccion],SMALL(IF(AX$1=Leccion[SubSección],MATCH(ROW(Leccion[SubSección]),ROW(Leccion[SubSección]))),ROW(AW41))),"")</f>
        <v/>
      </c>
      <c r="AY42" s="51" t="str">
        <f t="array" aca="1" ref="AY42" ca="1">IFERROR(INDEX(Leccion[selectorLeccion],SMALL(IF(AY$1=Leccion[SubSección],MATCH(ROW(Leccion[SubSección]),ROW(Leccion[SubSección]))),ROW(AX41))),"")</f>
        <v/>
      </c>
      <c r="AZ42" s="51" t="str">
        <f t="array" aca="1" ref="AZ42" ca="1">IFERROR(INDEX(Leccion[selectorLeccion],SMALL(IF(AZ$1=Leccion[SubSección],MATCH(ROW(Leccion[SubSección]),ROW(Leccion[SubSección]))),ROW(AY41))),"")</f>
        <v/>
      </c>
      <c r="BA42" s="51" t="str">
        <f t="array" aca="1" ref="BA42" ca="1">IFERROR(INDEX(Leccion[selectorLeccion],SMALL(IF(BA$1=Leccion[SubSección],MATCH(ROW(Leccion[SubSección]),ROW(Leccion[SubSección]))),ROW(AZ41))),"")</f>
        <v/>
      </c>
      <c r="BB42" s="51" t="str">
        <f t="array" aca="1" ref="BB42" ca="1">IFERROR(INDEX(Leccion[selectorLeccion],SMALL(IF(BB$1=Leccion[SubSección],MATCH(ROW(Leccion[SubSección]),ROW(Leccion[SubSección]))),ROW(BA41))),"")</f>
        <v/>
      </c>
      <c r="BC42" s="51" t="str">
        <f t="array" aca="1" ref="BC42" ca="1">IFERROR(INDEX(Leccion[selectorLeccion],SMALL(IF(BC$1=Leccion[SubSección],MATCH(ROW(Leccion[SubSección]),ROW(Leccion[SubSección]))),ROW(BB41))),"")</f>
        <v/>
      </c>
      <c r="BD42" s="51" t="str">
        <f t="array" aca="1" ref="BD42" ca="1">IFERROR(INDEX(Leccion[selectorLeccion],SMALL(IF(BD$1=Leccion[SubSección],MATCH(ROW(Leccion[SubSección]),ROW(Leccion[SubSección]))),ROW(BC41))),"")</f>
        <v/>
      </c>
      <c r="BE42" s="51" t="str">
        <f t="array" aca="1" ref="BE42" ca="1">IFERROR(INDEX(Leccion[selectorLeccion],SMALL(IF(BE$1=Leccion[SubSección],MATCH(ROW(Leccion[SubSección]),ROW(Leccion[SubSección]))),ROW(BD41))),"")</f>
        <v/>
      </c>
      <c r="BF42" s="51" t="str">
        <f t="array" aca="1" ref="BF42" ca="1">IFERROR(INDEX(Leccion[selectorLeccion],SMALL(IF(BF$1=Leccion[SubSección],MATCH(ROW(Leccion[SubSección]),ROW(Leccion[SubSección]))),ROW(BE41))),"")</f>
        <v/>
      </c>
      <c r="BG42" s="51" t="str">
        <f t="array" aca="1" ref="BG42" ca="1">IFERROR(INDEX(Leccion[selectorLeccion],SMALL(IF(BG$1=Leccion[SubSección],MATCH(ROW(Leccion[SubSección]),ROW(Leccion[SubSección]))),ROW(BF41))),"")</f>
        <v/>
      </c>
      <c r="BH42" s="51" t="str">
        <f t="array" aca="1" ref="BH42" ca="1">IFERROR(INDEX(Leccion[selectorLeccion],SMALL(IF(BH$1=Leccion[SubSección],MATCH(ROW(Leccion[SubSección]),ROW(Leccion[SubSección]))),ROW(BG41))),"")</f>
        <v/>
      </c>
      <c r="BI42" s="51" t="str">
        <f t="array" aca="1" ref="BI42" ca="1">IFERROR(INDEX(Leccion[selectorLeccion],SMALL(IF(BI$1=Leccion[SubSección],MATCH(ROW(Leccion[SubSección]),ROW(Leccion[SubSección]))),ROW(BH41))),"")</f>
        <v/>
      </c>
      <c r="BJ42" s="51" t="str">
        <f t="array" aca="1" ref="BJ42" ca="1">IFERROR(INDEX(Leccion[selectorLeccion],SMALL(IF(BJ$1=Leccion[SubSección],MATCH(ROW(Leccion[SubSección]),ROW(Leccion[SubSección]))),ROW(BI41))),"")</f>
        <v/>
      </c>
      <c r="BK42" s="51" t="str">
        <f t="array" aca="1" ref="BK42" ca="1">IFERROR(INDEX(Leccion[selectorLeccion],SMALL(IF(BK$1=Leccion[SubSección],MATCH(ROW(Leccion[SubSección]),ROW(Leccion[SubSección]))),ROW(BJ41))),"")</f>
        <v/>
      </c>
      <c r="BL42" s="51" t="str">
        <f t="array" aca="1" ref="BL42" ca="1">IFERROR(INDEX(Leccion[selectorLeccion],SMALL(IF(BL$1=Leccion[SubSección],MATCH(ROW(Leccion[SubSección]),ROW(Leccion[SubSección]))),ROW(BK41))),"")</f>
        <v/>
      </c>
      <c r="BM42" s="51" t="str">
        <f t="array" aca="1" ref="BM42" ca="1">IFERROR(INDEX(Leccion[selectorLeccion],SMALL(IF(BM$1=Leccion[SubSección],MATCH(ROW(Leccion[SubSección]),ROW(Leccion[SubSección]))),ROW(BL41))),"")</f>
        <v/>
      </c>
      <c r="BN42" s="51" t="str">
        <f t="array" aca="1" ref="BN42" ca="1">IFERROR(INDEX(Leccion[selectorLeccion],SMALL(IF(BN$1=Leccion[SubSección],MATCH(ROW(Leccion[SubSección]),ROW(Leccion[SubSección]))),ROW(BM41))),"")</f>
        <v/>
      </c>
      <c r="BO42" s="51" t="str">
        <f t="array" aca="1" ref="BO42" ca="1">IFERROR(INDEX(Leccion[selectorLeccion],SMALL(IF(BO$1=Leccion[SubSección],MATCH(ROW(Leccion[SubSección]),ROW(Leccion[SubSección]))),ROW(BN41))),"")</f>
        <v/>
      </c>
      <c r="BP42" s="51" t="str">
        <f t="array" aca="1" ref="BP42" ca="1">IFERROR(INDEX(Leccion[selectorLeccion],SMALL(IF(BP$1=Leccion[SubSección],MATCH(ROW(Leccion[SubSección]),ROW(Leccion[SubSección]))),ROW(BO41))),"")</f>
        <v/>
      </c>
      <c r="BQ42" s="51" t="str">
        <f t="array" aca="1" ref="BQ42" ca="1">IFERROR(INDEX(Leccion[selectorLeccion],SMALL(IF(BQ$1=Leccion[SubSección],MATCH(ROW(Leccion[SubSección]),ROW(Leccion[SubSección]))),ROW(BP41))),"")</f>
        <v/>
      </c>
      <c r="BR42" s="51" t="str">
        <f t="array" aca="1" ref="BR42" ca="1">IFERROR(INDEX(Leccion[selectorLeccion],SMALL(IF(BR$1=Leccion[SubSección],MATCH(ROW(Leccion[SubSección]),ROW(Leccion[SubSección]))),ROW(BQ41))),"")</f>
        <v/>
      </c>
      <c r="BS42" s="51" t="str">
        <f t="array" aca="1" ref="BS42" ca="1">IFERROR(INDEX(Leccion[selectorLeccion],SMALL(IF(BS$1=Leccion[SubSección],MATCH(ROW(Leccion[SubSección]),ROW(Leccion[SubSección]))),ROW(BR41))),"")</f>
        <v/>
      </c>
      <c r="BT42" s="51" t="str">
        <f t="array" aca="1" ref="BT42" ca="1">IFERROR(INDEX(Leccion[selectorLeccion],SMALL(IF(BT$1=Leccion[SubSección],MATCH(ROW(Leccion[SubSección]),ROW(Leccion[SubSección]))),ROW(BS41))),"")</f>
        <v/>
      </c>
      <c r="BU42" s="51" t="str">
        <f t="array" aca="1" ref="BU42" ca="1">IFERROR(INDEX(Leccion[selectorLeccion],SMALL(IF(BU$1=Leccion[SubSección],MATCH(ROW(Leccion[SubSección]),ROW(Leccion[SubSección]))),ROW(BT41))),"")</f>
        <v/>
      </c>
      <c r="BV42" s="51" t="str">
        <f t="array" aca="1" ref="BV42" ca="1">IFERROR(INDEX(Leccion[selectorLeccion],SMALL(IF(BV$1=Leccion[SubSección],MATCH(ROW(Leccion[SubSección]),ROW(Leccion[SubSección]))),ROW(BU41))),"")</f>
        <v/>
      </c>
      <c r="BW42" s="51" t="str">
        <f t="array" aca="1" ref="BW42" ca="1">IFERROR(INDEX(Leccion[selectorLeccion],SMALL(IF(BW$1=Leccion[SubSección],MATCH(ROW(Leccion[SubSección]),ROW(Leccion[SubSección]))),ROW(BV41))),"")</f>
        <v/>
      </c>
      <c r="BX42" s="51" t="str">
        <f t="array" aca="1" ref="BX42" ca="1">IFERROR(INDEX(Leccion[selectorLeccion],SMALL(IF(BX$1=Leccion[SubSección],MATCH(ROW(Leccion[SubSección]),ROW(Leccion[SubSección]))),ROW(BW41))),"")</f>
        <v/>
      </c>
      <c r="BY42" s="51" t="str">
        <f t="array" aca="1" ref="BY42" ca="1">IFERROR(INDEX(Leccion[selectorLeccion],SMALL(IF(BY$1=Leccion[SubSección],MATCH(ROW(Leccion[SubSección]),ROW(Leccion[SubSección]))),ROW(BX41))),"")</f>
        <v/>
      </c>
      <c r="BZ42" s="51" t="str">
        <f t="array" aca="1" ref="BZ42" ca="1">IFERROR(INDEX(Leccion[selectorLeccion],SMALL(IF(BZ$1=Leccion[SubSección],MATCH(ROW(Leccion[SubSección]),ROW(Leccion[SubSección]))),ROW(BY41))),"")</f>
        <v/>
      </c>
      <c r="CA42" s="51" t="str">
        <f t="array" aca="1" ref="CA42" ca="1">IFERROR(INDEX(Leccion[selectorLeccion],SMALL(IF(CA$1=Leccion[SubSección],MATCH(ROW(Leccion[SubSección]),ROW(Leccion[SubSección]))),ROW(BZ41))),"")</f>
        <v/>
      </c>
      <c r="CB42" s="51" t="str">
        <f t="array" aca="1" ref="CB42" ca="1">IFERROR(INDEX(Leccion[selectorLeccion],SMALL(IF(CB$1=Leccion[SubSección],MATCH(ROW(Leccion[SubSección]),ROW(Leccion[SubSección]))),ROW(CA41))),"")</f>
        <v/>
      </c>
      <c r="CC42" s="51" t="str">
        <f t="array" aca="1" ref="CC42" ca="1">IFERROR(INDEX(Leccion[selectorLeccion],SMALL(IF(CC$1=Leccion[SubSección],MATCH(ROW(Leccion[SubSección]),ROW(Leccion[SubSección]))),ROW(CB41))),"")</f>
        <v/>
      </c>
      <c r="CD42" s="51" t="str">
        <f t="array" aca="1" ref="CD42" ca="1">IFERROR(INDEX(Leccion[selectorLeccion],SMALL(IF(CD$1=Leccion[SubSección],MATCH(ROW(Leccion[SubSección]),ROW(Leccion[SubSección]))),ROW(CC41))),"")</f>
        <v/>
      </c>
      <c r="CE42" s="51" t="str">
        <f t="array" aca="1" ref="CE42" ca="1">IFERROR(INDEX(Leccion[selectorLeccion],SMALL(IF(CE$1=Leccion[SubSección],MATCH(ROW(Leccion[SubSección]),ROW(Leccion[SubSección]))),ROW(CD41))),"")</f>
        <v/>
      </c>
      <c r="CF42" s="51" t="str">
        <f t="array" aca="1" ref="CF42" ca="1">IFERROR(INDEX(Leccion[selectorLeccion],SMALL(IF(CF$1=Leccion[SubSección],MATCH(ROW(Leccion[SubSección]),ROW(Leccion[SubSección]))),ROW(CE41))),"")</f>
        <v/>
      </c>
      <c r="CG42" s="51" t="str">
        <f t="array" aca="1" ref="CG42" ca="1">IFERROR(INDEX(Leccion[selectorLeccion],SMALL(IF(CG$1=Leccion[SubSección],MATCH(ROW(Leccion[SubSección]),ROW(Leccion[SubSección]))),ROW(CF41))),"")</f>
        <v/>
      </c>
      <c r="CH42" s="51" t="str">
        <f t="array" aca="1" ref="CH42" ca="1">IFERROR(INDEX(Leccion[selectorLeccion],SMALL(IF(CH$1=Leccion[SubSección],MATCH(ROW(Leccion[SubSección]),ROW(Leccion[SubSección]))),ROW(CG41))),"")</f>
        <v/>
      </c>
      <c r="CI42" s="51" t="str">
        <f t="array" aca="1" ref="CI42" ca="1">IFERROR(INDEX(Leccion[selectorLeccion],SMALL(IF(CI$1=Leccion[SubSección],MATCH(ROW(Leccion[SubSección]),ROW(Leccion[SubSección]))),ROW(CH41))),"")</f>
        <v/>
      </c>
      <c r="CJ42" s="51" t="str">
        <f t="array" aca="1" ref="CJ42" ca="1">IFERROR(INDEX(Leccion[selectorLeccion],SMALL(IF(CJ$1=Leccion[SubSección],MATCH(ROW(Leccion[SubSección]),ROW(Leccion[SubSección]))),ROW(CI41))),"")</f>
        <v/>
      </c>
      <c r="CK42" s="51" t="str">
        <f t="array" aca="1" ref="CK42" ca="1">IFERROR(INDEX(Leccion[selectorLeccion],SMALL(IF(CK$1=Leccion[SubSección],MATCH(ROW(Leccion[SubSección]),ROW(Leccion[SubSección]))),ROW(CJ41))),"")</f>
        <v/>
      </c>
      <c r="CL42" s="51" t="str">
        <f t="array" aca="1" ref="CL42" ca="1">IFERROR(INDEX(Leccion[selectorLeccion],SMALL(IF(CL$1=Leccion[SubSección],MATCH(ROW(Leccion[SubSección]),ROW(Leccion[SubSección]))),ROW(CK41))),"")</f>
        <v/>
      </c>
      <c r="CM42" s="51" t="str">
        <f t="array" aca="1" ref="CM42" ca="1">IFERROR(INDEX(Leccion[selectorLeccion],SMALL(IF(CM$1=Leccion[SubSección],MATCH(ROW(Leccion[SubSección]),ROW(Leccion[SubSección]))),ROW(CL41))),"")</f>
        <v/>
      </c>
      <c r="CN42" s="51" t="str">
        <f t="array" aca="1" ref="CN42" ca="1">IFERROR(INDEX(Leccion[selectorLeccion],SMALL(IF(CN$1=Leccion[SubSección],MATCH(ROW(Leccion[SubSección]),ROW(Leccion[SubSección]))),ROW(CM41))),"")</f>
        <v/>
      </c>
      <c r="CO42" s="51" t="str">
        <f t="array" aca="1" ref="CO42" ca="1">IFERROR(INDEX(Leccion[selectorLeccion],SMALL(IF(CO$1=Leccion[SubSección],MATCH(ROW(Leccion[SubSección]),ROW(Leccion[SubSección]))),ROW(CN41))),"")</f>
        <v/>
      </c>
      <c r="CP42" s="51" t="str">
        <f t="array" aca="1" ref="CP42" ca="1">IFERROR(INDEX(Leccion[selectorLeccion],SMALL(IF(CP$1=Leccion[SubSección],MATCH(ROW(Leccion[SubSección]),ROW(Leccion[SubSección]))),ROW(CO41))),"")</f>
        <v/>
      </c>
      <c r="CQ42" s="51" t="str">
        <f t="array" aca="1" ref="CQ42" ca="1">IFERROR(INDEX(Leccion[selectorLeccion],SMALL(IF(CQ$1=Leccion[SubSección],MATCH(ROW(Leccion[SubSección]),ROW(Leccion[SubSección]))),ROW(CP41))),"")</f>
        <v/>
      </c>
      <c r="CR42" s="51" t="str">
        <f t="array" aca="1" ref="CR42" ca="1">IFERROR(INDEX(Leccion[selectorLeccion],SMALL(IF(CR$1=Leccion[SubSección],MATCH(ROW(Leccion[SubSección]),ROW(Leccion[SubSección]))),ROW(CQ41))),"")</f>
        <v/>
      </c>
      <c r="CS42" s="51" t="str">
        <f t="array" aca="1" ref="CS42" ca="1">IFERROR(INDEX(Leccion[selectorLeccion],SMALL(IF(CS$1=Leccion[SubSección],MATCH(ROW(Leccion[SubSección]),ROW(Leccion[SubSección]))),ROW(CR41))),"")</f>
        <v/>
      </c>
      <c r="CT42" s="51" t="str">
        <f t="array" aca="1" ref="CT42" ca="1">IFERROR(INDEX(Leccion[selectorLeccion],SMALL(IF(CT$1=Leccion[SubSección],MATCH(ROW(Leccion[SubSección]),ROW(Leccion[SubSección]))),ROW(CS41))),"")</f>
        <v/>
      </c>
      <c r="CU42" s="51" t="str">
        <f t="array" aca="1" ref="CU42" ca="1">IFERROR(INDEX(Leccion[selectorLeccion],SMALL(IF(CU$1=Leccion[SubSección],MATCH(ROW(Leccion[SubSección]),ROW(Leccion[SubSección]))),ROW(CT41))),"")</f>
        <v/>
      </c>
      <c r="CV42" s="51" t="str">
        <f t="array" aca="1" ref="CV42" ca="1">IFERROR(INDEX(Leccion[selectorLeccion],SMALL(IF(CV$1=Leccion[SubSección],MATCH(ROW(Leccion[SubSección]),ROW(Leccion[SubSección]))),ROW(CU41))),"")</f>
        <v/>
      </c>
      <c r="CW42" s="51" t="str">
        <f t="array" aca="1" ref="CW42" ca="1">IFERROR(INDEX(Leccion[selectorLeccion],SMALL(IF(CW$1=Leccion[SubSección],MATCH(ROW(Leccion[SubSección]),ROW(Leccion[SubSección]))),ROW(CV41))),"")</f>
        <v/>
      </c>
      <c r="CX42" s="51" t="str">
        <f t="array" aca="1" ref="CX42" ca="1">IFERROR(INDEX(Leccion[selectorLeccion],SMALL(IF(CX$1=Leccion[SubSección],MATCH(ROW(Leccion[SubSección]),ROW(Leccion[SubSección]))),ROW(CW41))),"")</f>
        <v/>
      </c>
      <c r="CY42" s="51" t="str">
        <f t="array" aca="1" ref="CY42" ca="1">IFERROR(INDEX(Leccion[selectorLeccion],SMALL(IF(CY$1=Leccion[SubSección],MATCH(ROW(Leccion[SubSección]),ROW(Leccion[SubSección]))),ROW(CX41))),"")</f>
        <v/>
      </c>
      <c r="CZ42" s="51" t="str">
        <f t="array" aca="1" ref="CZ42" ca="1">IFERROR(INDEX(Leccion[selectorLeccion],SMALL(IF(CZ$1=Leccion[SubSección],MATCH(ROW(Leccion[SubSección]),ROW(Leccion[SubSección]))),ROW(CY41))),"")</f>
        <v/>
      </c>
      <c r="DA42" s="51" t="str">
        <f t="array" aca="1" ref="DA42" ca="1">IFERROR(INDEX(Leccion[selectorLeccion],SMALL(IF(DA$1=Leccion[SubSección],MATCH(ROW(Leccion[SubSección]),ROW(Leccion[SubSección]))),ROW(CZ41))),"")</f>
        <v/>
      </c>
      <c r="DB42" s="51" t="str">
        <f t="array" aca="1" ref="DB42" ca="1">IFERROR(INDEX(Leccion[selectorLeccion],SMALL(IF(DB$1=Leccion[SubSección],MATCH(ROW(Leccion[SubSección]),ROW(Leccion[SubSección]))),ROW(DA41))),"")</f>
        <v/>
      </c>
      <c r="DC42" s="51" t="str">
        <f t="array" aca="1" ref="DC42" ca="1">IFERROR(INDEX(Leccion[selectorLeccion],SMALL(IF(DC$1=Leccion[SubSección],MATCH(ROW(Leccion[SubSección]),ROW(Leccion[SubSección]))),ROW(DB41))),"")</f>
        <v/>
      </c>
      <c r="DD42" s="51" t="str">
        <f t="array" aca="1" ref="DD42" ca="1">IFERROR(INDEX(Leccion[selectorLeccion],SMALL(IF(DD$1=Leccion[SubSección],MATCH(ROW(Leccion[SubSección]),ROW(Leccion[SubSección]))),ROW(DC41))),"")</f>
        <v/>
      </c>
      <c r="DE42" s="51" t="str">
        <f t="array" aca="1" ref="DE42" ca="1">IFERROR(INDEX(Leccion[selectorLeccion],SMALL(IF(DE$1=Leccion[SubSección],MATCH(ROW(Leccion[SubSección]),ROW(Leccion[SubSección]))),ROW(DD41))),"")</f>
        <v/>
      </c>
      <c r="DF42" s="51" t="str">
        <f t="array" aca="1" ref="DF42" ca="1">IFERROR(INDEX(Leccion[selectorLeccion],SMALL(IF(DF$1=Leccion[SubSección],MATCH(ROW(Leccion[SubSección]),ROW(Leccion[SubSección]))),ROW(DE41))),"")</f>
        <v/>
      </c>
      <c r="DG42" s="51" t="str">
        <f t="array" aca="1" ref="DG42" ca="1">IFERROR(INDEX(Leccion[selectorLeccion],SMALL(IF(DG$1=Leccion[SubSección],MATCH(ROW(Leccion[SubSección]),ROW(Leccion[SubSección]))),ROW(DF41))),"")</f>
        <v/>
      </c>
      <c r="DH42" s="51" t="str">
        <f t="array" aca="1" ref="DH42" ca="1">IFERROR(INDEX(Leccion[selectorLeccion],SMALL(IF(DH$1=Leccion[SubSección],MATCH(ROW(Leccion[SubSección]),ROW(Leccion[SubSección]))),ROW(DG41))),"")</f>
        <v/>
      </c>
      <c r="DI42" s="51" t="str">
        <f t="array" aca="1" ref="DI42" ca="1">IFERROR(INDEX(Leccion[selectorLeccion],SMALL(IF(DI$1=Leccion[SubSección],MATCH(ROW(Leccion[SubSección]),ROW(Leccion[SubSección]))),ROW(DH41))),"")</f>
        <v/>
      </c>
      <c r="DJ42" s="51" t="str">
        <f t="array" aca="1" ref="DJ42" ca="1">IFERROR(INDEX(Leccion[selectorLeccion],SMALL(IF(DJ$1=Leccion[SubSección],MATCH(ROW(Leccion[SubSección]),ROW(Leccion[SubSección]))),ROW(DI41))),"")</f>
        <v/>
      </c>
      <c r="DK42" s="51" t="str">
        <f t="array" aca="1" ref="DK42" ca="1">IFERROR(INDEX(Leccion[selectorLeccion],SMALL(IF(DK$1=Leccion[SubSección],MATCH(ROW(Leccion[SubSección]),ROW(Leccion[SubSección]))),ROW(DJ41))),"")</f>
        <v/>
      </c>
      <c r="DL42" s="51" t="str">
        <f t="array" aca="1" ref="DL42" ca="1">IFERROR(INDEX(Leccion[selectorLeccion],SMALL(IF(DL$1=Leccion[SubSección],MATCH(ROW(Leccion[SubSección]),ROW(Leccion[SubSección]))),ROW(DK41))),"")</f>
        <v/>
      </c>
      <c r="DM42" s="51" t="str">
        <f t="array" aca="1" ref="DM42" ca="1">IFERROR(INDEX(Leccion[selectorLeccion],SMALL(IF(DM$1=Leccion[SubSección],MATCH(ROW(Leccion[SubSección]),ROW(Leccion[SubSección]))),ROW(DL41))),"")</f>
        <v/>
      </c>
      <c r="DN42" s="51" t="str">
        <f t="array" aca="1" ref="DN42" ca="1">IFERROR(INDEX(Leccion[selectorLeccion],SMALL(IF(DN$1=Leccion[SubSección],MATCH(ROW(Leccion[SubSección]),ROW(Leccion[SubSección]))),ROW(DM41))),"")</f>
        <v/>
      </c>
      <c r="DO42" s="51" t="str">
        <f t="array" aca="1" ref="DO42" ca="1">IFERROR(INDEX(Leccion[selectorLeccion],SMALL(IF(DO$1=Leccion[SubSección],MATCH(ROW(Leccion[SubSección]),ROW(Leccion[SubSección]))),ROW(DN41))),"")</f>
        <v/>
      </c>
      <c r="DP42" s="51" t="str">
        <f t="array" aca="1" ref="DP42" ca="1">IFERROR(INDEX(Leccion[selectorLeccion],SMALL(IF(DP$1=Leccion[SubSección],MATCH(ROW(Leccion[SubSección]),ROW(Leccion[SubSección]))),ROW(DO41))),"")</f>
        <v/>
      </c>
      <c r="DQ42" s="51" t="str">
        <f t="array" aca="1" ref="DQ42" ca="1">IFERROR(INDEX(Leccion[selectorLeccion],SMALL(IF(DQ$1=Leccion[SubSección],MATCH(ROW(Leccion[SubSección]),ROW(Leccion[SubSección]))),ROW(DP41))),"")</f>
        <v/>
      </c>
      <c r="DR42" s="51" t="str">
        <f t="array" aca="1" ref="DR42" ca="1">IFERROR(INDEX(Leccion[selectorLeccion],SMALL(IF(DR$1=Leccion[SubSección],MATCH(ROW(Leccion[SubSección]),ROW(Leccion[SubSección]))),ROW(DQ41))),"")</f>
        <v/>
      </c>
      <c r="DS42" s="51" t="str">
        <f t="array" aca="1" ref="DS42" ca="1">IFERROR(INDEX(Leccion[selectorLeccion],SMALL(IF(DS$1=Leccion[SubSección],MATCH(ROW(Leccion[SubSección]),ROW(Leccion[SubSección]))),ROW(DR41))),"")</f>
        <v/>
      </c>
      <c r="DT42" s="51" t="str">
        <f t="array" aca="1" ref="DT42" ca="1">IFERROR(INDEX(Leccion[selectorLeccion],SMALL(IF(DT$1=Leccion[SubSección],MATCH(ROW(Leccion[SubSección]),ROW(Leccion[SubSección]))),ROW(DS41))),"")</f>
        <v/>
      </c>
      <c r="DU42" s="51" t="str">
        <f t="array" aca="1" ref="DU42" ca="1">IFERROR(INDEX(Leccion[selectorLeccion],SMALL(IF(DU$1=Leccion[SubSección],MATCH(ROW(Leccion[SubSección]),ROW(Leccion[SubSección]))),ROW(DT41))),"")</f>
        <v/>
      </c>
      <c r="DV42" s="51" t="str">
        <f t="array" aca="1" ref="DV42" ca="1">IFERROR(INDEX(Leccion[selectorLeccion],SMALL(IF(DV$1=Leccion[SubSección],MATCH(ROW(Leccion[SubSección]),ROW(Leccion[SubSección]))),ROW(DU41))),"")</f>
        <v/>
      </c>
      <c r="DW42" s="51" t="str">
        <f t="array" aca="1" ref="DW42" ca="1">IFERROR(INDEX(Leccion[selectorLeccion],SMALL(IF(DW$1=Leccion[SubSección],MATCH(ROW(Leccion[SubSección]),ROW(Leccion[SubSección]))),ROW(DV41))),"")</f>
        <v/>
      </c>
      <c r="DX42" s="51" t="str">
        <f t="array" aca="1" ref="DX42" ca="1">IFERROR(INDEX(Leccion[selectorLeccion],SMALL(IF(DX$1=Leccion[SubSección],MATCH(ROW(Leccion[SubSección]),ROW(Leccion[SubSección]))),ROW(DW41))),"")</f>
        <v/>
      </c>
      <c r="DY42" s="51" t="str">
        <f t="array" aca="1" ref="DY42" ca="1">IFERROR(INDEX(Leccion[selectorLeccion],SMALL(IF(DY$1=Leccion[SubSección],MATCH(ROW(Leccion[SubSección]),ROW(Leccion[SubSección]))),ROW(DX41))),"")</f>
        <v/>
      </c>
      <c r="DZ42" s="51" t="str">
        <f t="array" aca="1" ref="DZ42" ca="1">IFERROR(INDEX(Leccion[selectorLeccion],SMALL(IF(DZ$1=Leccion[SubSección],MATCH(ROW(Leccion[SubSección]),ROW(Leccion[SubSección]))),ROW(DY41))),"")</f>
        <v/>
      </c>
      <c r="EA42" s="51" t="str">
        <f t="array" aca="1" ref="EA42" ca="1">IFERROR(INDEX(Leccion[selectorLeccion],SMALL(IF(EA$1=Leccion[SubSección],MATCH(ROW(Leccion[SubSección]),ROW(Leccion[SubSección]))),ROW(DZ41))),"")</f>
        <v/>
      </c>
      <c r="EB42" s="51" t="str">
        <f t="array" aca="1" ref="EB42" ca="1">IFERROR(INDEX(Leccion[selectorLeccion],SMALL(IF(EB$1=Leccion[SubSección],MATCH(ROW(Leccion[SubSección]),ROW(Leccion[SubSección]))),ROW(EA41))),"")</f>
        <v/>
      </c>
      <c r="EC42" s="51" t="str">
        <f t="array" aca="1" ref="EC42" ca="1">IFERROR(INDEX(Leccion[selectorLeccion],SMALL(IF(EC$1=Leccion[SubSección],MATCH(ROW(Leccion[SubSección]),ROW(Leccion[SubSección]))),ROW(EB41))),"")</f>
        <v/>
      </c>
      <c r="ED42" s="51" t="str">
        <f t="array" aca="1" ref="ED42" ca="1">IFERROR(INDEX(Leccion[selectorLeccion],SMALL(IF(ED$1=Leccion[SubSección],MATCH(ROW(Leccion[SubSección]),ROW(Leccion[SubSección]))),ROW(EC41))),"")</f>
        <v/>
      </c>
      <c r="EE42" s="51" t="str">
        <f t="array" aca="1" ref="EE42" ca="1">IFERROR(INDEX(Leccion[selectorLeccion],SMALL(IF(EE$1=Leccion[SubSección],MATCH(ROW(Leccion[SubSección]),ROW(Leccion[SubSección]))),ROW(ED41))),"")</f>
        <v/>
      </c>
      <c r="EF42" s="51" t="str">
        <f t="array" aca="1" ref="EF42" ca="1">IFERROR(INDEX(Leccion[selectorLeccion],SMALL(IF(EF$1=Leccion[SubSección],MATCH(ROW(Leccion[SubSección]),ROW(Leccion[SubSección]))),ROW(EE41))),"")</f>
        <v/>
      </c>
      <c r="EG42" s="51" t="str">
        <f t="array" aca="1" ref="EG42" ca="1">IFERROR(INDEX(Leccion[selectorLeccion],SMALL(IF(EG$1=Leccion[SubSección],MATCH(ROW(Leccion[SubSección]),ROW(Leccion[SubSección]))),ROW(EF41))),"")</f>
        <v/>
      </c>
      <c r="EH42" s="51" t="str">
        <f t="array" aca="1" ref="EH42" ca="1">IFERROR(INDEX(Leccion[selectorLeccion],SMALL(IF(EH$1=Leccion[SubSección],MATCH(ROW(Leccion[SubSección]),ROW(Leccion[SubSección]))),ROW(EG41))),"")</f>
        <v/>
      </c>
      <c r="EI42" s="51" t="str">
        <f t="array" aca="1" ref="EI42" ca="1">IFERROR(INDEX(Leccion[selectorLeccion],SMALL(IF(EI$1=Leccion[SubSección],MATCH(ROW(Leccion[SubSección]),ROW(Leccion[SubSección]))),ROW(EH41))),"")</f>
        <v/>
      </c>
      <c r="EJ42" s="51" t="str">
        <f t="array" aca="1" ref="EJ42" ca="1">IFERROR(INDEX(Leccion[selectorLeccion],SMALL(IF(EJ$1=Leccion[SubSección],MATCH(ROW(Leccion[SubSección]),ROW(Leccion[SubSección]))),ROW(EI41))),"")</f>
        <v/>
      </c>
      <c r="EK42" s="51" t="str">
        <f t="array" aca="1" ref="EK42" ca="1">IFERROR(INDEX(Leccion[selectorLeccion],SMALL(IF(EK$1=Leccion[SubSección],MATCH(ROW(Leccion[SubSección]),ROW(Leccion[SubSección]))),ROW(EJ41))),"")</f>
        <v/>
      </c>
      <c r="EL42" s="51" t="str">
        <f t="array" aca="1" ref="EL42" ca="1">IFERROR(INDEX(Leccion[selectorLeccion],SMALL(IF(EL$1=Leccion[SubSección],MATCH(ROW(Leccion[SubSección]),ROW(Leccion[SubSección]))),ROW(EK41))),"")</f>
        <v/>
      </c>
      <c r="EM42" s="51" t="str">
        <f t="array" aca="1" ref="EM42" ca="1">IFERROR(INDEX(Leccion[selectorLeccion],SMALL(IF(EM$1=Leccion[SubSección],MATCH(ROW(Leccion[SubSección]),ROW(Leccion[SubSección]))),ROW(EL41))),"")</f>
        <v/>
      </c>
      <c r="EN42" s="51" t="str">
        <f t="array" aca="1" ref="EN42" ca="1">IFERROR(INDEX(Leccion[selectorLeccion],SMALL(IF(EN$1=Leccion[SubSección],MATCH(ROW(Leccion[SubSección]),ROW(Leccion[SubSección]))),ROW(EM41))),"")</f>
        <v/>
      </c>
      <c r="EO42" s="51" t="str">
        <f t="array" aca="1" ref="EO42" ca="1">IFERROR(INDEX(Leccion[selectorLeccion],SMALL(IF(EO$1=Leccion[SubSección],MATCH(ROW(Leccion[SubSección]),ROW(Leccion[SubSección]))),ROW(EN41))),"")</f>
        <v/>
      </c>
      <c r="EP42" s="51" t="str">
        <f t="array" aca="1" ref="EP42" ca="1">IFERROR(INDEX(Leccion[selectorLeccion],SMALL(IF(EP$1=Leccion[SubSección],MATCH(ROW(Leccion[SubSección]),ROW(Leccion[SubSección]))),ROW(EO41))),"")</f>
        <v/>
      </c>
      <c r="EQ42" s="51" t="str">
        <f t="array" aca="1" ref="EQ42" ca="1">IFERROR(INDEX(Leccion[selectorLeccion],SMALL(IF(EQ$1=Leccion[SubSección],MATCH(ROW(Leccion[SubSección]),ROW(Leccion[SubSección]))),ROW(EP41))),"")</f>
        <v/>
      </c>
      <c r="ER42" s="51" t="str">
        <f t="array" aca="1" ref="ER42" ca="1">IFERROR(INDEX(Leccion[selectorLeccion],SMALL(IF(ER$1=Leccion[SubSección],MATCH(ROW(Leccion[SubSección]),ROW(Leccion[SubSección]))),ROW(EQ41))),"")</f>
        <v/>
      </c>
      <c r="ES42" s="51" t="str">
        <f t="array" aca="1" ref="ES42" ca="1">IFERROR(INDEX(Leccion[selectorLeccion],SMALL(IF(ES$1=Leccion[SubSección],MATCH(ROW(Leccion[SubSección]),ROW(Leccion[SubSección]))),ROW(ER41))),"")</f>
        <v/>
      </c>
      <c r="ET42" s="51" t="str">
        <f t="array" aca="1" ref="ET42" ca="1">IFERROR(INDEX(Leccion[selectorLeccion],SMALL(IF(ET$1=Leccion[SubSección],MATCH(ROW(Leccion[SubSección]),ROW(Leccion[SubSección]))),ROW(ES41))),"")</f>
        <v/>
      </c>
      <c r="EU42" s="51" t="str">
        <f t="array" aca="1" ref="EU42" ca="1">IFERROR(INDEX(Leccion[selectorLeccion],SMALL(IF(EU$1=Leccion[SubSección],MATCH(ROW(Leccion[SubSección]),ROW(Leccion[SubSección]))),ROW(ET41))),"")</f>
        <v/>
      </c>
      <c r="EV42" s="51" t="str">
        <f t="array" aca="1" ref="EV42" ca="1">IFERROR(INDEX(Leccion[selectorLeccion],SMALL(IF(EV$1=Leccion[SubSección],MATCH(ROW(Leccion[SubSección]),ROW(Leccion[SubSección]))),ROW(EU41))),"")</f>
        <v/>
      </c>
      <c r="EW42" s="51" t="str">
        <f t="array" aca="1" ref="EW42" ca="1">IFERROR(INDEX(Leccion[selectorLeccion],SMALL(IF(EW$1=Leccion[SubSección],MATCH(ROW(Leccion[SubSección]),ROW(Leccion[SubSección]))),ROW(EV41))),"")</f>
        <v/>
      </c>
      <c r="EX42" s="51" t="str">
        <f t="array" aca="1" ref="EX42" ca="1">IFERROR(INDEX(Leccion[selectorLeccion],SMALL(IF(EX$1=Leccion[SubSección],MATCH(ROW(Leccion[SubSección]),ROW(Leccion[SubSección]))),ROW(EW41))),"")</f>
        <v/>
      </c>
      <c r="EY42" s="51" t="str">
        <f t="array" aca="1" ref="EY42" ca="1">IFERROR(INDEX(Leccion[selectorLeccion],SMALL(IF(EY$1=Leccion[SubSección],MATCH(ROW(Leccion[SubSección]),ROW(Leccion[SubSección]))),ROW(EX41))),"")</f>
        <v/>
      </c>
      <c r="EZ42" s="51" t="str">
        <f t="array" aca="1" ref="EZ42" ca="1">IFERROR(INDEX(Leccion[selectorLeccion],SMALL(IF(EZ$1=Leccion[SubSección],MATCH(ROW(Leccion[SubSección]),ROW(Leccion[SubSección]))),ROW(EY41))),"")</f>
        <v/>
      </c>
    </row>
    <row r="43" spans="2:156" x14ac:dyDescent="0.3">
      <c r="B43" s="51" t="str">
        <f t="array" aca="1" ref="B43" ca="1">IFERROR(INDEX(Leccion[selectorLeccion],SMALL(IF(B$1=Leccion[SubSección],MATCH(ROW(Leccion[SubSección]),ROW(Leccion[SubSección]))),ROW(A42))),"")</f>
        <v/>
      </c>
      <c r="C43" s="51" t="str">
        <f t="array" aca="1" ref="C43" ca="1">IFERROR(INDEX(Leccion[selectorLeccion],SMALL(IF(C$1=Leccion[SubSección],MATCH(ROW(Leccion[SubSección]),ROW(Leccion[SubSección]))),ROW(B42))),"")</f>
        <v/>
      </c>
      <c r="D43" s="51" t="str">
        <f t="array" aca="1" ref="D43" ca="1">IFERROR(INDEX(Leccion[selectorLeccion],SMALL(IF(D$1=Leccion[SubSección],MATCH(ROW(Leccion[SubSección]),ROW(Leccion[SubSección]))),ROW(C42))),"")</f>
        <v/>
      </c>
      <c r="E43" s="51" t="str">
        <f t="array" aca="1" ref="E43" ca="1">IFERROR(INDEX(Leccion[selectorLeccion],SMALL(IF(E$1=Leccion[SubSección],MATCH(ROW(Leccion[SubSección]),ROW(Leccion[SubSección]))),ROW(D42))),"")</f>
        <v/>
      </c>
      <c r="F43" s="51" t="str">
        <f t="array" aca="1" ref="F43" ca="1">IFERROR(INDEX(Leccion[selectorLeccion],SMALL(IF(F$1=Leccion[SubSección],MATCH(ROW(Leccion[SubSección]),ROW(Leccion[SubSección]))),ROW(E42))),"")</f>
        <v/>
      </c>
      <c r="G43" s="51" t="str">
        <f t="array" aca="1" ref="G43" ca="1">IFERROR(INDEX(Leccion[selectorLeccion],SMALL(IF(G$1=Leccion[SubSección],MATCH(ROW(Leccion[SubSección]),ROW(Leccion[SubSección]))),ROW(F42))),"")</f>
        <v/>
      </c>
      <c r="H43" s="51" t="str">
        <f t="array" aca="1" ref="H43" ca="1">IFERROR(INDEX(Leccion[selectorLeccion],SMALL(IF(H$1=Leccion[SubSección],MATCH(ROW(Leccion[SubSección]),ROW(Leccion[SubSección]))),ROW(G42))),"")</f>
        <v/>
      </c>
      <c r="I43" s="51" t="str">
        <f t="array" aca="1" ref="I43" ca="1">IFERROR(INDEX(Leccion[selectorLeccion],SMALL(IF(I$1=Leccion[SubSección],MATCH(ROW(Leccion[SubSección]),ROW(Leccion[SubSección]))),ROW(H42))),"")</f>
        <v/>
      </c>
      <c r="J43" s="51" t="str">
        <f t="array" aca="1" ref="J43" ca="1">IFERROR(INDEX(Leccion[selectorLeccion],SMALL(IF(J$1=Leccion[SubSección],MATCH(ROW(Leccion[SubSección]),ROW(Leccion[SubSección]))),ROW(I42))),"")</f>
        <v/>
      </c>
      <c r="K43" s="51" t="str">
        <f t="array" aca="1" ref="K43" ca="1">IFERROR(INDEX(Leccion[selectorLeccion],SMALL(IF(K$1=Leccion[SubSección],MATCH(ROW(Leccion[SubSección]),ROW(Leccion[SubSección]))),ROW(J42))),"")</f>
        <v/>
      </c>
      <c r="L43" s="51" t="str">
        <f t="array" aca="1" ref="L43" ca="1">IFERROR(INDEX(Leccion[selectorLeccion],SMALL(IF(L$1=Leccion[SubSección],MATCH(ROW(Leccion[SubSección]),ROW(Leccion[SubSección]))),ROW(K42))),"")</f>
        <v/>
      </c>
      <c r="M43" s="51" t="str">
        <f t="array" aca="1" ref="M43" ca="1">IFERROR(INDEX(Leccion[selectorLeccion],SMALL(IF(M$1=Leccion[SubSección],MATCH(ROW(Leccion[SubSección]),ROW(Leccion[SubSección]))),ROW(L42))),"")</f>
        <v/>
      </c>
      <c r="N43" s="51" t="str">
        <f t="array" aca="1" ref="N43" ca="1">IFERROR(INDEX(Leccion[selectorLeccion],SMALL(IF(N$1=Leccion[SubSección],MATCH(ROW(Leccion[SubSección]),ROW(Leccion[SubSección]))),ROW(M42))),"")</f>
        <v/>
      </c>
      <c r="O43" s="51" t="str">
        <f t="array" aca="1" ref="O43" ca="1">IFERROR(INDEX(Leccion[selectorLeccion],SMALL(IF(O$1=Leccion[SubSección],MATCH(ROW(Leccion[SubSección]),ROW(Leccion[SubSección]))),ROW(N42))),"")</f>
        <v/>
      </c>
      <c r="P43" s="51" t="str">
        <f t="array" aca="1" ref="P43" ca="1">IFERROR(INDEX(Leccion[selectorLeccion],SMALL(IF(P$1=Leccion[SubSección],MATCH(ROW(Leccion[SubSección]),ROW(Leccion[SubSección]))),ROW(O42))),"")</f>
        <v/>
      </c>
      <c r="Q43" s="51" t="str">
        <f t="array" aca="1" ref="Q43" ca="1">IFERROR(INDEX(Leccion[selectorLeccion],SMALL(IF(Q$1=Leccion[SubSección],MATCH(ROW(Leccion[SubSección]),ROW(Leccion[SubSección]))),ROW(P42))),"")</f>
        <v/>
      </c>
      <c r="R43" s="51" t="str">
        <f t="array" aca="1" ref="R43" ca="1">IFERROR(INDEX(Leccion[selectorLeccion],SMALL(IF(R$1=Leccion[SubSección],MATCH(ROW(Leccion[SubSección]),ROW(Leccion[SubSección]))),ROW(Q42))),"")</f>
        <v/>
      </c>
      <c r="S43" s="51" t="str">
        <f t="array" aca="1" ref="S43" ca="1">IFERROR(INDEX(Leccion[selectorLeccion],SMALL(IF(S$1=Leccion[SubSección],MATCH(ROW(Leccion[SubSección]),ROW(Leccion[SubSección]))),ROW(R42))),"")</f>
        <v/>
      </c>
      <c r="T43" s="51" t="str">
        <f t="array" aca="1" ref="T43" ca="1">IFERROR(INDEX(Leccion[selectorLeccion],SMALL(IF(T$1=Leccion[SubSección],MATCH(ROW(Leccion[SubSección]),ROW(Leccion[SubSección]))),ROW(S42))),"")</f>
        <v/>
      </c>
      <c r="U43" s="51" t="str">
        <f t="array" aca="1" ref="U43" ca="1">IFERROR(INDEX(Leccion[selectorLeccion],SMALL(IF(U$1=Leccion[SubSección],MATCH(ROW(Leccion[SubSección]),ROW(Leccion[SubSección]))),ROW(T42))),"")</f>
        <v/>
      </c>
      <c r="V43" s="51" t="str">
        <f t="array" aca="1" ref="V43" ca="1">IFERROR(INDEX(Leccion[selectorLeccion],SMALL(IF(V$1=Leccion[SubSección],MATCH(ROW(Leccion[SubSección]),ROW(Leccion[SubSección]))),ROW(U42))),"")</f>
        <v/>
      </c>
      <c r="W43" s="51" t="str">
        <f t="array" aca="1" ref="W43" ca="1">IFERROR(INDEX(Leccion[selectorLeccion],SMALL(IF(W$1=Leccion[SubSección],MATCH(ROW(Leccion[SubSección]),ROW(Leccion[SubSección]))),ROW(V42))),"")</f>
        <v/>
      </c>
      <c r="X43" s="51" t="str">
        <f t="array" aca="1" ref="X43" ca="1">IFERROR(INDEX(Leccion[selectorLeccion],SMALL(IF(X$1=Leccion[SubSección],MATCH(ROW(Leccion[SubSección]),ROW(Leccion[SubSección]))),ROW(W42))),"")</f>
        <v/>
      </c>
      <c r="Y43" s="51" t="str">
        <f t="array" aca="1" ref="Y43" ca="1">IFERROR(INDEX(Leccion[selectorLeccion],SMALL(IF(Y$1=Leccion[SubSección],MATCH(ROW(Leccion[SubSección]),ROW(Leccion[SubSección]))),ROW(X42))),"")</f>
        <v/>
      </c>
      <c r="Z43" s="51" t="str">
        <f t="array" aca="1" ref="Z43" ca="1">IFERROR(INDEX(Leccion[selectorLeccion],SMALL(IF(Z$1=Leccion[SubSección],MATCH(ROW(Leccion[SubSección]),ROW(Leccion[SubSección]))),ROW(Y42))),"")</f>
        <v/>
      </c>
      <c r="AA43" s="51" t="str">
        <f t="array" aca="1" ref="AA43" ca="1">IFERROR(INDEX(Leccion[selectorLeccion],SMALL(IF(AA$1=Leccion[SubSección],MATCH(ROW(Leccion[SubSección]),ROW(Leccion[SubSección]))),ROW(Z42))),"")</f>
        <v/>
      </c>
      <c r="AB43" s="51" t="str">
        <f t="array" aca="1" ref="AB43" ca="1">IFERROR(INDEX(Leccion[selectorLeccion],SMALL(IF(AB$1=Leccion[SubSección],MATCH(ROW(Leccion[SubSección]),ROW(Leccion[SubSección]))),ROW(AA42))),"")</f>
        <v/>
      </c>
      <c r="AC43" s="51" t="str">
        <f t="array" aca="1" ref="AC43" ca="1">IFERROR(INDEX(Leccion[selectorLeccion],SMALL(IF(AC$1=Leccion[SubSección],MATCH(ROW(Leccion[SubSección]),ROW(Leccion[SubSección]))),ROW(AB42))),"")</f>
        <v/>
      </c>
      <c r="AD43" s="51" t="str">
        <f t="array" aca="1" ref="AD43" ca="1">IFERROR(INDEX(Leccion[selectorLeccion],SMALL(IF(AD$1=Leccion[SubSección],MATCH(ROW(Leccion[SubSección]),ROW(Leccion[SubSección]))),ROW(AC42))),"")</f>
        <v/>
      </c>
      <c r="AE43" s="51" t="str">
        <f t="array" aca="1" ref="AE43" ca="1">IFERROR(INDEX(Leccion[selectorLeccion],SMALL(IF(AE$1=Leccion[SubSección],MATCH(ROW(Leccion[SubSección]),ROW(Leccion[SubSección]))),ROW(AD42))),"")</f>
        <v/>
      </c>
      <c r="AF43" s="51" t="str">
        <f t="array" aca="1" ref="AF43" ca="1">IFERROR(INDEX(Leccion[selectorLeccion],SMALL(IF(AF$1=Leccion[SubSección],MATCH(ROW(Leccion[SubSección]),ROW(Leccion[SubSección]))),ROW(AE42))),"")</f>
        <v/>
      </c>
      <c r="AG43" s="51" t="str">
        <f t="array" aca="1" ref="AG43" ca="1">IFERROR(INDEX(Leccion[selectorLeccion],SMALL(IF(AG$1=Leccion[SubSección],MATCH(ROW(Leccion[SubSección]),ROW(Leccion[SubSección]))),ROW(AF42))),"")</f>
        <v/>
      </c>
      <c r="AH43" s="51" t="str">
        <f t="array" aca="1" ref="AH43" ca="1">IFERROR(INDEX(Leccion[selectorLeccion],SMALL(IF(AH$1=Leccion[SubSección],MATCH(ROW(Leccion[SubSección]),ROW(Leccion[SubSección]))),ROW(AG42))),"")</f>
        <v/>
      </c>
      <c r="AI43" s="51" t="str">
        <f t="array" aca="1" ref="AI43" ca="1">IFERROR(INDEX(Leccion[selectorLeccion],SMALL(IF(AI$1=Leccion[SubSección],MATCH(ROW(Leccion[SubSección]),ROW(Leccion[SubSección]))),ROW(AH42))),"")</f>
        <v/>
      </c>
      <c r="AJ43" s="51" t="str">
        <f t="array" aca="1" ref="AJ43" ca="1">IFERROR(INDEX(Leccion[selectorLeccion],SMALL(IF(AJ$1=Leccion[SubSección],MATCH(ROW(Leccion[SubSección]),ROW(Leccion[SubSección]))),ROW(AI42))),"")</f>
        <v/>
      </c>
      <c r="AK43" s="51" t="str">
        <f t="array" aca="1" ref="AK43" ca="1">IFERROR(INDEX(Leccion[selectorLeccion],SMALL(IF(AK$1=Leccion[SubSección],MATCH(ROW(Leccion[SubSección]),ROW(Leccion[SubSección]))),ROW(AJ42))),"")</f>
        <v/>
      </c>
      <c r="AL43" s="51" t="str">
        <f t="array" aca="1" ref="AL43" ca="1">IFERROR(INDEX(Leccion[selectorLeccion],SMALL(IF(AL$1=Leccion[SubSección],MATCH(ROW(Leccion[SubSección]),ROW(Leccion[SubSección]))),ROW(AK42))),"")</f>
        <v/>
      </c>
      <c r="AM43" s="51" t="str">
        <f t="array" aca="1" ref="AM43" ca="1">IFERROR(INDEX(Leccion[selectorLeccion],SMALL(IF(AM$1=Leccion[SubSección],MATCH(ROW(Leccion[SubSección]),ROW(Leccion[SubSección]))),ROW(AL42))),"")</f>
        <v/>
      </c>
      <c r="AN43" s="51" t="str">
        <f t="array" aca="1" ref="AN43" ca="1">IFERROR(INDEX(Leccion[selectorLeccion],SMALL(IF(AN$1=Leccion[SubSección],MATCH(ROW(Leccion[SubSección]),ROW(Leccion[SubSección]))),ROW(AM42))),"")</f>
        <v/>
      </c>
      <c r="AO43" s="51" t="str">
        <f t="array" aca="1" ref="AO43" ca="1">IFERROR(INDEX(Leccion[selectorLeccion],SMALL(IF(AO$1=Leccion[SubSección],MATCH(ROW(Leccion[SubSección]),ROW(Leccion[SubSección]))),ROW(AN42))),"")</f>
        <v/>
      </c>
      <c r="AP43" s="51" t="str">
        <f t="array" aca="1" ref="AP43" ca="1">IFERROR(INDEX(Leccion[selectorLeccion],SMALL(IF(AP$1=Leccion[SubSección],MATCH(ROW(Leccion[SubSección]),ROW(Leccion[SubSección]))),ROW(AO42))),"")</f>
        <v/>
      </c>
      <c r="AQ43" s="51" t="str">
        <f t="array" aca="1" ref="AQ43" ca="1">IFERROR(INDEX(Leccion[selectorLeccion],SMALL(IF(AQ$1=Leccion[SubSección],MATCH(ROW(Leccion[SubSección]),ROW(Leccion[SubSección]))),ROW(AP42))),"")</f>
        <v/>
      </c>
      <c r="AR43" s="51" t="str">
        <f t="array" aca="1" ref="AR43" ca="1">IFERROR(INDEX(Leccion[selectorLeccion],SMALL(IF(AR$1=Leccion[SubSección],MATCH(ROW(Leccion[SubSección]),ROW(Leccion[SubSección]))),ROW(AQ42))),"")</f>
        <v/>
      </c>
      <c r="AS43" s="51" t="str">
        <f t="array" aca="1" ref="AS43" ca="1">IFERROR(INDEX(Leccion[selectorLeccion],SMALL(IF(AS$1=Leccion[SubSección],MATCH(ROW(Leccion[SubSección]),ROW(Leccion[SubSección]))),ROW(AR42))),"")</f>
        <v/>
      </c>
      <c r="AT43" s="51" t="str">
        <f t="array" aca="1" ref="AT43" ca="1">IFERROR(INDEX(Leccion[selectorLeccion],SMALL(IF(AT$1=Leccion[SubSección],MATCH(ROW(Leccion[SubSección]),ROW(Leccion[SubSección]))),ROW(AS42))),"")</f>
        <v/>
      </c>
      <c r="AU43" s="51" t="str">
        <f t="array" aca="1" ref="AU43" ca="1">IFERROR(INDEX(Leccion[selectorLeccion],SMALL(IF(AU$1=Leccion[SubSección],MATCH(ROW(Leccion[SubSección]),ROW(Leccion[SubSección]))),ROW(AT42))),"")</f>
        <v/>
      </c>
      <c r="AV43" s="51" t="str">
        <f t="array" aca="1" ref="AV43" ca="1">IFERROR(INDEX(Leccion[selectorLeccion],SMALL(IF(AV$1=Leccion[SubSección],MATCH(ROW(Leccion[SubSección]),ROW(Leccion[SubSección]))),ROW(AU42))),"")</f>
        <v/>
      </c>
      <c r="AW43" s="51" t="str">
        <f t="array" aca="1" ref="AW43" ca="1">IFERROR(INDEX(Leccion[selectorLeccion],SMALL(IF(AW$1=Leccion[SubSección],MATCH(ROW(Leccion[SubSección]),ROW(Leccion[SubSección]))),ROW(AV42))),"")</f>
        <v/>
      </c>
      <c r="AX43" s="51" t="str">
        <f t="array" aca="1" ref="AX43" ca="1">IFERROR(INDEX(Leccion[selectorLeccion],SMALL(IF(AX$1=Leccion[SubSección],MATCH(ROW(Leccion[SubSección]),ROW(Leccion[SubSección]))),ROW(AW42))),"")</f>
        <v/>
      </c>
      <c r="AY43" s="51" t="str">
        <f t="array" aca="1" ref="AY43" ca="1">IFERROR(INDEX(Leccion[selectorLeccion],SMALL(IF(AY$1=Leccion[SubSección],MATCH(ROW(Leccion[SubSección]),ROW(Leccion[SubSección]))),ROW(AX42))),"")</f>
        <v/>
      </c>
      <c r="AZ43" s="51" t="str">
        <f t="array" aca="1" ref="AZ43" ca="1">IFERROR(INDEX(Leccion[selectorLeccion],SMALL(IF(AZ$1=Leccion[SubSección],MATCH(ROW(Leccion[SubSección]),ROW(Leccion[SubSección]))),ROW(AY42))),"")</f>
        <v/>
      </c>
      <c r="BA43" s="51" t="str">
        <f t="array" aca="1" ref="BA43" ca="1">IFERROR(INDEX(Leccion[selectorLeccion],SMALL(IF(BA$1=Leccion[SubSección],MATCH(ROW(Leccion[SubSección]),ROW(Leccion[SubSección]))),ROW(AZ42))),"")</f>
        <v/>
      </c>
      <c r="BB43" s="51" t="str">
        <f t="array" aca="1" ref="BB43" ca="1">IFERROR(INDEX(Leccion[selectorLeccion],SMALL(IF(BB$1=Leccion[SubSección],MATCH(ROW(Leccion[SubSección]),ROW(Leccion[SubSección]))),ROW(BA42))),"")</f>
        <v/>
      </c>
      <c r="BC43" s="51" t="str">
        <f t="array" aca="1" ref="BC43" ca="1">IFERROR(INDEX(Leccion[selectorLeccion],SMALL(IF(BC$1=Leccion[SubSección],MATCH(ROW(Leccion[SubSección]),ROW(Leccion[SubSección]))),ROW(BB42))),"")</f>
        <v/>
      </c>
      <c r="BD43" s="51" t="str">
        <f t="array" aca="1" ref="BD43" ca="1">IFERROR(INDEX(Leccion[selectorLeccion],SMALL(IF(BD$1=Leccion[SubSección],MATCH(ROW(Leccion[SubSección]),ROW(Leccion[SubSección]))),ROW(BC42))),"")</f>
        <v/>
      </c>
      <c r="BE43" s="51" t="str">
        <f t="array" aca="1" ref="BE43" ca="1">IFERROR(INDEX(Leccion[selectorLeccion],SMALL(IF(BE$1=Leccion[SubSección],MATCH(ROW(Leccion[SubSección]),ROW(Leccion[SubSección]))),ROW(BD42))),"")</f>
        <v/>
      </c>
      <c r="BF43" s="51" t="str">
        <f t="array" aca="1" ref="BF43" ca="1">IFERROR(INDEX(Leccion[selectorLeccion],SMALL(IF(BF$1=Leccion[SubSección],MATCH(ROW(Leccion[SubSección]),ROW(Leccion[SubSección]))),ROW(BE42))),"")</f>
        <v/>
      </c>
      <c r="BG43" s="51" t="str">
        <f t="array" aca="1" ref="BG43" ca="1">IFERROR(INDEX(Leccion[selectorLeccion],SMALL(IF(BG$1=Leccion[SubSección],MATCH(ROW(Leccion[SubSección]),ROW(Leccion[SubSección]))),ROW(BF42))),"")</f>
        <v/>
      </c>
      <c r="BH43" s="51" t="str">
        <f t="array" aca="1" ref="BH43" ca="1">IFERROR(INDEX(Leccion[selectorLeccion],SMALL(IF(BH$1=Leccion[SubSección],MATCH(ROW(Leccion[SubSección]),ROW(Leccion[SubSección]))),ROW(BG42))),"")</f>
        <v/>
      </c>
      <c r="BI43" s="51" t="str">
        <f t="array" aca="1" ref="BI43" ca="1">IFERROR(INDEX(Leccion[selectorLeccion],SMALL(IF(BI$1=Leccion[SubSección],MATCH(ROW(Leccion[SubSección]),ROW(Leccion[SubSección]))),ROW(BH42))),"")</f>
        <v/>
      </c>
      <c r="BJ43" s="51" t="str">
        <f t="array" aca="1" ref="BJ43" ca="1">IFERROR(INDEX(Leccion[selectorLeccion],SMALL(IF(BJ$1=Leccion[SubSección],MATCH(ROW(Leccion[SubSección]),ROW(Leccion[SubSección]))),ROW(BI42))),"")</f>
        <v/>
      </c>
      <c r="BK43" s="51" t="str">
        <f t="array" aca="1" ref="BK43" ca="1">IFERROR(INDEX(Leccion[selectorLeccion],SMALL(IF(BK$1=Leccion[SubSección],MATCH(ROW(Leccion[SubSección]),ROW(Leccion[SubSección]))),ROW(BJ42))),"")</f>
        <v/>
      </c>
      <c r="BL43" s="51" t="str">
        <f t="array" aca="1" ref="BL43" ca="1">IFERROR(INDEX(Leccion[selectorLeccion],SMALL(IF(BL$1=Leccion[SubSección],MATCH(ROW(Leccion[SubSección]),ROW(Leccion[SubSección]))),ROW(BK42))),"")</f>
        <v/>
      </c>
      <c r="BM43" s="51" t="str">
        <f t="array" aca="1" ref="BM43" ca="1">IFERROR(INDEX(Leccion[selectorLeccion],SMALL(IF(BM$1=Leccion[SubSección],MATCH(ROW(Leccion[SubSección]),ROW(Leccion[SubSección]))),ROW(BL42))),"")</f>
        <v/>
      </c>
      <c r="BN43" s="51" t="str">
        <f t="array" aca="1" ref="BN43" ca="1">IFERROR(INDEX(Leccion[selectorLeccion],SMALL(IF(BN$1=Leccion[SubSección],MATCH(ROW(Leccion[SubSección]),ROW(Leccion[SubSección]))),ROW(BM42))),"")</f>
        <v/>
      </c>
      <c r="BO43" s="51" t="str">
        <f t="array" aca="1" ref="BO43" ca="1">IFERROR(INDEX(Leccion[selectorLeccion],SMALL(IF(BO$1=Leccion[SubSección],MATCH(ROW(Leccion[SubSección]),ROW(Leccion[SubSección]))),ROW(BN42))),"")</f>
        <v/>
      </c>
      <c r="BP43" s="51" t="str">
        <f t="array" aca="1" ref="BP43" ca="1">IFERROR(INDEX(Leccion[selectorLeccion],SMALL(IF(BP$1=Leccion[SubSección],MATCH(ROW(Leccion[SubSección]),ROW(Leccion[SubSección]))),ROW(BO42))),"")</f>
        <v/>
      </c>
      <c r="BQ43" s="51" t="str">
        <f t="array" aca="1" ref="BQ43" ca="1">IFERROR(INDEX(Leccion[selectorLeccion],SMALL(IF(BQ$1=Leccion[SubSección],MATCH(ROW(Leccion[SubSección]),ROW(Leccion[SubSección]))),ROW(BP42))),"")</f>
        <v/>
      </c>
      <c r="BR43" s="51" t="str">
        <f t="array" aca="1" ref="BR43" ca="1">IFERROR(INDEX(Leccion[selectorLeccion],SMALL(IF(BR$1=Leccion[SubSección],MATCH(ROW(Leccion[SubSección]),ROW(Leccion[SubSección]))),ROW(BQ42))),"")</f>
        <v/>
      </c>
      <c r="BS43" s="51" t="str">
        <f t="array" aca="1" ref="BS43" ca="1">IFERROR(INDEX(Leccion[selectorLeccion],SMALL(IF(BS$1=Leccion[SubSección],MATCH(ROW(Leccion[SubSección]),ROW(Leccion[SubSección]))),ROW(BR42))),"")</f>
        <v/>
      </c>
      <c r="BT43" s="51" t="str">
        <f t="array" aca="1" ref="BT43" ca="1">IFERROR(INDEX(Leccion[selectorLeccion],SMALL(IF(BT$1=Leccion[SubSección],MATCH(ROW(Leccion[SubSección]),ROW(Leccion[SubSección]))),ROW(BS42))),"")</f>
        <v/>
      </c>
      <c r="BU43" s="51" t="str">
        <f t="array" aca="1" ref="BU43" ca="1">IFERROR(INDEX(Leccion[selectorLeccion],SMALL(IF(BU$1=Leccion[SubSección],MATCH(ROW(Leccion[SubSección]),ROW(Leccion[SubSección]))),ROW(BT42))),"")</f>
        <v/>
      </c>
      <c r="BV43" s="51" t="str">
        <f t="array" aca="1" ref="BV43" ca="1">IFERROR(INDEX(Leccion[selectorLeccion],SMALL(IF(BV$1=Leccion[SubSección],MATCH(ROW(Leccion[SubSección]),ROW(Leccion[SubSección]))),ROW(BU42))),"")</f>
        <v/>
      </c>
      <c r="BW43" s="51" t="str">
        <f t="array" aca="1" ref="BW43" ca="1">IFERROR(INDEX(Leccion[selectorLeccion],SMALL(IF(BW$1=Leccion[SubSección],MATCH(ROW(Leccion[SubSección]),ROW(Leccion[SubSección]))),ROW(BV42))),"")</f>
        <v/>
      </c>
      <c r="BX43" s="51" t="str">
        <f t="array" aca="1" ref="BX43" ca="1">IFERROR(INDEX(Leccion[selectorLeccion],SMALL(IF(BX$1=Leccion[SubSección],MATCH(ROW(Leccion[SubSección]),ROW(Leccion[SubSección]))),ROW(BW42))),"")</f>
        <v/>
      </c>
      <c r="BY43" s="51" t="str">
        <f t="array" aca="1" ref="BY43" ca="1">IFERROR(INDEX(Leccion[selectorLeccion],SMALL(IF(BY$1=Leccion[SubSección],MATCH(ROW(Leccion[SubSección]),ROW(Leccion[SubSección]))),ROW(BX42))),"")</f>
        <v/>
      </c>
      <c r="BZ43" s="51" t="str">
        <f t="array" aca="1" ref="BZ43" ca="1">IFERROR(INDEX(Leccion[selectorLeccion],SMALL(IF(BZ$1=Leccion[SubSección],MATCH(ROW(Leccion[SubSección]),ROW(Leccion[SubSección]))),ROW(BY42))),"")</f>
        <v/>
      </c>
      <c r="CA43" s="51" t="str">
        <f t="array" aca="1" ref="CA43" ca="1">IFERROR(INDEX(Leccion[selectorLeccion],SMALL(IF(CA$1=Leccion[SubSección],MATCH(ROW(Leccion[SubSección]),ROW(Leccion[SubSección]))),ROW(BZ42))),"")</f>
        <v/>
      </c>
      <c r="CB43" s="51" t="str">
        <f t="array" aca="1" ref="CB43" ca="1">IFERROR(INDEX(Leccion[selectorLeccion],SMALL(IF(CB$1=Leccion[SubSección],MATCH(ROW(Leccion[SubSección]),ROW(Leccion[SubSección]))),ROW(CA42))),"")</f>
        <v/>
      </c>
      <c r="CC43" s="51" t="str">
        <f t="array" aca="1" ref="CC43" ca="1">IFERROR(INDEX(Leccion[selectorLeccion],SMALL(IF(CC$1=Leccion[SubSección],MATCH(ROW(Leccion[SubSección]),ROW(Leccion[SubSección]))),ROW(CB42))),"")</f>
        <v/>
      </c>
      <c r="CD43" s="51" t="str">
        <f t="array" aca="1" ref="CD43" ca="1">IFERROR(INDEX(Leccion[selectorLeccion],SMALL(IF(CD$1=Leccion[SubSección],MATCH(ROW(Leccion[SubSección]),ROW(Leccion[SubSección]))),ROW(CC42))),"")</f>
        <v/>
      </c>
      <c r="CE43" s="51" t="str">
        <f t="array" aca="1" ref="CE43" ca="1">IFERROR(INDEX(Leccion[selectorLeccion],SMALL(IF(CE$1=Leccion[SubSección],MATCH(ROW(Leccion[SubSección]),ROW(Leccion[SubSección]))),ROW(CD42))),"")</f>
        <v/>
      </c>
      <c r="CF43" s="51" t="str">
        <f t="array" aca="1" ref="CF43" ca="1">IFERROR(INDEX(Leccion[selectorLeccion],SMALL(IF(CF$1=Leccion[SubSección],MATCH(ROW(Leccion[SubSección]),ROW(Leccion[SubSección]))),ROW(CE42))),"")</f>
        <v/>
      </c>
      <c r="CG43" s="51" t="str">
        <f t="array" aca="1" ref="CG43" ca="1">IFERROR(INDEX(Leccion[selectorLeccion],SMALL(IF(CG$1=Leccion[SubSección],MATCH(ROW(Leccion[SubSección]),ROW(Leccion[SubSección]))),ROW(CF42))),"")</f>
        <v/>
      </c>
      <c r="CH43" s="51" t="str">
        <f t="array" aca="1" ref="CH43" ca="1">IFERROR(INDEX(Leccion[selectorLeccion],SMALL(IF(CH$1=Leccion[SubSección],MATCH(ROW(Leccion[SubSección]),ROW(Leccion[SubSección]))),ROW(CG42))),"")</f>
        <v/>
      </c>
      <c r="CI43" s="51" t="str">
        <f t="array" aca="1" ref="CI43" ca="1">IFERROR(INDEX(Leccion[selectorLeccion],SMALL(IF(CI$1=Leccion[SubSección],MATCH(ROW(Leccion[SubSección]),ROW(Leccion[SubSección]))),ROW(CH42))),"")</f>
        <v/>
      </c>
      <c r="CJ43" s="51" t="str">
        <f t="array" aca="1" ref="CJ43" ca="1">IFERROR(INDEX(Leccion[selectorLeccion],SMALL(IF(CJ$1=Leccion[SubSección],MATCH(ROW(Leccion[SubSección]),ROW(Leccion[SubSección]))),ROW(CI42))),"")</f>
        <v/>
      </c>
      <c r="CK43" s="51" t="str">
        <f t="array" aca="1" ref="CK43" ca="1">IFERROR(INDEX(Leccion[selectorLeccion],SMALL(IF(CK$1=Leccion[SubSección],MATCH(ROW(Leccion[SubSección]),ROW(Leccion[SubSección]))),ROW(CJ42))),"")</f>
        <v/>
      </c>
      <c r="CL43" s="51" t="str">
        <f t="array" aca="1" ref="CL43" ca="1">IFERROR(INDEX(Leccion[selectorLeccion],SMALL(IF(CL$1=Leccion[SubSección],MATCH(ROW(Leccion[SubSección]),ROW(Leccion[SubSección]))),ROW(CK42))),"")</f>
        <v/>
      </c>
      <c r="CM43" s="51" t="str">
        <f t="array" aca="1" ref="CM43" ca="1">IFERROR(INDEX(Leccion[selectorLeccion],SMALL(IF(CM$1=Leccion[SubSección],MATCH(ROW(Leccion[SubSección]),ROW(Leccion[SubSección]))),ROW(CL42))),"")</f>
        <v/>
      </c>
      <c r="CN43" s="51" t="str">
        <f t="array" aca="1" ref="CN43" ca="1">IFERROR(INDEX(Leccion[selectorLeccion],SMALL(IF(CN$1=Leccion[SubSección],MATCH(ROW(Leccion[SubSección]),ROW(Leccion[SubSección]))),ROW(CM42))),"")</f>
        <v/>
      </c>
      <c r="CO43" s="51" t="str">
        <f t="array" aca="1" ref="CO43" ca="1">IFERROR(INDEX(Leccion[selectorLeccion],SMALL(IF(CO$1=Leccion[SubSección],MATCH(ROW(Leccion[SubSección]),ROW(Leccion[SubSección]))),ROW(CN42))),"")</f>
        <v/>
      </c>
      <c r="CP43" s="51" t="str">
        <f t="array" aca="1" ref="CP43" ca="1">IFERROR(INDEX(Leccion[selectorLeccion],SMALL(IF(CP$1=Leccion[SubSección],MATCH(ROW(Leccion[SubSección]),ROW(Leccion[SubSección]))),ROW(CO42))),"")</f>
        <v/>
      </c>
      <c r="CQ43" s="51" t="str">
        <f t="array" aca="1" ref="CQ43" ca="1">IFERROR(INDEX(Leccion[selectorLeccion],SMALL(IF(CQ$1=Leccion[SubSección],MATCH(ROW(Leccion[SubSección]),ROW(Leccion[SubSección]))),ROW(CP42))),"")</f>
        <v/>
      </c>
      <c r="CR43" s="51" t="str">
        <f t="array" aca="1" ref="CR43" ca="1">IFERROR(INDEX(Leccion[selectorLeccion],SMALL(IF(CR$1=Leccion[SubSección],MATCH(ROW(Leccion[SubSección]),ROW(Leccion[SubSección]))),ROW(CQ42))),"")</f>
        <v/>
      </c>
      <c r="CS43" s="51" t="str">
        <f t="array" aca="1" ref="CS43" ca="1">IFERROR(INDEX(Leccion[selectorLeccion],SMALL(IF(CS$1=Leccion[SubSección],MATCH(ROW(Leccion[SubSección]),ROW(Leccion[SubSección]))),ROW(CR42))),"")</f>
        <v/>
      </c>
      <c r="CT43" s="51" t="str">
        <f t="array" aca="1" ref="CT43" ca="1">IFERROR(INDEX(Leccion[selectorLeccion],SMALL(IF(CT$1=Leccion[SubSección],MATCH(ROW(Leccion[SubSección]),ROW(Leccion[SubSección]))),ROW(CS42))),"")</f>
        <v/>
      </c>
      <c r="CU43" s="51" t="str">
        <f t="array" aca="1" ref="CU43" ca="1">IFERROR(INDEX(Leccion[selectorLeccion],SMALL(IF(CU$1=Leccion[SubSección],MATCH(ROW(Leccion[SubSección]),ROW(Leccion[SubSección]))),ROW(CT42))),"")</f>
        <v/>
      </c>
      <c r="CV43" s="51" t="str">
        <f t="array" aca="1" ref="CV43" ca="1">IFERROR(INDEX(Leccion[selectorLeccion],SMALL(IF(CV$1=Leccion[SubSección],MATCH(ROW(Leccion[SubSección]),ROW(Leccion[SubSección]))),ROW(CU42))),"")</f>
        <v/>
      </c>
      <c r="CW43" s="51" t="str">
        <f t="array" aca="1" ref="CW43" ca="1">IFERROR(INDEX(Leccion[selectorLeccion],SMALL(IF(CW$1=Leccion[SubSección],MATCH(ROW(Leccion[SubSección]),ROW(Leccion[SubSección]))),ROW(CV42))),"")</f>
        <v/>
      </c>
      <c r="CX43" s="51" t="str">
        <f t="array" aca="1" ref="CX43" ca="1">IFERROR(INDEX(Leccion[selectorLeccion],SMALL(IF(CX$1=Leccion[SubSección],MATCH(ROW(Leccion[SubSección]),ROW(Leccion[SubSección]))),ROW(CW42))),"")</f>
        <v/>
      </c>
      <c r="CY43" s="51" t="str">
        <f t="array" aca="1" ref="CY43" ca="1">IFERROR(INDEX(Leccion[selectorLeccion],SMALL(IF(CY$1=Leccion[SubSección],MATCH(ROW(Leccion[SubSección]),ROW(Leccion[SubSección]))),ROW(CX42))),"")</f>
        <v/>
      </c>
      <c r="CZ43" s="51" t="str">
        <f t="array" aca="1" ref="CZ43" ca="1">IFERROR(INDEX(Leccion[selectorLeccion],SMALL(IF(CZ$1=Leccion[SubSección],MATCH(ROW(Leccion[SubSección]),ROW(Leccion[SubSección]))),ROW(CY42))),"")</f>
        <v/>
      </c>
      <c r="DA43" s="51" t="str">
        <f t="array" aca="1" ref="DA43" ca="1">IFERROR(INDEX(Leccion[selectorLeccion],SMALL(IF(DA$1=Leccion[SubSección],MATCH(ROW(Leccion[SubSección]),ROW(Leccion[SubSección]))),ROW(CZ42))),"")</f>
        <v/>
      </c>
      <c r="DB43" s="51" t="str">
        <f t="array" aca="1" ref="DB43" ca="1">IFERROR(INDEX(Leccion[selectorLeccion],SMALL(IF(DB$1=Leccion[SubSección],MATCH(ROW(Leccion[SubSección]),ROW(Leccion[SubSección]))),ROW(DA42))),"")</f>
        <v/>
      </c>
      <c r="DC43" s="51" t="str">
        <f t="array" aca="1" ref="DC43" ca="1">IFERROR(INDEX(Leccion[selectorLeccion],SMALL(IF(DC$1=Leccion[SubSección],MATCH(ROW(Leccion[SubSección]),ROW(Leccion[SubSección]))),ROW(DB42))),"")</f>
        <v/>
      </c>
      <c r="DD43" s="51" t="str">
        <f t="array" aca="1" ref="DD43" ca="1">IFERROR(INDEX(Leccion[selectorLeccion],SMALL(IF(DD$1=Leccion[SubSección],MATCH(ROW(Leccion[SubSección]),ROW(Leccion[SubSección]))),ROW(DC42))),"")</f>
        <v/>
      </c>
      <c r="DE43" s="51" t="str">
        <f t="array" aca="1" ref="DE43" ca="1">IFERROR(INDEX(Leccion[selectorLeccion],SMALL(IF(DE$1=Leccion[SubSección],MATCH(ROW(Leccion[SubSección]),ROW(Leccion[SubSección]))),ROW(DD42))),"")</f>
        <v/>
      </c>
      <c r="DF43" s="51" t="str">
        <f t="array" aca="1" ref="DF43" ca="1">IFERROR(INDEX(Leccion[selectorLeccion],SMALL(IF(DF$1=Leccion[SubSección],MATCH(ROW(Leccion[SubSección]),ROW(Leccion[SubSección]))),ROW(DE42))),"")</f>
        <v/>
      </c>
      <c r="DG43" s="51" t="str">
        <f t="array" aca="1" ref="DG43" ca="1">IFERROR(INDEX(Leccion[selectorLeccion],SMALL(IF(DG$1=Leccion[SubSección],MATCH(ROW(Leccion[SubSección]),ROW(Leccion[SubSección]))),ROW(DF42))),"")</f>
        <v/>
      </c>
      <c r="DH43" s="51" t="str">
        <f t="array" aca="1" ref="DH43" ca="1">IFERROR(INDEX(Leccion[selectorLeccion],SMALL(IF(DH$1=Leccion[SubSección],MATCH(ROW(Leccion[SubSección]),ROW(Leccion[SubSección]))),ROW(DG42))),"")</f>
        <v/>
      </c>
      <c r="DI43" s="51" t="str">
        <f t="array" aca="1" ref="DI43" ca="1">IFERROR(INDEX(Leccion[selectorLeccion],SMALL(IF(DI$1=Leccion[SubSección],MATCH(ROW(Leccion[SubSección]),ROW(Leccion[SubSección]))),ROW(DH42))),"")</f>
        <v/>
      </c>
      <c r="DJ43" s="51" t="str">
        <f t="array" aca="1" ref="DJ43" ca="1">IFERROR(INDEX(Leccion[selectorLeccion],SMALL(IF(DJ$1=Leccion[SubSección],MATCH(ROW(Leccion[SubSección]),ROW(Leccion[SubSección]))),ROW(DI42))),"")</f>
        <v/>
      </c>
      <c r="DK43" s="51" t="str">
        <f t="array" aca="1" ref="DK43" ca="1">IFERROR(INDEX(Leccion[selectorLeccion],SMALL(IF(DK$1=Leccion[SubSección],MATCH(ROW(Leccion[SubSección]),ROW(Leccion[SubSección]))),ROW(DJ42))),"")</f>
        <v/>
      </c>
      <c r="DL43" s="51" t="str">
        <f t="array" aca="1" ref="DL43" ca="1">IFERROR(INDEX(Leccion[selectorLeccion],SMALL(IF(DL$1=Leccion[SubSección],MATCH(ROW(Leccion[SubSección]),ROW(Leccion[SubSección]))),ROW(DK42))),"")</f>
        <v/>
      </c>
      <c r="DM43" s="51" t="str">
        <f t="array" aca="1" ref="DM43" ca="1">IFERROR(INDEX(Leccion[selectorLeccion],SMALL(IF(DM$1=Leccion[SubSección],MATCH(ROW(Leccion[SubSección]),ROW(Leccion[SubSección]))),ROW(DL42))),"")</f>
        <v/>
      </c>
      <c r="DN43" s="51" t="str">
        <f t="array" aca="1" ref="DN43" ca="1">IFERROR(INDEX(Leccion[selectorLeccion],SMALL(IF(DN$1=Leccion[SubSección],MATCH(ROW(Leccion[SubSección]),ROW(Leccion[SubSección]))),ROW(DM42))),"")</f>
        <v/>
      </c>
      <c r="DO43" s="51" t="str">
        <f t="array" aca="1" ref="DO43" ca="1">IFERROR(INDEX(Leccion[selectorLeccion],SMALL(IF(DO$1=Leccion[SubSección],MATCH(ROW(Leccion[SubSección]),ROW(Leccion[SubSección]))),ROW(DN42))),"")</f>
        <v/>
      </c>
      <c r="DP43" s="51" t="str">
        <f t="array" aca="1" ref="DP43" ca="1">IFERROR(INDEX(Leccion[selectorLeccion],SMALL(IF(DP$1=Leccion[SubSección],MATCH(ROW(Leccion[SubSección]),ROW(Leccion[SubSección]))),ROW(DO42))),"")</f>
        <v/>
      </c>
      <c r="DQ43" s="51" t="str">
        <f t="array" aca="1" ref="DQ43" ca="1">IFERROR(INDEX(Leccion[selectorLeccion],SMALL(IF(DQ$1=Leccion[SubSección],MATCH(ROW(Leccion[SubSección]),ROW(Leccion[SubSección]))),ROW(DP42))),"")</f>
        <v/>
      </c>
      <c r="DR43" s="51" t="str">
        <f t="array" aca="1" ref="DR43" ca="1">IFERROR(INDEX(Leccion[selectorLeccion],SMALL(IF(DR$1=Leccion[SubSección],MATCH(ROW(Leccion[SubSección]),ROW(Leccion[SubSección]))),ROW(DQ42))),"")</f>
        <v/>
      </c>
      <c r="DS43" s="51" t="str">
        <f t="array" aca="1" ref="DS43" ca="1">IFERROR(INDEX(Leccion[selectorLeccion],SMALL(IF(DS$1=Leccion[SubSección],MATCH(ROW(Leccion[SubSección]),ROW(Leccion[SubSección]))),ROW(DR42))),"")</f>
        <v/>
      </c>
      <c r="DT43" s="51" t="str">
        <f t="array" aca="1" ref="DT43" ca="1">IFERROR(INDEX(Leccion[selectorLeccion],SMALL(IF(DT$1=Leccion[SubSección],MATCH(ROW(Leccion[SubSección]),ROW(Leccion[SubSección]))),ROW(DS42))),"")</f>
        <v/>
      </c>
      <c r="DU43" s="51" t="str">
        <f t="array" aca="1" ref="DU43" ca="1">IFERROR(INDEX(Leccion[selectorLeccion],SMALL(IF(DU$1=Leccion[SubSección],MATCH(ROW(Leccion[SubSección]),ROW(Leccion[SubSección]))),ROW(DT42))),"")</f>
        <v/>
      </c>
      <c r="DV43" s="51" t="str">
        <f t="array" aca="1" ref="DV43" ca="1">IFERROR(INDEX(Leccion[selectorLeccion],SMALL(IF(DV$1=Leccion[SubSección],MATCH(ROW(Leccion[SubSección]),ROW(Leccion[SubSección]))),ROW(DU42))),"")</f>
        <v/>
      </c>
      <c r="DW43" s="51" t="str">
        <f t="array" aca="1" ref="DW43" ca="1">IFERROR(INDEX(Leccion[selectorLeccion],SMALL(IF(DW$1=Leccion[SubSección],MATCH(ROW(Leccion[SubSección]),ROW(Leccion[SubSección]))),ROW(DV42))),"")</f>
        <v/>
      </c>
      <c r="DX43" s="51" t="str">
        <f t="array" aca="1" ref="DX43" ca="1">IFERROR(INDEX(Leccion[selectorLeccion],SMALL(IF(DX$1=Leccion[SubSección],MATCH(ROW(Leccion[SubSección]),ROW(Leccion[SubSección]))),ROW(DW42))),"")</f>
        <v/>
      </c>
      <c r="DY43" s="51" t="str">
        <f t="array" aca="1" ref="DY43" ca="1">IFERROR(INDEX(Leccion[selectorLeccion],SMALL(IF(DY$1=Leccion[SubSección],MATCH(ROW(Leccion[SubSección]),ROW(Leccion[SubSección]))),ROW(DX42))),"")</f>
        <v/>
      </c>
      <c r="DZ43" s="51" t="str">
        <f t="array" aca="1" ref="DZ43" ca="1">IFERROR(INDEX(Leccion[selectorLeccion],SMALL(IF(DZ$1=Leccion[SubSección],MATCH(ROW(Leccion[SubSección]),ROW(Leccion[SubSección]))),ROW(DY42))),"")</f>
        <v/>
      </c>
      <c r="EA43" s="51" t="str">
        <f t="array" aca="1" ref="EA43" ca="1">IFERROR(INDEX(Leccion[selectorLeccion],SMALL(IF(EA$1=Leccion[SubSección],MATCH(ROW(Leccion[SubSección]),ROW(Leccion[SubSección]))),ROW(DZ42))),"")</f>
        <v/>
      </c>
      <c r="EB43" s="51" t="str">
        <f t="array" aca="1" ref="EB43" ca="1">IFERROR(INDEX(Leccion[selectorLeccion],SMALL(IF(EB$1=Leccion[SubSección],MATCH(ROW(Leccion[SubSección]),ROW(Leccion[SubSección]))),ROW(EA42))),"")</f>
        <v/>
      </c>
      <c r="EC43" s="51" t="str">
        <f t="array" aca="1" ref="EC43" ca="1">IFERROR(INDEX(Leccion[selectorLeccion],SMALL(IF(EC$1=Leccion[SubSección],MATCH(ROW(Leccion[SubSección]),ROW(Leccion[SubSección]))),ROW(EB42))),"")</f>
        <v/>
      </c>
      <c r="ED43" s="51" t="str">
        <f t="array" aca="1" ref="ED43" ca="1">IFERROR(INDEX(Leccion[selectorLeccion],SMALL(IF(ED$1=Leccion[SubSección],MATCH(ROW(Leccion[SubSección]),ROW(Leccion[SubSección]))),ROW(EC42))),"")</f>
        <v/>
      </c>
      <c r="EE43" s="51" t="str">
        <f t="array" aca="1" ref="EE43" ca="1">IFERROR(INDEX(Leccion[selectorLeccion],SMALL(IF(EE$1=Leccion[SubSección],MATCH(ROW(Leccion[SubSección]),ROW(Leccion[SubSección]))),ROW(ED42))),"")</f>
        <v/>
      </c>
      <c r="EF43" s="51" t="str">
        <f t="array" aca="1" ref="EF43" ca="1">IFERROR(INDEX(Leccion[selectorLeccion],SMALL(IF(EF$1=Leccion[SubSección],MATCH(ROW(Leccion[SubSección]),ROW(Leccion[SubSección]))),ROW(EE42))),"")</f>
        <v/>
      </c>
      <c r="EG43" s="51" t="str">
        <f t="array" aca="1" ref="EG43" ca="1">IFERROR(INDEX(Leccion[selectorLeccion],SMALL(IF(EG$1=Leccion[SubSección],MATCH(ROW(Leccion[SubSección]),ROW(Leccion[SubSección]))),ROW(EF42))),"")</f>
        <v/>
      </c>
      <c r="EH43" s="51" t="str">
        <f t="array" aca="1" ref="EH43" ca="1">IFERROR(INDEX(Leccion[selectorLeccion],SMALL(IF(EH$1=Leccion[SubSección],MATCH(ROW(Leccion[SubSección]),ROW(Leccion[SubSección]))),ROW(EG42))),"")</f>
        <v/>
      </c>
      <c r="EI43" s="51" t="str">
        <f t="array" aca="1" ref="EI43" ca="1">IFERROR(INDEX(Leccion[selectorLeccion],SMALL(IF(EI$1=Leccion[SubSección],MATCH(ROW(Leccion[SubSección]),ROW(Leccion[SubSección]))),ROW(EH42))),"")</f>
        <v/>
      </c>
      <c r="EJ43" s="51" t="str">
        <f t="array" aca="1" ref="EJ43" ca="1">IFERROR(INDEX(Leccion[selectorLeccion],SMALL(IF(EJ$1=Leccion[SubSección],MATCH(ROW(Leccion[SubSección]),ROW(Leccion[SubSección]))),ROW(EI42))),"")</f>
        <v/>
      </c>
      <c r="EK43" s="51" t="str">
        <f t="array" aca="1" ref="EK43" ca="1">IFERROR(INDEX(Leccion[selectorLeccion],SMALL(IF(EK$1=Leccion[SubSección],MATCH(ROW(Leccion[SubSección]),ROW(Leccion[SubSección]))),ROW(EJ42))),"")</f>
        <v/>
      </c>
      <c r="EL43" s="51" t="str">
        <f t="array" aca="1" ref="EL43" ca="1">IFERROR(INDEX(Leccion[selectorLeccion],SMALL(IF(EL$1=Leccion[SubSección],MATCH(ROW(Leccion[SubSección]),ROW(Leccion[SubSección]))),ROW(EK42))),"")</f>
        <v/>
      </c>
      <c r="EM43" s="51" t="str">
        <f t="array" aca="1" ref="EM43" ca="1">IFERROR(INDEX(Leccion[selectorLeccion],SMALL(IF(EM$1=Leccion[SubSección],MATCH(ROW(Leccion[SubSección]),ROW(Leccion[SubSección]))),ROW(EL42))),"")</f>
        <v/>
      </c>
      <c r="EN43" s="51" t="str">
        <f t="array" aca="1" ref="EN43" ca="1">IFERROR(INDEX(Leccion[selectorLeccion],SMALL(IF(EN$1=Leccion[SubSección],MATCH(ROW(Leccion[SubSección]),ROW(Leccion[SubSección]))),ROW(EM42))),"")</f>
        <v/>
      </c>
      <c r="EO43" s="51" t="str">
        <f t="array" aca="1" ref="EO43" ca="1">IFERROR(INDEX(Leccion[selectorLeccion],SMALL(IF(EO$1=Leccion[SubSección],MATCH(ROW(Leccion[SubSección]),ROW(Leccion[SubSección]))),ROW(EN42))),"")</f>
        <v/>
      </c>
      <c r="EP43" s="51" t="str">
        <f t="array" aca="1" ref="EP43" ca="1">IFERROR(INDEX(Leccion[selectorLeccion],SMALL(IF(EP$1=Leccion[SubSección],MATCH(ROW(Leccion[SubSección]),ROW(Leccion[SubSección]))),ROW(EO42))),"")</f>
        <v/>
      </c>
      <c r="EQ43" s="51" t="str">
        <f t="array" aca="1" ref="EQ43" ca="1">IFERROR(INDEX(Leccion[selectorLeccion],SMALL(IF(EQ$1=Leccion[SubSección],MATCH(ROW(Leccion[SubSección]),ROW(Leccion[SubSección]))),ROW(EP42))),"")</f>
        <v/>
      </c>
      <c r="ER43" s="51" t="str">
        <f t="array" aca="1" ref="ER43" ca="1">IFERROR(INDEX(Leccion[selectorLeccion],SMALL(IF(ER$1=Leccion[SubSección],MATCH(ROW(Leccion[SubSección]),ROW(Leccion[SubSección]))),ROW(EQ42))),"")</f>
        <v/>
      </c>
      <c r="ES43" s="51" t="str">
        <f t="array" aca="1" ref="ES43" ca="1">IFERROR(INDEX(Leccion[selectorLeccion],SMALL(IF(ES$1=Leccion[SubSección],MATCH(ROW(Leccion[SubSección]),ROW(Leccion[SubSección]))),ROW(ER42))),"")</f>
        <v/>
      </c>
      <c r="ET43" s="51" t="str">
        <f t="array" aca="1" ref="ET43" ca="1">IFERROR(INDEX(Leccion[selectorLeccion],SMALL(IF(ET$1=Leccion[SubSección],MATCH(ROW(Leccion[SubSección]),ROW(Leccion[SubSección]))),ROW(ES42))),"")</f>
        <v/>
      </c>
      <c r="EU43" s="51" t="str">
        <f t="array" aca="1" ref="EU43" ca="1">IFERROR(INDEX(Leccion[selectorLeccion],SMALL(IF(EU$1=Leccion[SubSección],MATCH(ROW(Leccion[SubSección]),ROW(Leccion[SubSección]))),ROW(ET42))),"")</f>
        <v/>
      </c>
      <c r="EV43" s="51" t="str">
        <f t="array" aca="1" ref="EV43" ca="1">IFERROR(INDEX(Leccion[selectorLeccion],SMALL(IF(EV$1=Leccion[SubSección],MATCH(ROW(Leccion[SubSección]),ROW(Leccion[SubSección]))),ROW(EU42))),"")</f>
        <v/>
      </c>
      <c r="EW43" s="51" t="str">
        <f t="array" aca="1" ref="EW43" ca="1">IFERROR(INDEX(Leccion[selectorLeccion],SMALL(IF(EW$1=Leccion[SubSección],MATCH(ROW(Leccion[SubSección]),ROW(Leccion[SubSección]))),ROW(EV42))),"")</f>
        <v/>
      </c>
      <c r="EX43" s="51" t="str">
        <f t="array" aca="1" ref="EX43" ca="1">IFERROR(INDEX(Leccion[selectorLeccion],SMALL(IF(EX$1=Leccion[SubSección],MATCH(ROW(Leccion[SubSección]),ROW(Leccion[SubSección]))),ROW(EW42))),"")</f>
        <v/>
      </c>
      <c r="EY43" s="51" t="str">
        <f t="array" aca="1" ref="EY43" ca="1">IFERROR(INDEX(Leccion[selectorLeccion],SMALL(IF(EY$1=Leccion[SubSección],MATCH(ROW(Leccion[SubSección]),ROW(Leccion[SubSección]))),ROW(EX42))),"")</f>
        <v/>
      </c>
      <c r="EZ43" s="51" t="str">
        <f t="array" aca="1" ref="EZ43" ca="1">IFERROR(INDEX(Leccion[selectorLeccion],SMALL(IF(EZ$1=Leccion[SubSección],MATCH(ROW(Leccion[SubSección]),ROW(Leccion[SubSección]))),ROW(EY42))),"")</f>
        <v/>
      </c>
    </row>
    <row r="44" spans="2:156" x14ac:dyDescent="0.3">
      <c r="B44" s="51" t="str">
        <f t="array" aca="1" ref="B44" ca="1">IFERROR(INDEX(Leccion[selectorLeccion],SMALL(IF(B$1=Leccion[SubSección],MATCH(ROW(Leccion[SubSección]),ROW(Leccion[SubSección]))),ROW(A43))),"")</f>
        <v/>
      </c>
      <c r="C44" s="51" t="str">
        <f t="array" aca="1" ref="C44" ca="1">IFERROR(INDEX(Leccion[selectorLeccion],SMALL(IF(C$1=Leccion[SubSección],MATCH(ROW(Leccion[SubSección]),ROW(Leccion[SubSección]))),ROW(B43))),"")</f>
        <v/>
      </c>
      <c r="D44" s="51" t="str">
        <f t="array" aca="1" ref="D44" ca="1">IFERROR(INDEX(Leccion[selectorLeccion],SMALL(IF(D$1=Leccion[SubSección],MATCH(ROW(Leccion[SubSección]),ROW(Leccion[SubSección]))),ROW(C43))),"")</f>
        <v/>
      </c>
      <c r="E44" s="51" t="str">
        <f t="array" aca="1" ref="E44" ca="1">IFERROR(INDEX(Leccion[selectorLeccion],SMALL(IF(E$1=Leccion[SubSección],MATCH(ROW(Leccion[SubSección]),ROW(Leccion[SubSección]))),ROW(D43))),"")</f>
        <v/>
      </c>
      <c r="F44" s="51" t="str">
        <f t="array" aca="1" ref="F44" ca="1">IFERROR(INDEX(Leccion[selectorLeccion],SMALL(IF(F$1=Leccion[SubSección],MATCH(ROW(Leccion[SubSección]),ROW(Leccion[SubSección]))),ROW(E43))),"")</f>
        <v/>
      </c>
      <c r="G44" s="51" t="str">
        <f t="array" aca="1" ref="G44" ca="1">IFERROR(INDEX(Leccion[selectorLeccion],SMALL(IF(G$1=Leccion[SubSección],MATCH(ROW(Leccion[SubSección]),ROW(Leccion[SubSección]))),ROW(F43))),"")</f>
        <v/>
      </c>
      <c r="H44" s="51" t="str">
        <f t="array" aca="1" ref="H44" ca="1">IFERROR(INDEX(Leccion[selectorLeccion],SMALL(IF(H$1=Leccion[SubSección],MATCH(ROW(Leccion[SubSección]),ROW(Leccion[SubSección]))),ROW(G43))),"")</f>
        <v/>
      </c>
      <c r="I44" s="51" t="str">
        <f t="array" aca="1" ref="I44" ca="1">IFERROR(INDEX(Leccion[selectorLeccion],SMALL(IF(I$1=Leccion[SubSección],MATCH(ROW(Leccion[SubSección]),ROW(Leccion[SubSección]))),ROW(H43))),"")</f>
        <v/>
      </c>
      <c r="J44" s="51" t="str">
        <f t="array" aca="1" ref="J44" ca="1">IFERROR(INDEX(Leccion[selectorLeccion],SMALL(IF(J$1=Leccion[SubSección],MATCH(ROW(Leccion[SubSección]),ROW(Leccion[SubSección]))),ROW(I43))),"")</f>
        <v/>
      </c>
      <c r="K44" s="51" t="str">
        <f t="array" aca="1" ref="K44" ca="1">IFERROR(INDEX(Leccion[selectorLeccion],SMALL(IF(K$1=Leccion[SubSección],MATCH(ROW(Leccion[SubSección]),ROW(Leccion[SubSección]))),ROW(J43))),"")</f>
        <v/>
      </c>
      <c r="L44" s="51" t="str">
        <f t="array" aca="1" ref="L44" ca="1">IFERROR(INDEX(Leccion[selectorLeccion],SMALL(IF(L$1=Leccion[SubSección],MATCH(ROW(Leccion[SubSección]),ROW(Leccion[SubSección]))),ROW(K43))),"")</f>
        <v/>
      </c>
      <c r="M44" s="51" t="str">
        <f t="array" aca="1" ref="M44" ca="1">IFERROR(INDEX(Leccion[selectorLeccion],SMALL(IF(M$1=Leccion[SubSección],MATCH(ROW(Leccion[SubSección]),ROW(Leccion[SubSección]))),ROW(L43))),"")</f>
        <v/>
      </c>
      <c r="N44" s="51" t="str">
        <f t="array" aca="1" ref="N44" ca="1">IFERROR(INDEX(Leccion[selectorLeccion],SMALL(IF(N$1=Leccion[SubSección],MATCH(ROW(Leccion[SubSección]),ROW(Leccion[SubSección]))),ROW(M43))),"")</f>
        <v/>
      </c>
      <c r="O44" s="51" t="str">
        <f t="array" aca="1" ref="O44" ca="1">IFERROR(INDEX(Leccion[selectorLeccion],SMALL(IF(O$1=Leccion[SubSección],MATCH(ROW(Leccion[SubSección]),ROW(Leccion[SubSección]))),ROW(N43))),"")</f>
        <v/>
      </c>
      <c r="P44" s="51" t="str">
        <f t="array" aca="1" ref="P44" ca="1">IFERROR(INDEX(Leccion[selectorLeccion],SMALL(IF(P$1=Leccion[SubSección],MATCH(ROW(Leccion[SubSección]),ROW(Leccion[SubSección]))),ROW(O43))),"")</f>
        <v/>
      </c>
      <c r="Q44" s="51" t="str">
        <f t="array" aca="1" ref="Q44" ca="1">IFERROR(INDEX(Leccion[selectorLeccion],SMALL(IF(Q$1=Leccion[SubSección],MATCH(ROW(Leccion[SubSección]),ROW(Leccion[SubSección]))),ROW(P43))),"")</f>
        <v/>
      </c>
      <c r="R44" s="51" t="str">
        <f t="array" aca="1" ref="R44" ca="1">IFERROR(INDEX(Leccion[selectorLeccion],SMALL(IF(R$1=Leccion[SubSección],MATCH(ROW(Leccion[SubSección]),ROW(Leccion[SubSección]))),ROW(Q43))),"")</f>
        <v/>
      </c>
      <c r="S44" s="51" t="str">
        <f t="array" aca="1" ref="S44" ca="1">IFERROR(INDEX(Leccion[selectorLeccion],SMALL(IF(S$1=Leccion[SubSección],MATCH(ROW(Leccion[SubSección]),ROW(Leccion[SubSección]))),ROW(R43))),"")</f>
        <v/>
      </c>
      <c r="T44" s="51" t="str">
        <f t="array" aca="1" ref="T44" ca="1">IFERROR(INDEX(Leccion[selectorLeccion],SMALL(IF(T$1=Leccion[SubSección],MATCH(ROW(Leccion[SubSección]),ROW(Leccion[SubSección]))),ROW(S43))),"")</f>
        <v/>
      </c>
      <c r="U44" s="51" t="str">
        <f t="array" aca="1" ref="U44" ca="1">IFERROR(INDEX(Leccion[selectorLeccion],SMALL(IF(U$1=Leccion[SubSección],MATCH(ROW(Leccion[SubSección]),ROW(Leccion[SubSección]))),ROW(T43))),"")</f>
        <v/>
      </c>
      <c r="V44" s="51" t="str">
        <f t="array" aca="1" ref="V44" ca="1">IFERROR(INDEX(Leccion[selectorLeccion],SMALL(IF(V$1=Leccion[SubSección],MATCH(ROW(Leccion[SubSección]),ROW(Leccion[SubSección]))),ROW(U43))),"")</f>
        <v/>
      </c>
      <c r="W44" s="51" t="str">
        <f t="array" aca="1" ref="W44" ca="1">IFERROR(INDEX(Leccion[selectorLeccion],SMALL(IF(W$1=Leccion[SubSección],MATCH(ROW(Leccion[SubSección]),ROW(Leccion[SubSección]))),ROW(V43))),"")</f>
        <v/>
      </c>
      <c r="X44" s="51" t="str">
        <f t="array" aca="1" ref="X44" ca="1">IFERROR(INDEX(Leccion[selectorLeccion],SMALL(IF(X$1=Leccion[SubSección],MATCH(ROW(Leccion[SubSección]),ROW(Leccion[SubSección]))),ROW(W43))),"")</f>
        <v/>
      </c>
      <c r="Y44" s="51" t="str">
        <f t="array" aca="1" ref="Y44" ca="1">IFERROR(INDEX(Leccion[selectorLeccion],SMALL(IF(Y$1=Leccion[SubSección],MATCH(ROW(Leccion[SubSección]),ROW(Leccion[SubSección]))),ROW(X43))),"")</f>
        <v/>
      </c>
      <c r="Z44" s="51" t="str">
        <f t="array" aca="1" ref="Z44" ca="1">IFERROR(INDEX(Leccion[selectorLeccion],SMALL(IF(Z$1=Leccion[SubSección],MATCH(ROW(Leccion[SubSección]),ROW(Leccion[SubSección]))),ROW(Y43))),"")</f>
        <v/>
      </c>
      <c r="AA44" s="51" t="str">
        <f t="array" aca="1" ref="AA44" ca="1">IFERROR(INDEX(Leccion[selectorLeccion],SMALL(IF(AA$1=Leccion[SubSección],MATCH(ROW(Leccion[SubSección]),ROW(Leccion[SubSección]))),ROW(Z43))),"")</f>
        <v/>
      </c>
      <c r="AB44" s="51" t="str">
        <f t="array" aca="1" ref="AB44" ca="1">IFERROR(INDEX(Leccion[selectorLeccion],SMALL(IF(AB$1=Leccion[SubSección],MATCH(ROW(Leccion[SubSección]),ROW(Leccion[SubSección]))),ROW(AA43))),"")</f>
        <v/>
      </c>
      <c r="AC44" s="51" t="str">
        <f t="array" aca="1" ref="AC44" ca="1">IFERROR(INDEX(Leccion[selectorLeccion],SMALL(IF(AC$1=Leccion[SubSección],MATCH(ROW(Leccion[SubSección]),ROW(Leccion[SubSección]))),ROW(AB43))),"")</f>
        <v/>
      </c>
      <c r="AD44" s="51" t="str">
        <f t="array" aca="1" ref="AD44" ca="1">IFERROR(INDEX(Leccion[selectorLeccion],SMALL(IF(AD$1=Leccion[SubSección],MATCH(ROW(Leccion[SubSección]),ROW(Leccion[SubSección]))),ROW(AC43))),"")</f>
        <v/>
      </c>
      <c r="AE44" s="51" t="str">
        <f t="array" aca="1" ref="AE44" ca="1">IFERROR(INDEX(Leccion[selectorLeccion],SMALL(IF(AE$1=Leccion[SubSección],MATCH(ROW(Leccion[SubSección]),ROW(Leccion[SubSección]))),ROW(AD43))),"")</f>
        <v/>
      </c>
      <c r="AF44" s="51" t="str">
        <f t="array" aca="1" ref="AF44" ca="1">IFERROR(INDEX(Leccion[selectorLeccion],SMALL(IF(AF$1=Leccion[SubSección],MATCH(ROW(Leccion[SubSección]),ROW(Leccion[SubSección]))),ROW(AE43))),"")</f>
        <v/>
      </c>
      <c r="AG44" s="51" t="str">
        <f t="array" aca="1" ref="AG44" ca="1">IFERROR(INDEX(Leccion[selectorLeccion],SMALL(IF(AG$1=Leccion[SubSección],MATCH(ROW(Leccion[SubSección]),ROW(Leccion[SubSección]))),ROW(AF43))),"")</f>
        <v/>
      </c>
      <c r="AH44" s="51" t="str">
        <f t="array" aca="1" ref="AH44" ca="1">IFERROR(INDEX(Leccion[selectorLeccion],SMALL(IF(AH$1=Leccion[SubSección],MATCH(ROW(Leccion[SubSección]),ROW(Leccion[SubSección]))),ROW(AG43))),"")</f>
        <v/>
      </c>
      <c r="AI44" s="51" t="str">
        <f t="array" aca="1" ref="AI44" ca="1">IFERROR(INDEX(Leccion[selectorLeccion],SMALL(IF(AI$1=Leccion[SubSección],MATCH(ROW(Leccion[SubSección]),ROW(Leccion[SubSección]))),ROW(AH43))),"")</f>
        <v/>
      </c>
      <c r="AJ44" s="51" t="str">
        <f t="array" aca="1" ref="AJ44" ca="1">IFERROR(INDEX(Leccion[selectorLeccion],SMALL(IF(AJ$1=Leccion[SubSección],MATCH(ROW(Leccion[SubSección]),ROW(Leccion[SubSección]))),ROW(AI43))),"")</f>
        <v/>
      </c>
      <c r="AK44" s="51" t="str">
        <f t="array" aca="1" ref="AK44" ca="1">IFERROR(INDEX(Leccion[selectorLeccion],SMALL(IF(AK$1=Leccion[SubSección],MATCH(ROW(Leccion[SubSección]),ROW(Leccion[SubSección]))),ROW(AJ43))),"")</f>
        <v/>
      </c>
      <c r="AL44" s="51" t="str">
        <f t="array" aca="1" ref="AL44" ca="1">IFERROR(INDEX(Leccion[selectorLeccion],SMALL(IF(AL$1=Leccion[SubSección],MATCH(ROW(Leccion[SubSección]),ROW(Leccion[SubSección]))),ROW(AK43))),"")</f>
        <v/>
      </c>
      <c r="AM44" s="51" t="str">
        <f t="array" aca="1" ref="AM44" ca="1">IFERROR(INDEX(Leccion[selectorLeccion],SMALL(IF(AM$1=Leccion[SubSección],MATCH(ROW(Leccion[SubSección]),ROW(Leccion[SubSección]))),ROW(AL43))),"")</f>
        <v/>
      </c>
      <c r="AN44" s="51" t="str">
        <f t="array" aca="1" ref="AN44" ca="1">IFERROR(INDEX(Leccion[selectorLeccion],SMALL(IF(AN$1=Leccion[SubSección],MATCH(ROW(Leccion[SubSección]),ROW(Leccion[SubSección]))),ROW(AM43))),"")</f>
        <v/>
      </c>
      <c r="AO44" s="51" t="str">
        <f t="array" aca="1" ref="AO44" ca="1">IFERROR(INDEX(Leccion[selectorLeccion],SMALL(IF(AO$1=Leccion[SubSección],MATCH(ROW(Leccion[SubSección]),ROW(Leccion[SubSección]))),ROW(AN43))),"")</f>
        <v/>
      </c>
      <c r="AP44" s="51" t="str">
        <f t="array" aca="1" ref="AP44" ca="1">IFERROR(INDEX(Leccion[selectorLeccion],SMALL(IF(AP$1=Leccion[SubSección],MATCH(ROW(Leccion[SubSección]),ROW(Leccion[SubSección]))),ROW(AO43))),"")</f>
        <v/>
      </c>
      <c r="AQ44" s="51" t="str">
        <f t="array" aca="1" ref="AQ44" ca="1">IFERROR(INDEX(Leccion[selectorLeccion],SMALL(IF(AQ$1=Leccion[SubSección],MATCH(ROW(Leccion[SubSección]),ROW(Leccion[SubSección]))),ROW(AP43))),"")</f>
        <v/>
      </c>
      <c r="AR44" s="51" t="str">
        <f t="array" aca="1" ref="AR44" ca="1">IFERROR(INDEX(Leccion[selectorLeccion],SMALL(IF(AR$1=Leccion[SubSección],MATCH(ROW(Leccion[SubSección]),ROW(Leccion[SubSección]))),ROW(AQ43))),"")</f>
        <v/>
      </c>
      <c r="AS44" s="51" t="str">
        <f t="array" aca="1" ref="AS44" ca="1">IFERROR(INDEX(Leccion[selectorLeccion],SMALL(IF(AS$1=Leccion[SubSección],MATCH(ROW(Leccion[SubSección]),ROW(Leccion[SubSección]))),ROW(AR43))),"")</f>
        <v/>
      </c>
      <c r="AT44" s="51" t="str">
        <f t="array" aca="1" ref="AT44" ca="1">IFERROR(INDEX(Leccion[selectorLeccion],SMALL(IF(AT$1=Leccion[SubSección],MATCH(ROW(Leccion[SubSección]),ROW(Leccion[SubSección]))),ROW(AS43))),"")</f>
        <v/>
      </c>
      <c r="AU44" s="51" t="str">
        <f t="array" aca="1" ref="AU44" ca="1">IFERROR(INDEX(Leccion[selectorLeccion],SMALL(IF(AU$1=Leccion[SubSección],MATCH(ROW(Leccion[SubSección]),ROW(Leccion[SubSección]))),ROW(AT43))),"")</f>
        <v/>
      </c>
      <c r="AV44" s="51" t="str">
        <f t="array" aca="1" ref="AV44" ca="1">IFERROR(INDEX(Leccion[selectorLeccion],SMALL(IF(AV$1=Leccion[SubSección],MATCH(ROW(Leccion[SubSección]),ROW(Leccion[SubSección]))),ROW(AU43))),"")</f>
        <v/>
      </c>
      <c r="AW44" s="51" t="str">
        <f t="array" aca="1" ref="AW44" ca="1">IFERROR(INDEX(Leccion[selectorLeccion],SMALL(IF(AW$1=Leccion[SubSección],MATCH(ROW(Leccion[SubSección]),ROW(Leccion[SubSección]))),ROW(AV43))),"")</f>
        <v/>
      </c>
      <c r="AX44" s="51" t="str">
        <f t="array" aca="1" ref="AX44" ca="1">IFERROR(INDEX(Leccion[selectorLeccion],SMALL(IF(AX$1=Leccion[SubSección],MATCH(ROW(Leccion[SubSección]),ROW(Leccion[SubSección]))),ROW(AW43))),"")</f>
        <v/>
      </c>
      <c r="AY44" s="51" t="str">
        <f t="array" aca="1" ref="AY44" ca="1">IFERROR(INDEX(Leccion[selectorLeccion],SMALL(IF(AY$1=Leccion[SubSección],MATCH(ROW(Leccion[SubSección]),ROW(Leccion[SubSección]))),ROW(AX43))),"")</f>
        <v/>
      </c>
      <c r="AZ44" s="51" t="str">
        <f t="array" aca="1" ref="AZ44" ca="1">IFERROR(INDEX(Leccion[selectorLeccion],SMALL(IF(AZ$1=Leccion[SubSección],MATCH(ROW(Leccion[SubSección]),ROW(Leccion[SubSección]))),ROW(AY43))),"")</f>
        <v/>
      </c>
      <c r="BA44" s="51" t="str">
        <f t="array" aca="1" ref="BA44" ca="1">IFERROR(INDEX(Leccion[selectorLeccion],SMALL(IF(BA$1=Leccion[SubSección],MATCH(ROW(Leccion[SubSección]),ROW(Leccion[SubSección]))),ROW(AZ43))),"")</f>
        <v/>
      </c>
      <c r="BB44" s="51" t="str">
        <f t="array" aca="1" ref="BB44" ca="1">IFERROR(INDEX(Leccion[selectorLeccion],SMALL(IF(BB$1=Leccion[SubSección],MATCH(ROW(Leccion[SubSección]),ROW(Leccion[SubSección]))),ROW(BA43))),"")</f>
        <v/>
      </c>
      <c r="BC44" s="51" t="str">
        <f t="array" aca="1" ref="BC44" ca="1">IFERROR(INDEX(Leccion[selectorLeccion],SMALL(IF(BC$1=Leccion[SubSección],MATCH(ROW(Leccion[SubSección]),ROW(Leccion[SubSección]))),ROW(BB43))),"")</f>
        <v/>
      </c>
      <c r="BD44" s="51" t="str">
        <f t="array" aca="1" ref="BD44" ca="1">IFERROR(INDEX(Leccion[selectorLeccion],SMALL(IF(BD$1=Leccion[SubSección],MATCH(ROW(Leccion[SubSección]),ROW(Leccion[SubSección]))),ROW(BC43))),"")</f>
        <v/>
      </c>
      <c r="BE44" s="51" t="str">
        <f t="array" aca="1" ref="BE44" ca="1">IFERROR(INDEX(Leccion[selectorLeccion],SMALL(IF(BE$1=Leccion[SubSección],MATCH(ROW(Leccion[SubSección]),ROW(Leccion[SubSección]))),ROW(BD43))),"")</f>
        <v/>
      </c>
      <c r="BF44" s="51" t="str">
        <f t="array" aca="1" ref="BF44" ca="1">IFERROR(INDEX(Leccion[selectorLeccion],SMALL(IF(BF$1=Leccion[SubSección],MATCH(ROW(Leccion[SubSección]),ROW(Leccion[SubSección]))),ROW(BE43))),"")</f>
        <v/>
      </c>
      <c r="BG44" s="51" t="str">
        <f t="array" aca="1" ref="BG44" ca="1">IFERROR(INDEX(Leccion[selectorLeccion],SMALL(IF(BG$1=Leccion[SubSección],MATCH(ROW(Leccion[SubSección]),ROW(Leccion[SubSección]))),ROW(BF43))),"")</f>
        <v/>
      </c>
      <c r="BH44" s="51" t="str">
        <f t="array" aca="1" ref="BH44" ca="1">IFERROR(INDEX(Leccion[selectorLeccion],SMALL(IF(BH$1=Leccion[SubSección],MATCH(ROW(Leccion[SubSección]),ROW(Leccion[SubSección]))),ROW(BG43))),"")</f>
        <v/>
      </c>
      <c r="BI44" s="51" t="str">
        <f t="array" aca="1" ref="BI44" ca="1">IFERROR(INDEX(Leccion[selectorLeccion],SMALL(IF(BI$1=Leccion[SubSección],MATCH(ROW(Leccion[SubSección]),ROW(Leccion[SubSección]))),ROW(BH43))),"")</f>
        <v/>
      </c>
      <c r="BJ44" s="51" t="str">
        <f t="array" aca="1" ref="BJ44" ca="1">IFERROR(INDEX(Leccion[selectorLeccion],SMALL(IF(BJ$1=Leccion[SubSección],MATCH(ROW(Leccion[SubSección]),ROW(Leccion[SubSección]))),ROW(BI43))),"")</f>
        <v/>
      </c>
      <c r="BK44" s="51" t="str">
        <f t="array" aca="1" ref="BK44" ca="1">IFERROR(INDEX(Leccion[selectorLeccion],SMALL(IF(BK$1=Leccion[SubSección],MATCH(ROW(Leccion[SubSección]),ROW(Leccion[SubSección]))),ROW(BJ43))),"")</f>
        <v/>
      </c>
      <c r="BL44" s="51" t="str">
        <f t="array" aca="1" ref="BL44" ca="1">IFERROR(INDEX(Leccion[selectorLeccion],SMALL(IF(BL$1=Leccion[SubSección],MATCH(ROW(Leccion[SubSección]),ROW(Leccion[SubSección]))),ROW(BK43))),"")</f>
        <v/>
      </c>
      <c r="BM44" s="51" t="str">
        <f t="array" aca="1" ref="BM44" ca="1">IFERROR(INDEX(Leccion[selectorLeccion],SMALL(IF(BM$1=Leccion[SubSección],MATCH(ROW(Leccion[SubSección]),ROW(Leccion[SubSección]))),ROW(BL43))),"")</f>
        <v/>
      </c>
      <c r="BN44" s="51" t="str">
        <f t="array" aca="1" ref="BN44" ca="1">IFERROR(INDEX(Leccion[selectorLeccion],SMALL(IF(BN$1=Leccion[SubSección],MATCH(ROW(Leccion[SubSección]),ROW(Leccion[SubSección]))),ROW(BM43))),"")</f>
        <v/>
      </c>
      <c r="BO44" s="51" t="str">
        <f t="array" aca="1" ref="BO44" ca="1">IFERROR(INDEX(Leccion[selectorLeccion],SMALL(IF(BO$1=Leccion[SubSección],MATCH(ROW(Leccion[SubSección]),ROW(Leccion[SubSección]))),ROW(BN43))),"")</f>
        <v/>
      </c>
      <c r="BP44" s="51" t="str">
        <f t="array" aca="1" ref="BP44" ca="1">IFERROR(INDEX(Leccion[selectorLeccion],SMALL(IF(BP$1=Leccion[SubSección],MATCH(ROW(Leccion[SubSección]),ROW(Leccion[SubSección]))),ROW(BO43))),"")</f>
        <v/>
      </c>
      <c r="BQ44" s="51" t="str">
        <f t="array" aca="1" ref="BQ44" ca="1">IFERROR(INDEX(Leccion[selectorLeccion],SMALL(IF(BQ$1=Leccion[SubSección],MATCH(ROW(Leccion[SubSección]),ROW(Leccion[SubSección]))),ROW(BP43))),"")</f>
        <v/>
      </c>
      <c r="BR44" s="51" t="str">
        <f t="array" aca="1" ref="BR44" ca="1">IFERROR(INDEX(Leccion[selectorLeccion],SMALL(IF(BR$1=Leccion[SubSección],MATCH(ROW(Leccion[SubSección]),ROW(Leccion[SubSección]))),ROW(BQ43))),"")</f>
        <v/>
      </c>
      <c r="BS44" s="51" t="str">
        <f t="array" aca="1" ref="BS44" ca="1">IFERROR(INDEX(Leccion[selectorLeccion],SMALL(IF(BS$1=Leccion[SubSección],MATCH(ROW(Leccion[SubSección]),ROW(Leccion[SubSección]))),ROW(BR43))),"")</f>
        <v/>
      </c>
      <c r="BT44" s="51" t="str">
        <f t="array" aca="1" ref="BT44" ca="1">IFERROR(INDEX(Leccion[selectorLeccion],SMALL(IF(BT$1=Leccion[SubSección],MATCH(ROW(Leccion[SubSección]),ROW(Leccion[SubSección]))),ROW(BS43))),"")</f>
        <v/>
      </c>
      <c r="BU44" s="51" t="str">
        <f t="array" aca="1" ref="BU44" ca="1">IFERROR(INDEX(Leccion[selectorLeccion],SMALL(IF(BU$1=Leccion[SubSección],MATCH(ROW(Leccion[SubSección]),ROW(Leccion[SubSección]))),ROW(BT43))),"")</f>
        <v/>
      </c>
      <c r="BV44" s="51" t="str">
        <f t="array" aca="1" ref="BV44" ca="1">IFERROR(INDEX(Leccion[selectorLeccion],SMALL(IF(BV$1=Leccion[SubSección],MATCH(ROW(Leccion[SubSección]),ROW(Leccion[SubSección]))),ROW(BU43))),"")</f>
        <v/>
      </c>
      <c r="BW44" s="51" t="str">
        <f t="array" aca="1" ref="BW44" ca="1">IFERROR(INDEX(Leccion[selectorLeccion],SMALL(IF(BW$1=Leccion[SubSección],MATCH(ROW(Leccion[SubSección]),ROW(Leccion[SubSección]))),ROW(BV43))),"")</f>
        <v/>
      </c>
      <c r="BX44" s="51" t="str">
        <f t="array" aca="1" ref="BX44" ca="1">IFERROR(INDEX(Leccion[selectorLeccion],SMALL(IF(BX$1=Leccion[SubSección],MATCH(ROW(Leccion[SubSección]),ROW(Leccion[SubSección]))),ROW(BW43))),"")</f>
        <v/>
      </c>
      <c r="BY44" s="51" t="str">
        <f t="array" aca="1" ref="BY44" ca="1">IFERROR(INDEX(Leccion[selectorLeccion],SMALL(IF(BY$1=Leccion[SubSección],MATCH(ROW(Leccion[SubSección]),ROW(Leccion[SubSección]))),ROW(BX43))),"")</f>
        <v/>
      </c>
      <c r="BZ44" s="51" t="str">
        <f t="array" aca="1" ref="BZ44" ca="1">IFERROR(INDEX(Leccion[selectorLeccion],SMALL(IF(BZ$1=Leccion[SubSección],MATCH(ROW(Leccion[SubSección]),ROW(Leccion[SubSección]))),ROW(BY43))),"")</f>
        <v/>
      </c>
      <c r="CA44" s="51" t="str">
        <f t="array" aca="1" ref="CA44" ca="1">IFERROR(INDEX(Leccion[selectorLeccion],SMALL(IF(CA$1=Leccion[SubSección],MATCH(ROW(Leccion[SubSección]),ROW(Leccion[SubSección]))),ROW(BZ43))),"")</f>
        <v/>
      </c>
      <c r="CB44" s="51" t="str">
        <f t="array" aca="1" ref="CB44" ca="1">IFERROR(INDEX(Leccion[selectorLeccion],SMALL(IF(CB$1=Leccion[SubSección],MATCH(ROW(Leccion[SubSección]),ROW(Leccion[SubSección]))),ROW(CA43))),"")</f>
        <v/>
      </c>
      <c r="CC44" s="51" t="str">
        <f t="array" aca="1" ref="CC44" ca="1">IFERROR(INDEX(Leccion[selectorLeccion],SMALL(IF(CC$1=Leccion[SubSección],MATCH(ROW(Leccion[SubSección]),ROW(Leccion[SubSección]))),ROW(CB43))),"")</f>
        <v/>
      </c>
      <c r="CD44" s="51" t="str">
        <f t="array" aca="1" ref="CD44" ca="1">IFERROR(INDEX(Leccion[selectorLeccion],SMALL(IF(CD$1=Leccion[SubSección],MATCH(ROW(Leccion[SubSección]),ROW(Leccion[SubSección]))),ROW(CC43))),"")</f>
        <v/>
      </c>
      <c r="CE44" s="51" t="str">
        <f t="array" aca="1" ref="CE44" ca="1">IFERROR(INDEX(Leccion[selectorLeccion],SMALL(IF(CE$1=Leccion[SubSección],MATCH(ROW(Leccion[SubSección]),ROW(Leccion[SubSección]))),ROW(CD43))),"")</f>
        <v/>
      </c>
      <c r="CF44" s="51" t="str">
        <f t="array" aca="1" ref="CF44" ca="1">IFERROR(INDEX(Leccion[selectorLeccion],SMALL(IF(CF$1=Leccion[SubSección],MATCH(ROW(Leccion[SubSección]),ROW(Leccion[SubSección]))),ROW(CE43))),"")</f>
        <v/>
      </c>
      <c r="CG44" s="51" t="str">
        <f t="array" aca="1" ref="CG44" ca="1">IFERROR(INDEX(Leccion[selectorLeccion],SMALL(IF(CG$1=Leccion[SubSección],MATCH(ROW(Leccion[SubSección]),ROW(Leccion[SubSección]))),ROW(CF43))),"")</f>
        <v/>
      </c>
      <c r="CH44" s="51" t="str">
        <f t="array" aca="1" ref="CH44" ca="1">IFERROR(INDEX(Leccion[selectorLeccion],SMALL(IF(CH$1=Leccion[SubSección],MATCH(ROW(Leccion[SubSección]),ROW(Leccion[SubSección]))),ROW(CG43))),"")</f>
        <v/>
      </c>
      <c r="CI44" s="51" t="str">
        <f t="array" aca="1" ref="CI44" ca="1">IFERROR(INDEX(Leccion[selectorLeccion],SMALL(IF(CI$1=Leccion[SubSección],MATCH(ROW(Leccion[SubSección]),ROW(Leccion[SubSección]))),ROW(CH43))),"")</f>
        <v/>
      </c>
      <c r="CJ44" s="51" t="str">
        <f t="array" aca="1" ref="CJ44" ca="1">IFERROR(INDEX(Leccion[selectorLeccion],SMALL(IF(CJ$1=Leccion[SubSección],MATCH(ROW(Leccion[SubSección]),ROW(Leccion[SubSección]))),ROW(CI43))),"")</f>
        <v/>
      </c>
      <c r="CK44" s="51" t="str">
        <f t="array" aca="1" ref="CK44" ca="1">IFERROR(INDEX(Leccion[selectorLeccion],SMALL(IF(CK$1=Leccion[SubSección],MATCH(ROW(Leccion[SubSección]),ROW(Leccion[SubSección]))),ROW(CJ43))),"")</f>
        <v/>
      </c>
      <c r="CL44" s="51" t="str">
        <f t="array" aca="1" ref="CL44" ca="1">IFERROR(INDEX(Leccion[selectorLeccion],SMALL(IF(CL$1=Leccion[SubSección],MATCH(ROW(Leccion[SubSección]),ROW(Leccion[SubSección]))),ROW(CK43))),"")</f>
        <v/>
      </c>
      <c r="CM44" s="51" t="str">
        <f t="array" aca="1" ref="CM44" ca="1">IFERROR(INDEX(Leccion[selectorLeccion],SMALL(IF(CM$1=Leccion[SubSección],MATCH(ROW(Leccion[SubSección]),ROW(Leccion[SubSección]))),ROW(CL43))),"")</f>
        <v/>
      </c>
      <c r="CN44" s="51" t="str">
        <f t="array" aca="1" ref="CN44" ca="1">IFERROR(INDEX(Leccion[selectorLeccion],SMALL(IF(CN$1=Leccion[SubSección],MATCH(ROW(Leccion[SubSección]),ROW(Leccion[SubSección]))),ROW(CM43))),"")</f>
        <v/>
      </c>
      <c r="CO44" s="51" t="str">
        <f t="array" aca="1" ref="CO44" ca="1">IFERROR(INDEX(Leccion[selectorLeccion],SMALL(IF(CO$1=Leccion[SubSección],MATCH(ROW(Leccion[SubSección]),ROW(Leccion[SubSección]))),ROW(CN43))),"")</f>
        <v/>
      </c>
      <c r="CP44" s="51" t="str">
        <f t="array" aca="1" ref="CP44" ca="1">IFERROR(INDEX(Leccion[selectorLeccion],SMALL(IF(CP$1=Leccion[SubSección],MATCH(ROW(Leccion[SubSección]),ROW(Leccion[SubSección]))),ROW(CO43))),"")</f>
        <v/>
      </c>
      <c r="CQ44" s="51" t="str">
        <f t="array" aca="1" ref="CQ44" ca="1">IFERROR(INDEX(Leccion[selectorLeccion],SMALL(IF(CQ$1=Leccion[SubSección],MATCH(ROW(Leccion[SubSección]),ROW(Leccion[SubSección]))),ROW(CP43))),"")</f>
        <v/>
      </c>
      <c r="CR44" s="51" t="str">
        <f t="array" aca="1" ref="CR44" ca="1">IFERROR(INDEX(Leccion[selectorLeccion],SMALL(IF(CR$1=Leccion[SubSección],MATCH(ROW(Leccion[SubSección]),ROW(Leccion[SubSección]))),ROW(CQ43))),"")</f>
        <v/>
      </c>
      <c r="CS44" s="51" t="str">
        <f t="array" aca="1" ref="CS44" ca="1">IFERROR(INDEX(Leccion[selectorLeccion],SMALL(IF(CS$1=Leccion[SubSección],MATCH(ROW(Leccion[SubSección]),ROW(Leccion[SubSección]))),ROW(CR43))),"")</f>
        <v/>
      </c>
      <c r="CT44" s="51" t="str">
        <f t="array" aca="1" ref="CT44" ca="1">IFERROR(INDEX(Leccion[selectorLeccion],SMALL(IF(CT$1=Leccion[SubSección],MATCH(ROW(Leccion[SubSección]),ROW(Leccion[SubSección]))),ROW(CS43))),"")</f>
        <v/>
      </c>
      <c r="CU44" s="51" t="str">
        <f t="array" aca="1" ref="CU44" ca="1">IFERROR(INDEX(Leccion[selectorLeccion],SMALL(IF(CU$1=Leccion[SubSección],MATCH(ROW(Leccion[SubSección]),ROW(Leccion[SubSección]))),ROW(CT43))),"")</f>
        <v/>
      </c>
      <c r="CV44" s="51" t="str">
        <f t="array" aca="1" ref="CV44" ca="1">IFERROR(INDEX(Leccion[selectorLeccion],SMALL(IF(CV$1=Leccion[SubSección],MATCH(ROW(Leccion[SubSección]),ROW(Leccion[SubSección]))),ROW(CU43))),"")</f>
        <v/>
      </c>
      <c r="CW44" s="51" t="str">
        <f t="array" aca="1" ref="CW44" ca="1">IFERROR(INDEX(Leccion[selectorLeccion],SMALL(IF(CW$1=Leccion[SubSección],MATCH(ROW(Leccion[SubSección]),ROW(Leccion[SubSección]))),ROW(CV43))),"")</f>
        <v/>
      </c>
      <c r="CX44" s="51" t="str">
        <f t="array" aca="1" ref="CX44" ca="1">IFERROR(INDEX(Leccion[selectorLeccion],SMALL(IF(CX$1=Leccion[SubSección],MATCH(ROW(Leccion[SubSección]),ROW(Leccion[SubSección]))),ROW(CW43))),"")</f>
        <v/>
      </c>
      <c r="CY44" s="51" t="str">
        <f t="array" aca="1" ref="CY44" ca="1">IFERROR(INDEX(Leccion[selectorLeccion],SMALL(IF(CY$1=Leccion[SubSección],MATCH(ROW(Leccion[SubSección]),ROW(Leccion[SubSección]))),ROW(CX43))),"")</f>
        <v/>
      </c>
      <c r="CZ44" s="51" t="str">
        <f t="array" aca="1" ref="CZ44" ca="1">IFERROR(INDEX(Leccion[selectorLeccion],SMALL(IF(CZ$1=Leccion[SubSección],MATCH(ROW(Leccion[SubSección]),ROW(Leccion[SubSección]))),ROW(CY43))),"")</f>
        <v/>
      </c>
      <c r="DA44" s="51" t="str">
        <f t="array" aca="1" ref="DA44" ca="1">IFERROR(INDEX(Leccion[selectorLeccion],SMALL(IF(DA$1=Leccion[SubSección],MATCH(ROW(Leccion[SubSección]),ROW(Leccion[SubSección]))),ROW(CZ43))),"")</f>
        <v/>
      </c>
      <c r="DB44" s="51" t="str">
        <f t="array" aca="1" ref="DB44" ca="1">IFERROR(INDEX(Leccion[selectorLeccion],SMALL(IF(DB$1=Leccion[SubSección],MATCH(ROW(Leccion[SubSección]),ROW(Leccion[SubSección]))),ROW(DA43))),"")</f>
        <v/>
      </c>
      <c r="DC44" s="51" t="str">
        <f t="array" aca="1" ref="DC44" ca="1">IFERROR(INDEX(Leccion[selectorLeccion],SMALL(IF(DC$1=Leccion[SubSección],MATCH(ROW(Leccion[SubSección]),ROW(Leccion[SubSección]))),ROW(DB43))),"")</f>
        <v/>
      </c>
      <c r="DD44" s="51" t="str">
        <f t="array" aca="1" ref="DD44" ca="1">IFERROR(INDEX(Leccion[selectorLeccion],SMALL(IF(DD$1=Leccion[SubSección],MATCH(ROW(Leccion[SubSección]),ROW(Leccion[SubSección]))),ROW(DC43))),"")</f>
        <v/>
      </c>
      <c r="DE44" s="51" t="str">
        <f t="array" aca="1" ref="DE44" ca="1">IFERROR(INDEX(Leccion[selectorLeccion],SMALL(IF(DE$1=Leccion[SubSección],MATCH(ROW(Leccion[SubSección]),ROW(Leccion[SubSección]))),ROW(DD43))),"")</f>
        <v/>
      </c>
      <c r="DF44" s="51" t="str">
        <f t="array" aca="1" ref="DF44" ca="1">IFERROR(INDEX(Leccion[selectorLeccion],SMALL(IF(DF$1=Leccion[SubSección],MATCH(ROW(Leccion[SubSección]),ROW(Leccion[SubSección]))),ROW(DE43))),"")</f>
        <v/>
      </c>
      <c r="DG44" s="51" t="str">
        <f t="array" aca="1" ref="DG44" ca="1">IFERROR(INDEX(Leccion[selectorLeccion],SMALL(IF(DG$1=Leccion[SubSección],MATCH(ROW(Leccion[SubSección]),ROW(Leccion[SubSección]))),ROW(DF43))),"")</f>
        <v/>
      </c>
      <c r="DH44" s="51" t="str">
        <f t="array" aca="1" ref="DH44" ca="1">IFERROR(INDEX(Leccion[selectorLeccion],SMALL(IF(DH$1=Leccion[SubSección],MATCH(ROW(Leccion[SubSección]),ROW(Leccion[SubSección]))),ROW(DG43))),"")</f>
        <v/>
      </c>
      <c r="DI44" s="51" t="str">
        <f t="array" aca="1" ref="DI44" ca="1">IFERROR(INDEX(Leccion[selectorLeccion],SMALL(IF(DI$1=Leccion[SubSección],MATCH(ROW(Leccion[SubSección]),ROW(Leccion[SubSección]))),ROW(DH43))),"")</f>
        <v/>
      </c>
      <c r="DJ44" s="51" t="str">
        <f t="array" aca="1" ref="DJ44" ca="1">IFERROR(INDEX(Leccion[selectorLeccion],SMALL(IF(DJ$1=Leccion[SubSección],MATCH(ROW(Leccion[SubSección]),ROW(Leccion[SubSección]))),ROW(DI43))),"")</f>
        <v/>
      </c>
      <c r="DK44" s="51" t="str">
        <f t="array" aca="1" ref="DK44" ca="1">IFERROR(INDEX(Leccion[selectorLeccion],SMALL(IF(DK$1=Leccion[SubSección],MATCH(ROW(Leccion[SubSección]),ROW(Leccion[SubSección]))),ROW(DJ43))),"")</f>
        <v/>
      </c>
      <c r="DL44" s="51" t="str">
        <f t="array" aca="1" ref="DL44" ca="1">IFERROR(INDEX(Leccion[selectorLeccion],SMALL(IF(DL$1=Leccion[SubSección],MATCH(ROW(Leccion[SubSección]),ROW(Leccion[SubSección]))),ROW(DK43))),"")</f>
        <v/>
      </c>
      <c r="DM44" s="51" t="str">
        <f t="array" aca="1" ref="DM44" ca="1">IFERROR(INDEX(Leccion[selectorLeccion],SMALL(IF(DM$1=Leccion[SubSección],MATCH(ROW(Leccion[SubSección]),ROW(Leccion[SubSección]))),ROW(DL43))),"")</f>
        <v/>
      </c>
      <c r="DN44" s="51" t="str">
        <f t="array" aca="1" ref="DN44" ca="1">IFERROR(INDEX(Leccion[selectorLeccion],SMALL(IF(DN$1=Leccion[SubSección],MATCH(ROW(Leccion[SubSección]),ROW(Leccion[SubSección]))),ROW(DM43))),"")</f>
        <v/>
      </c>
      <c r="DO44" s="51" t="str">
        <f t="array" aca="1" ref="DO44" ca="1">IFERROR(INDEX(Leccion[selectorLeccion],SMALL(IF(DO$1=Leccion[SubSección],MATCH(ROW(Leccion[SubSección]),ROW(Leccion[SubSección]))),ROW(DN43))),"")</f>
        <v/>
      </c>
      <c r="DP44" s="51" t="str">
        <f t="array" aca="1" ref="DP44" ca="1">IFERROR(INDEX(Leccion[selectorLeccion],SMALL(IF(DP$1=Leccion[SubSección],MATCH(ROW(Leccion[SubSección]),ROW(Leccion[SubSección]))),ROW(DO43))),"")</f>
        <v/>
      </c>
      <c r="DQ44" s="51" t="str">
        <f t="array" aca="1" ref="DQ44" ca="1">IFERROR(INDEX(Leccion[selectorLeccion],SMALL(IF(DQ$1=Leccion[SubSección],MATCH(ROW(Leccion[SubSección]),ROW(Leccion[SubSección]))),ROW(DP43))),"")</f>
        <v/>
      </c>
      <c r="DR44" s="51" t="str">
        <f t="array" aca="1" ref="DR44" ca="1">IFERROR(INDEX(Leccion[selectorLeccion],SMALL(IF(DR$1=Leccion[SubSección],MATCH(ROW(Leccion[SubSección]),ROW(Leccion[SubSección]))),ROW(DQ43))),"")</f>
        <v/>
      </c>
      <c r="DS44" s="51" t="str">
        <f t="array" aca="1" ref="DS44" ca="1">IFERROR(INDEX(Leccion[selectorLeccion],SMALL(IF(DS$1=Leccion[SubSección],MATCH(ROW(Leccion[SubSección]),ROW(Leccion[SubSección]))),ROW(DR43))),"")</f>
        <v/>
      </c>
      <c r="DT44" s="51" t="str">
        <f t="array" aca="1" ref="DT44" ca="1">IFERROR(INDEX(Leccion[selectorLeccion],SMALL(IF(DT$1=Leccion[SubSección],MATCH(ROW(Leccion[SubSección]),ROW(Leccion[SubSección]))),ROW(DS43))),"")</f>
        <v/>
      </c>
      <c r="DU44" s="51" t="str">
        <f t="array" aca="1" ref="DU44" ca="1">IFERROR(INDEX(Leccion[selectorLeccion],SMALL(IF(DU$1=Leccion[SubSección],MATCH(ROW(Leccion[SubSección]),ROW(Leccion[SubSección]))),ROW(DT43))),"")</f>
        <v/>
      </c>
      <c r="DV44" s="51" t="str">
        <f t="array" aca="1" ref="DV44" ca="1">IFERROR(INDEX(Leccion[selectorLeccion],SMALL(IF(DV$1=Leccion[SubSección],MATCH(ROW(Leccion[SubSección]),ROW(Leccion[SubSección]))),ROW(DU43))),"")</f>
        <v/>
      </c>
      <c r="DW44" s="51" t="str">
        <f t="array" aca="1" ref="DW44" ca="1">IFERROR(INDEX(Leccion[selectorLeccion],SMALL(IF(DW$1=Leccion[SubSección],MATCH(ROW(Leccion[SubSección]),ROW(Leccion[SubSección]))),ROW(DV43))),"")</f>
        <v/>
      </c>
      <c r="DX44" s="51" t="str">
        <f t="array" aca="1" ref="DX44" ca="1">IFERROR(INDEX(Leccion[selectorLeccion],SMALL(IF(DX$1=Leccion[SubSección],MATCH(ROW(Leccion[SubSección]),ROW(Leccion[SubSección]))),ROW(DW43))),"")</f>
        <v/>
      </c>
      <c r="DY44" s="51" t="str">
        <f t="array" aca="1" ref="DY44" ca="1">IFERROR(INDEX(Leccion[selectorLeccion],SMALL(IF(DY$1=Leccion[SubSección],MATCH(ROW(Leccion[SubSección]),ROW(Leccion[SubSección]))),ROW(DX43))),"")</f>
        <v/>
      </c>
      <c r="DZ44" s="51" t="str">
        <f t="array" aca="1" ref="DZ44" ca="1">IFERROR(INDEX(Leccion[selectorLeccion],SMALL(IF(DZ$1=Leccion[SubSección],MATCH(ROW(Leccion[SubSección]),ROW(Leccion[SubSección]))),ROW(DY43))),"")</f>
        <v/>
      </c>
      <c r="EA44" s="51" t="str">
        <f t="array" aca="1" ref="EA44" ca="1">IFERROR(INDEX(Leccion[selectorLeccion],SMALL(IF(EA$1=Leccion[SubSección],MATCH(ROW(Leccion[SubSección]),ROW(Leccion[SubSección]))),ROW(DZ43))),"")</f>
        <v/>
      </c>
      <c r="EB44" s="51" t="str">
        <f t="array" aca="1" ref="EB44" ca="1">IFERROR(INDEX(Leccion[selectorLeccion],SMALL(IF(EB$1=Leccion[SubSección],MATCH(ROW(Leccion[SubSección]),ROW(Leccion[SubSección]))),ROW(EA43))),"")</f>
        <v/>
      </c>
      <c r="EC44" s="51" t="str">
        <f t="array" aca="1" ref="EC44" ca="1">IFERROR(INDEX(Leccion[selectorLeccion],SMALL(IF(EC$1=Leccion[SubSección],MATCH(ROW(Leccion[SubSección]),ROW(Leccion[SubSección]))),ROW(EB43))),"")</f>
        <v/>
      </c>
      <c r="ED44" s="51" t="str">
        <f t="array" aca="1" ref="ED44" ca="1">IFERROR(INDEX(Leccion[selectorLeccion],SMALL(IF(ED$1=Leccion[SubSección],MATCH(ROW(Leccion[SubSección]),ROW(Leccion[SubSección]))),ROW(EC43))),"")</f>
        <v/>
      </c>
      <c r="EE44" s="51" t="str">
        <f t="array" aca="1" ref="EE44" ca="1">IFERROR(INDEX(Leccion[selectorLeccion],SMALL(IF(EE$1=Leccion[SubSección],MATCH(ROW(Leccion[SubSección]),ROW(Leccion[SubSección]))),ROW(ED43))),"")</f>
        <v/>
      </c>
      <c r="EF44" s="51" t="str">
        <f t="array" aca="1" ref="EF44" ca="1">IFERROR(INDEX(Leccion[selectorLeccion],SMALL(IF(EF$1=Leccion[SubSección],MATCH(ROW(Leccion[SubSección]),ROW(Leccion[SubSección]))),ROW(EE43))),"")</f>
        <v/>
      </c>
      <c r="EG44" s="51" t="str">
        <f t="array" aca="1" ref="EG44" ca="1">IFERROR(INDEX(Leccion[selectorLeccion],SMALL(IF(EG$1=Leccion[SubSección],MATCH(ROW(Leccion[SubSección]),ROW(Leccion[SubSección]))),ROW(EF43))),"")</f>
        <v/>
      </c>
      <c r="EH44" s="51" t="str">
        <f t="array" aca="1" ref="EH44" ca="1">IFERROR(INDEX(Leccion[selectorLeccion],SMALL(IF(EH$1=Leccion[SubSección],MATCH(ROW(Leccion[SubSección]),ROW(Leccion[SubSección]))),ROW(EG43))),"")</f>
        <v/>
      </c>
      <c r="EI44" s="51" t="str">
        <f t="array" aca="1" ref="EI44" ca="1">IFERROR(INDEX(Leccion[selectorLeccion],SMALL(IF(EI$1=Leccion[SubSección],MATCH(ROW(Leccion[SubSección]),ROW(Leccion[SubSección]))),ROW(EH43))),"")</f>
        <v/>
      </c>
      <c r="EJ44" s="51" t="str">
        <f t="array" aca="1" ref="EJ44" ca="1">IFERROR(INDEX(Leccion[selectorLeccion],SMALL(IF(EJ$1=Leccion[SubSección],MATCH(ROW(Leccion[SubSección]),ROW(Leccion[SubSección]))),ROW(EI43))),"")</f>
        <v/>
      </c>
      <c r="EK44" s="51" t="str">
        <f t="array" aca="1" ref="EK44" ca="1">IFERROR(INDEX(Leccion[selectorLeccion],SMALL(IF(EK$1=Leccion[SubSección],MATCH(ROW(Leccion[SubSección]),ROW(Leccion[SubSección]))),ROW(EJ43))),"")</f>
        <v/>
      </c>
      <c r="EL44" s="51" t="str">
        <f t="array" aca="1" ref="EL44" ca="1">IFERROR(INDEX(Leccion[selectorLeccion],SMALL(IF(EL$1=Leccion[SubSección],MATCH(ROW(Leccion[SubSección]),ROW(Leccion[SubSección]))),ROW(EK43))),"")</f>
        <v/>
      </c>
      <c r="EM44" s="51" t="str">
        <f t="array" aca="1" ref="EM44" ca="1">IFERROR(INDEX(Leccion[selectorLeccion],SMALL(IF(EM$1=Leccion[SubSección],MATCH(ROW(Leccion[SubSección]),ROW(Leccion[SubSección]))),ROW(EL43))),"")</f>
        <v/>
      </c>
      <c r="EN44" s="51" t="str">
        <f t="array" aca="1" ref="EN44" ca="1">IFERROR(INDEX(Leccion[selectorLeccion],SMALL(IF(EN$1=Leccion[SubSección],MATCH(ROW(Leccion[SubSección]),ROW(Leccion[SubSección]))),ROW(EM43))),"")</f>
        <v/>
      </c>
      <c r="EO44" s="51" t="str">
        <f t="array" aca="1" ref="EO44" ca="1">IFERROR(INDEX(Leccion[selectorLeccion],SMALL(IF(EO$1=Leccion[SubSección],MATCH(ROW(Leccion[SubSección]),ROW(Leccion[SubSección]))),ROW(EN43))),"")</f>
        <v/>
      </c>
      <c r="EP44" s="51" t="str">
        <f t="array" aca="1" ref="EP44" ca="1">IFERROR(INDEX(Leccion[selectorLeccion],SMALL(IF(EP$1=Leccion[SubSección],MATCH(ROW(Leccion[SubSección]),ROW(Leccion[SubSección]))),ROW(EO43))),"")</f>
        <v/>
      </c>
      <c r="EQ44" s="51" t="str">
        <f t="array" aca="1" ref="EQ44" ca="1">IFERROR(INDEX(Leccion[selectorLeccion],SMALL(IF(EQ$1=Leccion[SubSección],MATCH(ROW(Leccion[SubSección]),ROW(Leccion[SubSección]))),ROW(EP43))),"")</f>
        <v/>
      </c>
      <c r="ER44" s="51" t="str">
        <f t="array" aca="1" ref="ER44" ca="1">IFERROR(INDEX(Leccion[selectorLeccion],SMALL(IF(ER$1=Leccion[SubSección],MATCH(ROW(Leccion[SubSección]),ROW(Leccion[SubSección]))),ROW(EQ43))),"")</f>
        <v/>
      </c>
      <c r="ES44" s="51" t="str">
        <f t="array" aca="1" ref="ES44" ca="1">IFERROR(INDEX(Leccion[selectorLeccion],SMALL(IF(ES$1=Leccion[SubSección],MATCH(ROW(Leccion[SubSección]),ROW(Leccion[SubSección]))),ROW(ER43))),"")</f>
        <v/>
      </c>
      <c r="ET44" s="51" t="str">
        <f t="array" aca="1" ref="ET44" ca="1">IFERROR(INDEX(Leccion[selectorLeccion],SMALL(IF(ET$1=Leccion[SubSección],MATCH(ROW(Leccion[SubSección]),ROW(Leccion[SubSección]))),ROW(ES43))),"")</f>
        <v/>
      </c>
      <c r="EU44" s="51" t="str">
        <f t="array" aca="1" ref="EU44" ca="1">IFERROR(INDEX(Leccion[selectorLeccion],SMALL(IF(EU$1=Leccion[SubSección],MATCH(ROW(Leccion[SubSección]),ROW(Leccion[SubSección]))),ROW(ET43))),"")</f>
        <v/>
      </c>
      <c r="EV44" s="51" t="str">
        <f t="array" aca="1" ref="EV44" ca="1">IFERROR(INDEX(Leccion[selectorLeccion],SMALL(IF(EV$1=Leccion[SubSección],MATCH(ROW(Leccion[SubSección]),ROW(Leccion[SubSección]))),ROW(EU43))),"")</f>
        <v/>
      </c>
      <c r="EW44" s="51" t="str">
        <f t="array" aca="1" ref="EW44" ca="1">IFERROR(INDEX(Leccion[selectorLeccion],SMALL(IF(EW$1=Leccion[SubSección],MATCH(ROW(Leccion[SubSección]),ROW(Leccion[SubSección]))),ROW(EV43))),"")</f>
        <v/>
      </c>
      <c r="EX44" s="51" t="str">
        <f t="array" aca="1" ref="EX44" ca="1">IFERROR(INDEX(Leccion[selectorLeccion],SMALL(IF(EX$1=Leccion[SubSección],MATCH(ROW(Leccion[SubSección]),ROW(Leccion[SubSección]))),ROW(EW43))),"")</f>
        <v/>
      </c>
      <c r="EY44" s="51" t="str">
        <f t="array" aca="1" ref="EY44" ca="1">IFERROR(INDEX(Leccion[selectorLeccion],SMALL(IF(EY$1=Leccion[SubSección],MATCH(ROW(Leccion[SubSección]),ROW(Leccion[SubSección]))),ROW(EX43))),"")</f>
        <v/>
      </c>
      <c r="EZ44" s="51" t="str">
        <f t="array" aca="1" ref="EZ44" ca="1">IFERROR(INDEX(Leccion[selectorLeccion],SMALL(IF(EZ$1=Leccion[SubSección],MATCH(ROW(Leccion[SubSección]),ROW(Leccion[SubSección]))),ROW(EY43))),"")</f>
        <v/>
      </c>
    </row>
    <row r="45" spans="2:156" x14ac:dyDescent="0.3">
      <c r="B45" s="51" t="str">
        <f t="array" aca="1" ref="B45" ca="1">IFERROR(INDEX(Leccion[selectorLeccion],SMALL(IF(B$1=Leccion[SubSección],MATCH(ROW(Leccion[SubSección]),ROW(Leccion[SubSección]))),ROW(A44))),"")</f>
        <v/>
      </c>
      <c r="C45" s="51" t="str">
        <f t="array" aca="1" ref="C45" ca="1">IFERROR(INDEX(Leccion[selectorLeccion],SMALL(IF(C$1=Leccion[SubSección],MATCH(ROW(Leccion[SubSección]),ROW(Leccion[SubSección]))),ROW(B44))),"")</f>
        <v/>
      </c>
      <c r="D45" s="51" t="str">
        <f t="array" aca="1" ref="D45" ca="1">IFERROR(INDEX(Leccion[selectorLeccion],SMALL(IF(D$1=Leccion[SubSección],MATCH(ROW(Leccion[SubSección]),ROW(Leccion[SubSección]))),ROW(C44))),"")</f>
        <v/>
      </c>
      <c r="E45" s="51" t="str">
        <f t="array" aca="1" ref="E45" ca="1">IFERROR(INDEX(Leccion[selectorLeccion],SMALL(IF(E$1=Leccion[SubSección],MATCH(ROW(Leccion[SubSección]),ROW(Leccion[SubSección]))),ROW(D44))),"")</f>
        <v/>
      </c>
      <c r="F45" s="51" t="str">
        <f t="array" aca="1" ref="F45" ca="1">IFERROR(INDEX(Leccion[selectorLeccion],SMALL(IF(F$1=Leccion[SubSección],MATCH(ROW(Leccion[SubSección]),ROW(Leccion[SubSección]))),ROW(E44))),"")</f>
        <v/>
      </c>
      <c r="G45" s="51" t="str">
        <f t="array" aca="1" ref="G45" ca="1">IFERROR(INDEX(Leccion[selectorLeccion],SMALL(IF(G$1=Leccion[SubSección],MATCH(ROW(Leccion[SubSección]),ROW(Leccion[SubSección]))),ROW(F44))),"")</f>
        <v/>
      </c>
      <c r="H45" s="51" t="str">
        <f t="array" aca="1" ref="H45" ca="1">IFERROR(INDEX(Leccion[selectorLeccion],SMALL(IF(H$1=Leccion[SubSección],MATCH(ROW(Leccion[SubSección]),ROW(Leccion[SubSección]))),ROW(G44))),"")</f>
        <v/>
      </c>
      <c r="I45" s="51" t="str">
        <f t="array" aca="1" ref="I45" ca="1">IFERROR(INDEX(Leccion[selectorLeccion],SMALL(IF(I$1=Leccion[SubSección],MATCH(ROW(Leccion[SubSección]),ROW(Leccion[SubSección]))),ROW(H44))),"")</f>
        <v/>
      </c>
      <c r="J45" s="51" t="str">
        <f t="array" aca="1" ref="J45" ca="1">IFERROR(INDEX(Leccion[selectorLeccion],SMALL(IF(J$1=Leccion[SubSección],MATCH(ROW(Leccion[SubSección]),ROW(Leccion[SubSección]))),ROW(I44))),"")</f>
        <v/>
      </c>
      <c r="K45" s="51" t="str">
        <f t="array" aca="1" ref="K45" ca="1">IFERROR(INDEX(Leccion[selectorLeccion],SMALL(IF(K$1=Leccion[SubSección],MATCH(ROW(Leccion[SubSección]),ROW(Leccion[SubSección]))),ROW(J44))),"")</f>
        <v/>
      </c>
      <c r="L45" s="51" t="str">
        <f t="array" aca="1" ref="L45" ca="1">IFERROR(INDEX(Leccion[selectorLeccion],SMALL(IF(L$1=Leccion[SubSección],MATCH(ROW(Leccion[SubSección]),ROW(Leccion[SubSección]))),ROW(K44))),"")</f>
        <v/>
      </c>
      <c r="M45" s="51" t="str">
        <f t="array" aca="1" ref="M45" ca="1">IFERROR(INDEX(Leccion[selectorLeccion],SMALL(IF(M$1=Leccion[SubSección],MATCH(ROW(Leccion[SubSección]),ROW(Leccion[SubSección]))),ROW(L44))),"")</f>
        <v/>
      </c>
      <c r="N45" s="51" t="str">
        <f t="array" aca="1" ref="N45" ca="1">IFERROR(INDEX(Leccion[selectorLeccion],SMALL(IF(N$1=Leccion[SubSección],MATCH(ROW(Leccion[SubSección]),ROW(Leccion[SubSección]))),ROW(M44))),"")</f>
        <v/>
      </c>
      <c r="O45" s="51" t="str">
        <f t="array" aca="1" ref="O45" ca="1">IFERROR(INDEX(Leccion[selectorLeccion],SMALL(IF(O$1=Leccion[SubSección],MATCH(ROW(Leccion[SubSección]),ROW(Leccion[SubSección]))),ROW(N44))),"")</f>
        <v/>
      </c>
      <c r="P45" s="51" t="str">
        <f t="array" aca="1" ref="P45" ca="1">IFERROR(INDEX(Leccion[selectorLeccion],SMALL(IF(P$1=Leccion[SubSección],MATCH(ROW(Leccion[SubSección]),ROW(Leccion[SubSección]))),ROW(O44))),"")</f>
        <v/>
      </c>
      <c r="Q45" s="51" t="str">
        <f t="array" aca="1" ref="Q45" ca="1">IFERROR(INDEX(Leccion[selectorLeccion],SMALL(IF(Q$1=Leccion[SubSección],MATCH(ROW(Leccion[SubSección]),ROW(Leccion[SubSección]))),ROW(P44))),"")</f>
        <v/>
      </c>
      <c r="R45" s="51" t="str">
        <f t="array" aca="1" ref="R45" ca="1">IFERROR(INDEX(Leccion[selectorLeccion],SMALL(IF(R$1=Leccion[SubSección],MATCH(ROW(Leccion[SubSección]),ROW(Leccion[SubSección]))),ROW(Q44))),"")</f>
        <v/>
      </c>
      <c r="S45" s="51" t="str">
        <f t="array" aca="1" ref="S45" ca="1">IFERROR(INDEX(Leccion[selectorLeccion],SMALL(IF(S$1=Leccion[SubSección],MATCH(ROW(Leccion[SubSección]),ROW(Leccion[SubSección]))),ROW(R44))),"")</f>
        <v/>
      </c>
      <c r="T45" s="51" t="str">
        <f t="array" aca="1" ref="T45" ca="1">IFERROR(INDEX(Leccion[selectorLeccion],SMALL(IF(T$1=Leccion[SubSección],MATCH(ROW(Leccion[SubSección]),ROW(Leccion[SubSección]))),ROW(S44))),"")</f>
        <v/>
      </c>
      <c r="U45" s="51" t="str">
        <f t="array" aca="1" ref="U45" ca="1">IFERROR(INDEX(Leccion[selectorLeccion],SMALL(IF(U$1=Leccion[SubSección],MATCH(ROW(Leccion[SubSección]),ROW(Leccion[SubSección]))),ROW(T44))),"")</f>
        <v/>
      </c>
      <c r="V45" s="51" t="str">
        <f t="array" aca="1" ref="V45" ca="1">IFERROR(INDEX(Leccion[selectorLeccion],SMALL(IF(V$1=Leccion[SubSección],MATCH(ROW(Leccion[SubSección]),ROW(Leccion[SubSección]))),ROW(U44))),"")</f>
        <v/>
      </c>
      <c r="W45" s="51" t="str">
        <f t="array" aca="1" ref="W45" ca="1">IFERROR(INDEX(Leccion[selectorLeccion],SMALL(IF(W$1=Leccion[SubSección],MATCH(ROW(Leccion[SubSección]),ROW(Leccion[SubSección]))),ROW(V44))),"")</f>
        <v/>
      </c>
      <c r="X45" s="51" t="str">
        <f t="array" aca="1" ref="X45" ca="1">IFERROR(INDEX(Leccion[selectorLeccion],SMALL(IF(X$1=Leccion[SubSección],MATCH(ROW(Leccion[SubSección]),ROW(Leccion[SubSección]))),ROW(W44))),"")</f>
        <v/>
      </c>
      <c r="Y45" s="51" t="str">
        <f t="array" aca="1" ref="Y45" ca="1">IFERROR(INDEX(Leccion[selectorLeccion],SMALL(IF(Y$1=Leccion[SubSección],MATCH(ROW(Leccion[SubSección]),ROW(Leccion[SubSección]))),ROW(X44))),"")</f>
        <v/>
      </c>
      <c r="Z45" s="51" t="str">
        <f t="array" aca="1" ref="Z45" ca="1">IFERROR(INDEX(Leccion[selectorLeccion],SMALL(IF(Z$1=Leccion[SubSección],MATCH(ROW(Leccion[SubSección]),ROW(Leccion[SubSección]))),ROW(Y44))),"")</f>
        <v/>
      </c>
      <c r="AA45" s="51" t="str">
        <f t="array" aca="1" ref="AA45" ca="1">IFERROR(INDEX(Leccion[selectorLeccion],SMALL(IF(AA$1=Leccion[SubSección],MATCH(ROW(Leccion[SubSección]),ROW(Leccion[SubSección]))),ROW(Z44))),"")</f>
        <v/>
      </c>
      <c r="AB45" s="51" t="str">
        <f t="array" aca="1" ref="AB45" ca="1">IFERROR(INDEX(Leccion[selectorLeccion],SMALL(IF(AB$1=Leccion[SubSección],MATCH(ROW(Leccion[SubSección]),ROW(Leccion[SubSección]))),ROW(AA44))),"")</f>
        <v/>
      </c>
      <c r="AC45" s="51" t="str">
        <f t="array" aca="1" ref="AC45" ca="1">IFERROR(INDEX(Leccion[selectorLeccion],SMALL(IF(AC$1=Leccion[SubSección],MATCH(ROW(Leccion[SubSección]),ROW(Leccion[SubSección]))),ROW(AB44))),"")</f>
        <v/>
      </c>
      <c r="AD45" s="51" t="str">
        <f t="array" aca="1" ref="AD45" ca="1">IFERROR(INDEX(Leccion[selectorLeccion],SMALL(IF(AD$1=Leccion[SubSección],MATCH(ROW(Leccion[SubSección]),ROW(Leccion[SubSección]))),ROW(AC44))),"")</f>
        <v/>
      </c>
      <c r="AE45" s="51" t="str">
        <f t="array" aca="1" ref="AE45" ca="1">IFERROR(INDEX(Leccion[selectorLeccion],SMALL(IF(AE$1=Leccion[SubSección],MATCH(ROW(Leccion[SubSección]),ROW(Leccion[SubSección]))),ROW(AD44))),"")</f>
        <v/>
      </c>
      <c r="AF45" s="51" t="str">
        <f t="array" aca="1" ref="AF45" ca="1">IFERROR(INDEX(Leccion[selectorLeccion],SMALL(IF(AF$1=Leccion[SubSección],MATCH(ROW(Leccion[SubSección]),ROW(Leccion[SubSección]))),ROW(AE44))),"")</f>
        <v/>
      </c>
      <c r="AG45" s="51" t="str">
        <f t="array" aca="1" ref="AG45" ca="1">IFERROR(INDEX(Leccion[selectorLeccion],SMALL(IF(AG$1=Leccion[SubSección],MATCH(ROW(Leccion[SubSección]),ROW(Leccion[SubSección]))),ROW(AF44))),"")</f>
        <v/>
      </c>
      <c r="AH45" s="51" t="str">
        <f t="array" aca="1" ref="AH45" ca="1">IFERROR(INDEX(Leccion[selectorLeccion],SMALL(IF(AH$1=Leccion[SubSección],MATCH(ROW(Leccion[SubSección]),ROW(Leccion[SubSección]))),ROW(AG44))),"")</f>
        <v/>
      </c>
      <c r="AI45" s="51" t="str">
        <f t="array" aca="1" ref="AI45" ca="1">IFERROR(INDEX(Leccion[selectorLeccion],SMALL(IF(AI$1=Leccion[SubSección],MATCH(ROW(Leccion[SubSección]),ROW(Leccion[SubSección]))),ROW(AH44))),"")</f>
        <v/>
      </c>
      <c r="AJ45" s="51" t="str">
        <f t="array" aca="1" ref="AJ45" ca="1">IFERROR(INDEX(Leccion[selectorLeccion],SMALL(IF(AJ$1=Leccion[SubSección],MATCH(ROW(Leccion[SubSección]),ROW(Leccion[SubSección]))),ROW(AI44))),"")</f>
        <v/>
      </c>
      <c r="AK45" s="51" t="str">
        <f t="array" aca="1" ref="AK45" ca="1">IFERROR(INDEX(Leccion[selectorLeccion],SMALL(IF(AK$1=Leccion[SubSección],MATCH(ROW(Leccion[SubSección]),ROW(Leccion[SubSección]))),ROW(AJ44))),"")</f>
        <v/>
      </c>
      <c r="AL45" s="51" t="str">
        <f t="array" aca="1" ref="AL45" ca="1">IFERROR(INDEX(Leccion[selectorLeccion],SMALL(IF(AL$1=Leccion[SubSección],MATCH(ROW(Leccion[SubSección]),ROW(Leccion[SubSección]))),ROW(AK44))),"")</f>
        <v/>
      </c>
      <c r="AM45" s="51" t="str">
        <f t="array" aca="1" ref="AM45" ca="1">IFERROR(INDEX(Leccion[selectorLeccion],SMALL(IF(AM$1=Leccion[SubSección],MATCH(ROW(Leccion[SubSección]),ROW(Leccion[SubSección]))),ROW(AL44))),"")</f>
        <v/>
      </c>
      <c r="AN45" s="51" t="str">
        <f t="array" aca="1" ref="AN45" ca="1">IFERROR(INDEX(Leccion[selectorLeccion],SMALL(IF(AN$1=Leccion[SubSección],MATCH(ROW(Leccion[SubSección]),ROW(Leccion[SubSección]))),ROW(AM44))),"")</f>
        <v/>
      </c>
      <c r="AO45" s="51" t="str">
        <f t="array" aca="1" ref="AO45" ca="1">IFERROR(INDEX(Leccion[selectorLeccion],SMALL(IF(AO$1=Leccion[SubSección],MATCH(ROW(Leccion[SubSección]),ROW(Leccion[SubSección]))),ROW(AN44))),"")</f>
        <v/>
      </c>
      <c r="AP45" s="51" t="str">
        <f t="array" aca="1" ref="AP45" ca="1">IFERROR(INDEX(Leccion[selectorLeccion],SMALL(IF(AP$1=Leccion[SubSección],MATCH(ROW(Leccion[SubSección]),ROW(Leccion[SubSección]))),ROW(AO44))),"")</f>
        <v/>
      </c>
      <c r="AQ45" s="51" t="str">
        <f t="array" aca="1" ref="AQ45" ca="1">IFERROR(INDEX(Leccion[selectorLeccion],SMALL(IF(AQ$1=Leccion[SubSección],MATCH(ROW(Leccion[SubSección]),ROW(Leccion[SubSección]))),ROW(AP44))),"")</f>
        <v/>
      </c>
      <c r="AR45" s="51" t="str">
        <f t="array" aca="1" ref="AR45" ca="1">IFERROR(INDEX(Leccion[selectorLeccion],SMALL(IF(AR$1=Leccion[SubSección],MATCH(ROW(Leccion[SubSección]),ROW(Leccion[SubSección]))),ROW(AQ44))),"")</f>
        <v/>
      </c>
      <c r="AS45" s="51" t="str">
        <f t="array" aca="1" ref="AS45" ca="1">IFERROR(INDEX(Leccion[selectorLeccion],SMALL(IF(AS$1=Leccion[SubSección],MATCH(ROW(Leccion[SubSección]),ROW(Leccion[SubSección]))),ROW(AR44))),"")</f>
        <v/>
      </c>
      <c r="AT45" s="51" t="str">
        <f t="array" aca="1" ref="AT45" ca="1">IFERROR(INDEX(Leccion[selectorLeccion],SMALL(IF(AT$1=Leccion[SubSección],MATCH(ROW(Leccion[SubSección]),ROW(Leccion[SubSección]))),ROW(AS44))),"")</f>
        <v/>
      </c>
      <c r="AU45" s="51" t="str">
        <f t="array" aca="1" ref="AU45" ca="1">IFERROR(INDEX(Leccion[selectorLeccion],SMALL(IF(AU$1=Leccion[SubSección],MATCH(ROW(Leccion[SubSección]),ROW(Leccion[SubSección]))),ROW(AT44))),"")</f>
        <v/>
      </c>
      <c r="AV45" s="51" t="str">
        <f t="array" aca="1" ref="AV45" ca="1">IFERROR(INDEX(Leccion[selectorLeccion],SMALL(IF(AV$1=Leccion[SubSección],MATCH(ROW(Leccion[SubSección]),ROW(Leccion[SubSección]))),ROW(AU44))),"")</f>
        <v/>
      </c>
      <c r="AW45" s="51" t="str">
        <f t="array" aca="1" ref="AW45" ca="1">IFERROR(INDEX(Leccion[selectorLeccion],SMALL(IF(AW$1=Leccion[SubSección],MATCH(ROW(Leccion[SubSección]),ROW(Leccion[SubSección]))),ROW(AV44))),"")</f>
        <v/>
      </c>
      <c r="AX45" s="51" t="str">
        <f t="array" aca="1" ref="AX45" ca="1">IFERROR(INDEX(Leccion[selectorLeccion],SMALL(IF(AX$1=Leccion[SubSección],MATCH(ROW(Leccion[SubSección]),ROW(Leccion[SubSección]))),ROW(AW44))),"")</f>
        <v/>
      </c>
      <c r="AY45" s="51" t="str">
        <f t="array" aca="1" ref="AY45" ca="1">IFERROR(INDEX(Leccion[selectorLeccion],SMALL(IF(AY$1=Leccion[SubSección],MATCH(ROW(Leccion[SubSección]),ROW(Leccion[SubSección]))),ROW(AX44))),"")</f>
        <v/>
      </c>
      <c r="AZ45" s="51" t="str">
        <f t="array" aca="1" ref="AZ45" ca="1">IFERROR(INDEX(Leccion[selectorLeccion],SMALL(IF(AZ$1=Leccion[SubSección],MATCH(ROW(Leccion[SubSección]),ROW(Leccion[SubSección]))),ROW(AY44))),"")</f>
        <v/>
      </c>
      <c r="BA45" s="51" t="str">
        <f t="array" aca="1" ref="BA45" ca="1">IFERROR(INDEX(Leccion[selectorLeccion],SMALL(IF(BA$1=Leccion[SubSección],MATCH(ROW(Leccion[SubSección]),ROW(Leccion[SubSección]))),ROW(AZ44))),"")</f>
        <v/>
      </c>
      <c r="BB45" s="51" t="str">
        <f t="array" aca="1" ref="BB45" ca="1">IFERROR(INDEX(Leccion[selectorLeccion],SMALL(IF(BB$1=Leccion[SubSección],MATCH(ROW(Leccion[SubSección]),ROW(Leccion[SubSección]))),ROW(BA44))),"")</f>
        <v/>
      </c>
      <c r="BC45" s="51" t="str">
        <f t="array" aca="1" ref="BC45" ca="1">IFERROR(INDEX(Leccion[selectorLeccion],SMALL(IF(BC$1=Leccion[SubSección],MATCH(ROW(Leccion[SubSección]),ROW(Leccion[SubSección]))),ROW(BB44))),"")</f>
        <v/>
      </c>
      <c r="BD45" s="51" t="str">
        <f t="array" aca="1" ref="BD45" ca="1">IFERROR(INDEX(Leccion[selectorLeccion],SMALL(IF(BD$1=Leccion[SubSección],MATCH(ROW(Leccion[SubSección]),ROW(Leccion[SubSección]))),ROW(BC44))),"")</f>
        <v/>
      </c>
      <c r="BE45" s="51" t="str">
        <f t="array" aca="1" ref="BE45" ca="1">IFERROR(INDEX(Leccion[selectorLeccion],SMALL(IF(BE$1=Leccion[SubSección],MATCH(ROW(Leccion[SubSección]),ROW(Leccion[SubSección]))),ROW(BD44))),"")</f>
        <v/>
      </c>
      <c r="BF45" s="51" t="str">
        <f t="array" aca="1" ref="BF45" ca="1">IFERROR(INDEX(Leccion[selectorLeccion],SMALL(IF(BF$1=Leccion[SubSección],MATCH(ROW(Leccion[SubSección]),ROW(Leccion[SubSección]))),ROW(BE44))),"")</f>
        <v/>
      </c>
      <c r="BG45" s="51" t="str">
        <f t="array" aca="1" ref="BG45" ca="1">IFERROR(INDEX(Leccion[selectorLeccion],SMALL(IF(BG$1=Leccion[SubSección],MATCH(ROW(Leccion[SubSección]),ROW(Leccion[SubSección]))),ROW(BF44))),"")</f>
        <v/>
      </c>
      <c r="BH45" s="51" t="str">
        <f t="array" aca="1" ref="BH45" ca="1">IFERROR(INDEX(Leccion[selectorLeccion],SMALL(IF(BH$1=Leccion[SubSección],MATCH(ROW(Leccion[SubSección]),ROW(Leccion[SubSección]))),ROW(BG44))),"")</f>
        <v/>
      </c>
      <c r="BI45" s="51" t="str">
        <f t="array" aca="1" ref="BI45" ca="1">IFERROR(INDEX(Leccion[selectorLeccion],SMALL(IF(BI$1=Leccion[SubSección],MATCH(ROW(Leccion[SubSección]),ROW(Leccion[SubSección]))),ROW(BH44))),"")</f>
        <v/>
      </c>
      <c r="BJ45" s="51" t="str">
        <f t="array" aca="1" ref="BJ45" ca="1">IFERROR(INDEX(Leccion[selectorLeccion],SMALL(IF(BJ$1=Leccion[SubSección],MATCH(ROW(Leccion[SubSección]),ROW(Leccion[SubSección]))),ROW(BI44))),"")</f>
        <v/>
      </c>
      <c r="BK45" s="51" t="str">
        <f t="array" aca="1" ref="BK45" ca="1">IFERROR(INDEX(Leccion[selectorLeccion],SMALL(IF(BK$1=Leccion[SubSección],MATCH(ROW(Leccion[SubSección]),ROW(Leccion[SubSección]))),ROW(BJ44))),"")</f>
        <v/>
      </c>
      <c r="BL45" s="51" t="str">
        <f t="array" aca="1" ref="BL45" ca="1">IFERROR(INDEX(Leccion[selectorLeccion],SMALL(IF(BL$1=Leccion[SubSección],MATCH(ROW(Leccion[SubSección]),ROW(Leccion[SubSección]))),ROW(BK44))),"")</f>
        <v/>
      </c>
      <c r="BM45" s="51" t="str">
        <f t="array" aca="1" ref="BM45" ca="1">IFERROR(INDEX(Leccion[selectorLeccion],SMALL(IF(BM$1=Leccion[SubSección],MATCH(ROW(Leccion[SubSección]),ROW(Leccion[SubSección]))),ROW(BL44))),"")</f>
        <v/>
      </c>
      <c r="BN45" s="51" t="str">
        <f t="array" aca="1" ref="BN45" ca="1">IFERROR(INDEX(Leccion[selectorLeccion],SMALL(IF(BN$1=Leccion[SubSección],MATCH(ROW(Leccion[SubSección]),ROW(Leccion[SubSección]))),ROW(BM44))),"")</f>
        <v/>
      </c>
      <c r="BO45" s="51" t="str">
        <f t="array" aca="1" ref="BO45" ca="1">IFERROR(INDEX(Leccion[selectorLeccion],SMALL(IF(BO$1=Leccion[SubSección],MATCH(ROW(Leccion[SubSección]),ROW(Leccion[SubSección]))),ROW(BN44))),"")</f>
        <v/>
      </c>
      <c r="BP45" s="51" t="str">
        <f t="array" aca="1" ref="BP45" ca="1">IFERROR(INDEX(Leccion[selectorLeccion],SMALL(IF(BP$1=Leccion[SubSección],MATCH(ROW(Leccion[SubSección]),ROW(Leccion[SubSección]))),ROW(BO44))),"")</f>
        <v/>
      </c>
      <c r="BQ45" s="51" t="str">
        <f t="array" aca="1" ref="BQ45" ca="1">IFERROR(INDEX(Leccion[selectorLeccion],SMALL(IF(BQ$1=Leccion[SubSección],MATCH(ROW(Leccion[SubSección]),ROW(Leccion[SubSección]))),ROW(BP44))),"")</f>
        <v/>
      </c>
      <c r="BR45" s="51" t="str">
        <f t="array" aca="1" ref="BR45" ca="1">IFERROR(INDEX(Leccion[selectorLeccion],SMALL(IF(BR$1=Leccion[SubSección],MATCH(ROW(Leccion[SubSección]),ROW(Leccion[SubSección]))),ROW(BQ44))),"")</f>
        <v/>
      </c>
      <c r="BS45" s="51" t="str">
        <f t="array" aca="1" ref="BS45" ca="1">IFERROR(INDEX(Leccion[selectorLeccion],SMALL(IF(BS$1=Leccion[SubSección],MATCH(ROW(Leccion[SubSección]),ROW(Leccion[SubSección]))),ROW(BR44))),"")</f>
        <v/>
      </c>
      <c r="BT45" s="51" t="str">
        <f t="array" aca="1" ref="BT45" ca="1">IFERROR(INDEX(Leccion[selectorLeccion],SMALL(IF(BT$1=Leccion[SubSección],MATCH(ROW(Leccion[SubSección]),ROW(Leccion[SubSección]))),ROW(BS44))),"")</f>
        <v/>
      </c>
      <c r="BU45" s="51" t="str">
        <f t="array" aca="1" ref="BU45" ca="1">IFERROR(INDEX(Leccion[selectorLeccion],SMALL(IF(BU$1=Leccion[SubSección],MATCH(ROW(Leccion[SubSección]),ROW(Leccion[SubSección]))),ROW(BT44))),"")</f>
        <v/>
      </c>
      <c r="BV45" s="51" t="str">
        <f t="array" aca="1" ref="BV45" ca="1">IFERROR(INDEX(Leccion[selectorLeccion],SMALL(IF(BV$1=Leccion[SubSección],MATCH(ROW(Leccion[SubSección]),ROW(Leccion[SubSección]))),ROW(BU44))),"")</f>
        <v/>
      </c>
      <c r="BW45" s="51" t="str">
        <f t="array" aca="1" ref="BW45" ca="1">IFERROR(INDEX(Leccion[selectorLeccion],SMALL(IF(BW$1=Leccion[SubSección],MATCH(ROW(Leccion[SubSección]),ROW(Leccion[SubSección]))),ROW(BV44))),"")</f>
        <v/>
      </c>
      <c r="BX45" s="51" t="str">
        <f t="array" aca="1" ref="BX45" ca="1">IFERROR(INDEX(Leccion[selectorLeccion],SMALL(IF(BX$1=Leccion[SubSección],MATCH(ROW(Leccion[SubSección]),ROW(Leccion[SubSección]))),ROW(BW44))),"")</f>
        <v/>
      </c>
      <c r="BY45" s="51" t="str">
        <f t="array" aca="1" ref="BY45" ca="1">IFERROR(INDEX(Leccion[selectorLeccion],SMALL(IF(BY$1=Leccion[SubSección],MATCH(ROW(Leccion[SubSección]),ROW(Leccion[SubSección]))),ROW(BX44))),"")</f>
        <v/>
      </c>
      <c r="BZ45" s="51" t="str">
        <f t="array" aca="1" ref="BZ45" ca="1">IFERROR(INDEX(Leccion[selectorLeccion],SMALL(IF(BZ$1=Leccion[SubSección],MATCH(ROW(Leccion[SubSección]),ROW(Leccion[SubSección]))),ROW(BY44))),"")</f>
        <v/>
      </c>
      <c r="CA45" s="51" t="str">
        <f t="array" aca="1" ref="CA45" ca="1">IFERROR(INDEX(Leccion[selectorLeccion],SMALL(IF(CA$1=Leccion[SubSección],MATCH(ROW(Leccion[SubSección]),ROW(Leccion[SubSección]))),ROW(BZ44))),"")</f>
        <v/>
      </c>
      <c r="CB45" s="51" t="str">
        <f t="array" aca="1" ref="CB45" ca="1">IFERROR(INDEX(Leccion[selectorLeccion],SMALL(IF(CB$1=Leccion[SubSección],MATCH(ROW(Leccion[SubSección]),ROW(Leccion[SubSección]))),ROW(CA44))),"")</f>
        <v/>
      </c>
      <c r="CC45" s="51" t="str">
        <f t="array" aca="1" ref="CC45" ca="1">IFERROR(INDEX(Leccion[selectorLeccion],SMALL(IF(CC$1=Leccion[SubSección],MATCH(ROW(Leccion[SubSección]),ROW(Leccion[SubSección]))),ROW(CB44))),"")</f>
        <v/>
      </c>
      <c r="CD45" s="51" t="str">
        <f t="array" aca="1" ref="CD45" ca="1">IFERROR(INDEX(Leccion[selectorLeccion],SMALL(IF(CD$1=Leccion[SubSección],MATCH(ROW(Leccion[SubSección]),ROW(Leccion[SubSección]))),ROW(CC44))),"")</f>
        <v/>
      </c>
      <c r="CE45" s="51" t="str">
        <f t="array" aca="1" ref="CE45" ca="1">IFERROR(INDEX(Leccion[selectorLeccion],SMALL(IF(CE$1=Leccion[SubSección],MATCH(ROW(Leccion[SubSección]),ROW(Leccion[SubSección]))),ROW(CD44))),"")</f>
        <v/>
      </c>
      <c r="CF45" s="51" t="str">
        <f t="array" aca="1" ref="CF45" ca="1">IFERROR(INDEX(Leccion[selectorLeccion],SMALL(IF(CF$1=Leccion[SubSección],MATCH(ROW(Leccion[SubSección]),ROW(Leccion[SubSección]))),ROW(CE44))),"")</f>
        <v/>
      </c>
      <c r="CG45" s="51" t="str">
        <f t="array" aca="1" ref="CG45" ca="1">IFERROR(INDEX(Leccion[selectorLeccion],SMALL(IF(CG$1=Leccion[SubSección],MATCH(ROW(Leccion[SubSección]),ROW(Leccion[SubSección]))),ROW(CF44))),"")</f>
        <v/>
      </c>
      <c r="CH45" s="51" t="str">
        <f t="array" aca="1" ref="CH45" ca="1">IFERROR(INDEX(Leccion[selectorLeccion],SMALL(IF(CH$1=Leccion[SubSección],MATCH(ROW(Leccion[SubSección]),ROW(Leccion[SubSección]))),ROW(CG44))),"")</f>
        <v/>
      </c>
      <c r="CI45" s="51" t="str">
        <f t="array" aca="1" ref="CI45" ca="1">IFERROR(INDEX(Leccion[selectorLeccion],SMALL(IF(CI$1=Leccion[SubSección],MATCH(ROW(Leccion[SubSección]),ROW(Leccion[SubSección]))),ROW(CH44))),"")</f>
        <v/>
      </c>
      <c r="CJ45" s="51" t="str">
        <f t="array" aca="1" ref="CJ45" ca="1">IFERROR(INDEX(Leccion[selectorLeccion],SMALL(IF(CJ$1=Leccion[SubSección],MATCH(ROW(Leccion[SubSección]),ROW(Leccion[SubSección]))),ROW(CI44))),"")</f>
        <v/>
      </c>
      <c r="CK45" s="51" t="str">
        <f t="array" aca="1" ref="CK45" ca="1">IFERROR(INDEX(Leccion[selectorLeccion],SMALL(IF(CK$1=Leccion[SubSección],MATCH(ROW(Leccion[SubSección]),ROW(Leccion[SubSección]))),ROW(CJ44))),"")</f>
        <v/>
      </c>
      <c r="CL45" s="51" t="str">
        <f t="array" aca="1" ref="CL45" ca="1">IFERROR(INDEX(Leccion[selectorLeccion],SMALL(IF(CL$1=Leccion[SubSección],MATCH(ROW(Leccion[SubSección]),ROW(Leccion[SubSección]))),ROW(CK44))),"")</f>
        <v/>
      </c>
      <c r="CM45" s="51" t="str">
        <f t="array" aca="1" ref="CM45" ca="1">IFERROR(INDEX(Leccion[selectorLeccion],SMALL(IF(CM$1=Leccion[SubSección],MATCH(ROW(Leccion[SubSección]),ROW(Leccion[SubSección]))),ROW(CL44))),"")</f>
        <v/>
      </c>
      <c r="CN45" s="51" t="str">
        <f t="array" aca="1" ref="CN45" ca="1">IFERROR(INDEX(Leccion[selectorLeccion],SMALL(IF(CN$1=Leccion[SubSección],MATCH(ROW(Leccion[SubSección]),ROW(Leccion[SubSección]))),ROW(CM44))),"")</f>
        <v/>
      </c>
      <c r="CO45" s="51" t="str">
        <f t="array" aca="1" ref="CO45" ca="1">IFERROR(INDEX(Leccion[selectorLeccion],SMALL(IF(CO$1=Leccion[SubSección],MATCH(ROW(Leccion[SubSección]),ROW(Leccion[SubSección]))),ROW(CN44))),"")</f>
        <v/>
      </c>
      <c r="CP45" s="51" t="str">
        <f t="array" aca="1" ref="CP45" ca="1">IFERROR(INDEX(Leccion[selectorLeccion],SMALL(IF(CP$1=Leccion[SubSección],MATCH(ROW(Leccion[SubSección]),ROW(Leccion[SubSección]))),ROW(CO44))),"")</f>
        <v/>
      </c>
      <c r="CQ45" s="51" t="str">
        <f t="array" aca="1" ref="CQ45" ca="1">IFERROR(INDEX(Leccion[selectorLeccion],SMALL(IF(CQ$1=Leccion[SubSección],MATCH(ROW(Leccion[SubSección]),ROW(Leccion[SubSección]))),ROW(CP44))),"")</f>
        <v/>
      </c>
      <c r="CR45" s="51" t="str">
        <f t="array" aca="1" ref="CR45" ca="1">IFERROR(INDEX(Leccion[selectorLeccion],SMALL(IF(CR$1=Leccion[SubSección],MATCH(ROW(Leccion[SubSección]),ROW(Leccion[SubSección]))),ROW(CQ44))),"")</f>
        <v/>
      </c>
      <c r="CS45" s="51" t="str">
        <f t="array" aca="1" ref="CS45" ca="1">IFERROR(INDEX(Leccion[selectorLeccion],SMALL(IF(CS$1=Leccion[SubSección],MATCH(ROW(Leccion[SubSección]),ROW(Leccion[SubSección]))),ROW(CR44))),"")</f>
        <v/>
      </c>
      <c r="CT45" s="51" t="str">
        <f t="array" aca="1" ref="CT45" ca="1">IFERROR(INDEX(Leccion[selectorLeccion],SMALL(IF(CT$1=Leccion[SubSección],MATCH(ROW(Leccion[SubSección]),ROW(Leccion[SubSección]))),ROW(CS44))),"")</f>
        <v/>
      </c>
      <c r="CU45" s="51" t="str">
        <f t="array" aca="1" ref="CU45" ca="1">IFERROR(INDEX(Leccion[selectorLeccion],SMALL(IF(CU$1=Leccion[SubSección],MATCH(ROW(Leccion[SubSección]),ROW(Leccion[SubSección]))),ROW(CT44))),"")</f>
        <v/>
      </c>
      <c r="CV45" s="51" t="str">
        <f t="array" aca="1" ref="CV45" ca="1">IFERROR(INDEX(Leccion[selectorLeccion],SMALL(IF(CV$1=Leccion[SubSección],MATCH(ROW(Leccion[SubSección]),ROW(Leccion[SubSección]))),ROW(CU44))),"")</f>
        <v/>
      </c>
      <c r="CW45" s="51" t="str">
        <f t="array" aca="1" ref="CW45" ca="1">IFERROR(INDEX(Leccion[selectorLeccion],SMALL(IF(CW$1=Leccion[SubSección],MATCH(ROW(Leccion[SubSección]),ROW(Leccion[SubSección]))),ROW(CV44))),"")</f>
        <v/>
      </c>
      <c r="CX45" s="51" t="str">
        <f t="array" aca="1" ref="CX45" ca="1">IFERROR(INDEX(Leccion[selectorLeccion],SMALL(IF(CX$1=Leccion[SubSección],MATCH(ROW(Leccion[SubSección]),ROW(Leccion[SubSección]))),ROW(CW44))),"")</f>
        <v/>
      </c>
      <c r="CY45" s="51" t="str">
        <f t="array" aca="1" ref="CY45" ca="1">IFERROR(INDEX(Leccion[selectorLeccion],SMALL(IF(CY$1=Leccion[SubSección],MATCH(ROW(Leccion[SubSección]),ROW(Leccion[SubSección]))),ROW(CX44))),"")</f>
        <v/>
      </c>
      <c r="CZ45" s="51" t="str">
        <f t="array" aca="1" ref="CZ45" ca="1">IFERROR(INDEX(Leccion[selectorLeccion],SMALL(IF(CZ$1=Leccion[SubSección],MATCH(ROW(Leccion[SubSección]),ROW(Leccion[SubSección]))),ROW(CY44))),"")</f>
        <v/>
      </c>
      <c r="DA45" s="51" t="str">
        <f t="array" aca="1" ref="DA45" ca="1">IFERROR(INDEX(Leccion[selectorLeccion],SMALL(IF(DA$1=Leccion[SubSección],MATCH(ROW(Leccion[SubSección]),ROW(Leccion[SubSección]))),ROW(CZ44))),"")</f>
        <v/>
      </c>
      <c r="DB45" s="51" t="str">
        <f t="array" aca="1" ref="DB45" ca="1">IFERROR(INDEX(Leccion[selectorLeccion],SMALL(IF(DB$1=Leccion[SubSección],MATCH(ROW(Leccion[SubSección]),ROW(Leccion[SubSección]))),ROW(DA44))),"")</f>
        <v/>
      </c>
      <c r="DC45" s="51" t="str">
        <f t="array" aca="1" ref="DC45" ca="1">IFERROR(INDEX(Leccion[selectorLeccion],SMALL(IF(DC$1=Leccion[SubSección],MATCH(ROW(Leccion[SubSección]),ROW(Leccion[SubSección]))),ROW(DB44))),"")</f>
        <v/>
      </c>
      <c r="DD45" s="51" t="str">
        <f t="array" aca="1" ref="DD45" ca="1">IFERROR(INDEX(Leccion[selectorLeccion],SMALL(IF(DD$1=Leccion[SubSección],MATCH(ROW(Leccion[SubSección]),ROW(Leccion[SubSección]))),ROW(DC44))),"")</f>
        <v/>
      </c>
      <c r="DE45" s="51" t="str">
        <f t="array" aca="1" ref="DE45" ca="1">IFERROR(INDEX(Leccion[selectorLeccion],SMALL(IF(DE$1=Leccion[SubSección],MATCH(ROW(Leccion[SubSección]),ROW(Leccion[SubSección]))),ROW(DD44))),"")</f>
        <v/>
      </c>
      <c r="DF45" s="51" t="str">
        <f t="array" aca="1" ref="DF45" ca="1">IFERROR(INDEX(Leccion[selectorLeccion],SMALL(IF(DF$1=Leccion[SubSección],MATCH(ROW(Leccion[SubSección]),ROW(Leccion[SubSección]))),ROW(DE44))),"")</f>
        <v/>
      </c>
      <c r="DG45" s="51" t="str">
        <f t="array" aca="1" ref="DG45" ca="1">IFERROR(INDEX(Leccion[selectorLeccion],SMALL(IF(DG$1=Leccion[SubSección],MATCH(ROW(Leccion[SubSección]),ROW(Leccion[SubSección]))),ROW(DF44))),"")</f>
        <v/>
      </c>
      <c r="DH45" s="51" t="str">
        <f t="array" aca="1" ref="DH45" ca="1">IFERROR(INDEX(Leccion[selectorLeccion],SMALL(IF(DH$1=Leccion[SubSección],MATCH(ROW(Leccion[SubSección]),ROW(Leccion[SubSección]))),ROW(DG44))),"")</f>
        <v/>
      </c>
      <c r="DI45" s="51" t="str">
        <f t="array" aca="1" ref="DI45" ca="1">IFERROR(INDEX(Leccion[selectorLeccion],SMALL(IF(DI$1=Leccion[SubSección],MATCH(ROW(Leccion[SubSección]),ROW(Leccion[SubSección]))),ROW(DH44))),"")</f>
        <v/>
      </c>
      <c r="DJ45" s="51" t="str">
        <f t="array" aca="1" ref="DJ45" ca="1">IFERROR(INDEX(Leccion[selectorLeccion],SMALL(IF(DJ$1=Leccion[SubSección],MATCH(ROW(Leccion[SubSección]),ROW(Leccion[SubSección]))),ROW(DI44))),"")</f>
        <v/>
      </c>
      <c r="DK45" s="51" t="str">
        <f t="array" aca="1" ref="DK45" ca="1">IFERROR(INDEX(Leccion[selectorLeccion],SMALL(IF(DK$1=Leccion[SubSección],MATCH(ROW(Leccion[SubSección]),ROW(Leccion[SubSección]))),ROW(DJ44))),"")</f>
        <v/>
      </c>
      <c r="DL45" s="51" t="str">
        <f t="array" aca="1" ref="DL45" ca="1">IFERROR(INDEX(Leccion[selectorLeccion],SMALL(IF(DL$1=Leccion[SubSección],MATCH(ROW(Leccion[SubSección]),ROW(Leccion[SubSección]))),ROW(DK44))),"")</f>
        <v/>
      </c>
      <c r="DM45" s="51" t="str">
        <f t="array" aca="1" ref="DM45" ca="1">IFERROR(INDEX(Leccion[selectorLeccion],SMALL(IF(DM$1=Leccion[SubSección],MATCH(ROW(Leccion[SubSección]),ROW(Leccion[SubSección]))),ROW(DL44))),"")</f>
        <v/>
      </c>
      <c r="DN45" s="51" t="str">
        <f t="array" aca="1" ref="DN45" ca="1">IFERROR(INDEX(Leccion[selectorLeccion],SMALL(IF(DN$1=Leccion[SubSección],MATCH(ROW(Leccion[SubSección]),ROW(Leccion[SubSección]))),ROW(DM44))),"")</f>
        <v/>
      </c>
      <c r="DO45" s="51" t="str">
        <f t="array" aca="1" ref="DO45" ca="1">IFERROR(INDEX(Leccion[selectorLeccion],SMALL(IF(DO$1=Leccion[SubSección],MATCH(ROW(Leccion[SubSección]),ROW(Leccion[SubSección]))),ROW(DN44))),"")</f>
        <v/>
      </c>
      <c r="DP45" s="51" t="str">
        <f t="array" aca="1" ref="DP45" ca="1">IFERROR(INDEX(Leccion[selectorLeccion],SMALL(IF(DP$1=Leccion[SubSección],MATCH(ROW(Leccion[SubSección]),ROW(Leccion[SubSección]))),ROW(DO44))),"")</f>
        <v/>
      </c>
      <c r="DQ45" s="51" t="str">
        <f t="array" aca="1" ref="DQ45" ca="1">IFERROR(INDEX(Leccion[selectorLeccion],SMALL(IF(DQ$1=Leccion[SubSección],MATCH(ROW(Leccion[SubSección]),ROW(Leccion[SubSección]))),ROW(DP44))),"")</f>
        <v/>
      </c>
      <c r="DR45" s="51" t="str">
        <f t="array" aca="1" ref="DR45" ca="1">IFERROR(INDEX(Leccion[selectorLeccion],SMALL(IF(DR$1=Leccion[SubSección],MATCH(ROW(Leccion[SubSección]),ROW(Leccion[SubSección]))),ROW(DQ44))),"")</f>
        <v/>
      </c>
      <c r="DS45" s="51" t="str">
        <f t="array" aca="1" ref="DS45" ca="1">IFERROR(INDEX(Leccion[selectorLeccion],SMALL(IF(DS$1=Leccion[SubSección],MATCH(ROW(Leccion[SubSección]),ROW(Leccion[SubSección]))),ROW(DR44))),"")</f>
        <v/>
      </c>
      <c r="DT45" s="51" t="str">
        <f t="array" aca="1" ref="DT45" ca="1">IFERROR(INDEX(Leccion[selectorLeccion],SMALL(IF(DT$1=Leccion[SubSección],MATCH(ROW(Leccion[SubSección]),ROW(Leccion[SubSección]))),ROW(DS44))),"")</f>
        <v/>
      </c>
      <c r="DU45" s="51" t="str">
        <f t="array" aca="1" ref="DU45" ca="1">IFERROR(INDEX(Leccion[selectorLeccion],SMALL(IF(DU$1=Leccion[SubSección],MATCH(ROW(Leccion[SubSección]),ROW(Leccion[SubSección]))),ROW(DT44))),"")</f>
        <v/>
      </c>
      <c r="DV45" s="51" t="str">
        <f t="array" aca="1" ref="DV45" ca="1">IFERROR(INDEX(Leccion[selectorLeccion],SMALL(IF(DV$1=Leccion[SubSección],MATCH(ROW(Leccion[SubSección]),ROW(Leccion[SubSección]))),ROW(DU44))),"")</f>
        <v/>
      </c>
      <c r="DW45" s="51" t="str">
        <f t="array" aca="1" ref="DW45" ca="1">IFERROR(INDEX(Leccion[selectorLeccion],SMALL(IF(DW$1=Leccion[SubSección],MATCH(ROW(Leccion[SubSección]),ROW(Leccion[SubSección]))),ROW(DV44))),"")</f>
        <v/>
      </c>
      <c r="DX45" s="51" t="str">
        <f t="array" aca="1" ref="DX45" ca="1">IFERROR(INDEX(Leccion[selectorLeccion],SMALL(IF(DX$1=Leccion[SubSección],MATCH(ROW(Leccion[SubSección]),ROW(Leccion[SubSección]))),ROW(DW44))),"")</f>
        <v/>
      </c>
      <c r="DY45" s="51" t="str">
        <f t="array" aca="1" ref="DY45" ca="1">IFERROR(INDEX(Leccion[selectorLeccion],SMALL(IF(DY$1=Leccion[SubSección],MATCH(ROW(Leccion[SubSección]),ROW(Leccion[SubSección]))),ROW(DX44))),"")</f>
        <v/>
      </c>
      <c r="DZ45" s="51" t="str">
        <f t="array" aca="1" ref="DZ45" ca="1">IFERROR(INDEX(Leccion[selectorLeccion],SMALL(IF(DZ$1=Leccion[SubSección],MATCH(ROW(Leccion[SubSección]),ROW(Leccion[SubSección]))),ROW(DY44))),"")</f>
        <v/>
      </c>
      <c r="EA45" s="51" t="str">
        <f t="array" aca="1" ref="EA45" ca="1">IFERROR(INDEX(Leccion[selectorLeccion],SMALL(IF(EA$1=Leccion[SubSección],MATCH(ROW(Leccion[SubSección]),ROW(Leccion[SubSección]))),ROW(DZ44))),"")</f>
        <v/>
      </c>
      <c r="EB45" s="51" t="str">
        <f t="array" aca="1" ref="EB45" ca="1">IFERROR(INDEX(Leccion[selectorLeccion],SMALL(IF(EB$1=Leccion[SubSección],MATCH(ROW(Leccion[SubSección]),ROW(Leccion[SubSección]))),ROW(EA44))),"")</f>
        <v/>
      </c>
      <c r="EC45" s="51" t="str">
        <f t="array" aca="1" ref="EC45" ca="1">IFERROR(INDEX(Leccion[selectorLeccion],SMALL(IF(EC$1=Leccion[SubSección],MATCH(ROW(Leccion[SubSección]),ROW(Leccion[SubSección]))),ROW(EB44))),"")</f>
        <v/>
      </c>
      <c r="ED45" s="51" t="str">
        <f t="array" aca="1" ref="ED45" ca="1">IFERROR(INDEX(Leccion[selectorLeccion],SMALL(IF(ED$1=Leccion[SubSección],MATCH(ROW(Leccion[SubSección]),ROW(Leccion[SubSección]))),ROW(EC44))),"")</f>
        <v/>
      </c>
      <c r="EE45" s="51" t="str">
        <f t="array" aca="1" ref="EE45" ca="1">IFERROR(INDEX(Leccion[selectorLeccion],SMALL(IF(EE$1=Leccion[SubSección],MATCH(ROW(Leccion[SubSección]),ROW(Leccion[SubSección]))),ROW(ED44))),"")</f>
        <v/>
      </c>
      <c r="EF45" s="51" t="str">
        <f t="array" aca="1" ref="EF45" ca="1">IFERROR(INDEX(Leccion[selectorLeccion],SMALL(IF(EF$1=Leccion[SubSección],MATCH(ROW(Leccion[SubSección]),ROW(Leccion[SubSección]))),ROW(EE44))),"")</f>
        <v/>
      </c>
      <c r="EG45" s="51" t="str">
        <f t="array" aca="1" ref="EG45" ca="1">IFERROR(INDEX(Leccion[selectorLeccion],SMALL(IF(EG$1=Leccion[SubSección],MATCH(ROW(Leccion[SubSección]),ROW(Leccion[SubSección]))),ROW(EF44))),"")</f>
        <v/>
      </c>
      <c r="EH45" s="51" t="str">
        <f t="array" aca="1" ref="EH45" ca="1">IFERROR(INDEX(Leccion[selectorLeccion],SMALL(IF(EH$1=Leccion[SubSección],MATCH(ROW(Leccion[SubSección]),ROW(Leccion[SubSección]))),ROW(EG44))),"")</f>
        <v/>
      </c>
      <c r="EI45" s="51" t="str">
        <f t="array" aca="1" ref="EI45" ca="1">IFERROR(INDEX(Leccion[selectorLeccion],SMALL(IF(EI$1=Leccion[SubSección],MATCH(ROW(Leccion[SubSección]),ROW(Leccion[SubSección]))),ROW(EH44))),"")</f>
        <v/>
      </c>
      <c r="EJ45" s="51" t="str">
        <f t="array" aca="1" ref="EJ45" ca="1">IFERROR(INDEX(Leccion[selectorLeccion],SMALL(IF(EJ$1=Leccion[SubSección],MATCH(ROW(Leccion[SubSección]),ROW(Leccion[SubSección]))),ROW(EI44))),"")</f>
        <v/>
      </c>
      <c r="EK45" s="51" t="str">
        <f t="array" aca="1" ref="EK45" ca="1">IFERROR(INDEX(Leccion[selectorLeccion],SMALL(IF(EK$1=Leccion[SubSección],MATCH(ROW(Leccion[SubSección]),ROW(Leccion[SubSección]))),ROW(EJ44))),"")</f>
        <v/>
      </c>
      <c r="EL45" s="51" t="str">
        <f t="array" aca="1" ref="EL45" ca="1">IFERROR(INDEX(Leccion[selectorLeccion],SMALL(IF(EL$1=Leccion[SubSección],MATCH(ROW(Leccion[SubSección]),ROW(Leccion[SubSección]))),ROW(EK44))),"")</f>
        <v/>
      </c>
      <c r="EM45" s="51" t="str">
        <f t="array" aca="1" ref="EM45" ca="1">IFERROR(INDEX(Leccion[selectorLeccion],SMALL(IF(EM$1=Leccion[SubSección],MATCH(ROW(Leccion[SubSección]),ROW(Leccion[SubSección]))),ROW(EL44))),"")</f>
        <v/>
      </c>
      <c r="EN45" s="51" t="str">
        <f t="array" aca="1" ref="EN45" ca="1">IFERROR(INDEX(Leccion[selectorLeccion],SMALL(IF(EN$1=Leccion[SubSección],MATCH(ROW(Leccion[SubSección]),ROW(Leccion[SubSección]))),ROW(EM44))),"")</f>
        <v/>
      </c>
      <c r="EO45" s="51" t="str">
        <f t="array" aca="1" ref="EO45" ca="1">IFERROR(INDEX(Leccion[selectorLeccion],SMALL(IF(EO$1=Leccion[SubSección],MATCH(ROW(Leccion[SubSección]),ROW(Leccion[SubSección]))),ROW(EN44))),"")</f>
        <v/>
      </c>
      <c r="EP45" s="51" t="str">
        <f t="array" aca="1" ref="EP45" ca="1">IFERROR(INDEX(Leccion[selectorLeccion],SMALL(IF(EP$1=Leccion[SubSección],MATCH(ROW(Leccion[SubSección]),ROW(Leccion[SubSección]))),ROW(EO44))),"")</f>
        <v/>
      </c>
      <c r="EQ45" s="51" t="str">
        <f t="array" aca="1" ref="EQ45" ca="1">IFERROR(INDEX(Leccion[selectorLeccion],SMALL(IF(EQ$1=Leccion[SubSección],MATCH(ROW(Leccion[SubSección]),ROW(Leccion[SubSección]))),ROW(EP44))),"")</f>
        <v/>
      </c>
      <c r="ER45" s="51" t="str">
        <f t="array" aca="1" ref="ER45" ca="1">IFERROR(INDEX(Leccion[selectorLeccion],SMALL(IF(ER$1=Leccion[SubSección],MATCH(ROW(Leccion[SubSección]),ROW(Leccion[SubSección]))),ROW(EQ44))),"")</f>
        <v/>
      </c>
      <c r="ES45" s="51" t="str">
        <f t="array" aca="1" ref="ES45" ca="1">IFERROR(INDEX(Leccion[selectorLeccion],SMALL(IF(ES$1=Leccion[SubSección],MATCH(ROW(Leccion[SubSección]),ROW(Leccion[SubSección]))),ROW(ER44))),"")</f>
        <v/>
      </c>
      <c r="ET45" s="51" t="str">
        <f t="array" aca="1" ref="ET45" ca="1">IFERROR(INDEX(Leccion[selectorLeccion],SMALL(IF(ET$1=Leccion[SubSección],MATCH(ROW(Leccion[SubSección]),ROW(Leccion[SubSección]))),ROW(ES44))),"")</f>
        <v/>
      </c>
      <c r="EU45" s="51" t="str">
        <f t="array" aca="1" ref="EU45" ca="1">IFERROR(INDEX(Leccion[selectorLeccion],SMALL(IF(EU$1=Leccion[SubSección],MATCH(ROW(Leccion[SubSección]),ROW(Leccion[SubSección]))),ROW(ET44))),"")</f>
        <v/>
      </c>
      <c r="EV45" s="51" t="str">
        <f t="array" aca="1" ref="EV45" ca="1">IFERROR(INDEX(Leccion[selectorLeccion],SMALL(IF(EV$1=Leccion[SubSección],MATCH(ROW(Leccion[SubSección]),ROW(Leccion[SubSección]))),ROW(EU44))),"")</f>
        <v/>
      </c>
      <c r="EW45" s="51" t="str">
        <f t="array" aca="1" ref="EW45" ca="1">IFERROR(INDEX(Leccion[selectorLeccion],SMALL(IF(EW$1=Leccion[SubSección],MATCH(ROW(Leccion[SubSección]),ROW(Leccion[SubSección]))),ROW(EV44))),"")</f>
        <v/>
      </c>
      <c r="EX45" s="51" t="str">
        <f t="array" aca="1" ref="EX45" ca="1">IFERROR(INDEX(Leccion[selectorLeccion],SMALL(IF(EX$1=Leccion[SubSección],MATCH(ROW(Leccion[SubSección]),ROW(Leccion[SubSección]))),ROW(EW44))),"")</f>
        <v/>
      </c>
      <c r="EY45" s="51" t="str">
        <f t="array" aca="1" ref="EY45" ca="1">IFERROR(INDEX(Leccion[selectorLeccion],SMALL(IF(EY$1=Leccion[SubSección],MATCH(ROW(Leccion[SubSección]),ROW(Leccion[SubSección]))),ROW(EX44))),"")</f>
        <v/>
      </c>
      <c r="EZ45" s="51" t="str">
        <f t="array" aca="1" ref="EZ45" ca="1">IFERROR(INDEX(Leccion[selectorLeccion],SMALL(IF(EZ$1=Leccion[SubSección],MATCH(ROW(Leccion[SubSección]),ROW(Leccion[SubSección]))),ROW(EY44))),"")</f>
        <v/>
      </c>
    </row>
    <row r="46" spans="2:156" x14ac:dyDescent="0.3">
      <c r="B46" s="51" t="str">
        <f t="array" aca="1" ref="B46" ca="1">IFERROR(INDEX(Leccion[selectorLeccion],SMALL(IF(B$1=Leccion[SubSección],MATCH(ROW(Leccion[SubSección]),ROW(Leccion[SubSección]))),ROW(A45))),"")</f>
        <v/>
      </c>
      <c r="C46" s="51" t="str">
        <f t="array" aca="1" ref="C46" ca="1">IFERROR(INDEX(Leccion[selectorLeccion],SMALL(IF(C$1=Leccion[SubSección],MATCH(ROW(Leccion[SubSección]),ROW(Leccion[SubSección]))),ROW(B45))),"")</f>
        <v/>
      </c>
      <c r="D46" s="51" t="str">
        <f t="array" aca="1" ref="D46" ca="1">IFERROR(INDEX(Leccion[selectorLeccion],SMALL(IF(D$1=Leccion[SubSección],MATCH(ROW(Leccion[SubSección]),ROW(Leccion[SubSección]))),ROW(C45))),"")</f>
        <v/>
      </c>
      <c r="E46" s="51" t="str">
        <f t="array" aca="1" ref="E46" ca="1">IFERROR(INDEX(Leccion[selectorLeccion],SMALL(IF(E$1=Leccion[SubSección],MATCH(ROW(Leccion[SubSección]),ROW(Leccion[SubSección]))),ROW(D45))),"")</f>
        <v/>
      </c>
      <c r="F46" s="51" t="str">
        <f t="array" aca="1" ref="F46" ca="1">IFERROR(INDEX(Leccion[selectorLeccion],SMALL(IF(F$1=Leccion[SubSección],MATCH(ROW(Leccion[SubSección]),ROW(Leccion[SubSección]))),ROW(E45))),"")</f>
        <v/>
      </c>
      <c r="G46" s="51" t="str">
        <f t="array" aca="1" ref="G46" ca="1">IFERROR(INDEX(Leccion[selectorLeccion],SMALL(IF(G$1=Leccion[SubSección],MATCH(ROW(Leccion[SubSección]),ROW(Leccion[SubSección]))),ROW(F45))),"")</f>
        <v/>
      </c>
      <c r="H46" s="51" t="str">
        <f t="array" aca="1" ref="H46" ca="1">IFERROR(INDEX(Leccion[selectorLeccion],SMALL(IF(H$1=Leccion[SubSección],MATCH(ROW(Leccion[SubSección]),ROW(Leccion[SubSección]))),ROW(G45))),"")</f>
        <v/>
      </c>
      <c r="I46" s="51" t="str">
        <f t="array" aca="1" ref="I46" ca="1">IFERROR(INDEX(Leccion[selectorLeccion],SMALL(IF(I$1=Leccion[SubSección],MATCH(ROW(Leccion[SubSección]),ROW(Leccion[SubSección]))),ROW(H45))),"")</f>
        <v/>
      </c>
      <c r="J46" s="51" t="str">
        <f t="array" aca="1" ref="J46" ca="1">IFERROR(INDEX(Leccion[selectorLeccion],SMALL(IF(J$1=Leccion[SubSección],MATCH(ROW(Leccion[SubSección]),ROW(Leccion[SubSección]))),ROW(I45))),"")</f>
        <v/>
      </c>
      <c r="K46" s="51" t="str">
        <f t="array" aca="1" ref="K46" ca="1">IFERROR(INDEX(Leccion[selectorLeccion],SMALL(IF(K$1=Leccion[SubSección],MATCH(ROW(Leccion[SubSección]),ROW(Leccion[SubSección]))),ROW(J45))),"")</f>
        <v/>
      </c>
      <c r="L46" s="51" t="str">
        <f t="array" aca="1" ref="L46" ca="1">IFERROR(INDEX(Leccion[selectorLeccion],SMALL(IF(L$1=Leccion[SubSección],MATCH(ROW(Leccion[SubSección]),ROW(Leccion[SubSección]))),ROW(K45))),"")</f>
        <v/>
      </c>
      <c r="M46" s="51" t="str">
        <f t="array" aca="1" ref="M46" ca="1">IFERROR(INDEX(Leccion[selectorLeccion],SMALL(IF(M$1=Leccion[SubSección],MATCH(ROW(Leccion[SubSección]),ROW(Leccion[SubSección]))),ROW(L45))),"")</f>
        <v/>
      </c>
      <c r="N46" s="51" t="str">
        <f t="array" aca="1" ref="N46" ca="1">IFERROR(INDEX(Leccion[selectorLeccion],SMALL(IF(N$1=Leccion[SubSección],MATCH(ROW(Leccion[SubSección]),ROW(Leccion[SubSección]))),ROW(M45))),"")</f>
        <v/>
      </c>
      <c r="O46" s="51" t="str">
        <f t="array" aca="1" ref="O46" ca="1">IFERROR(INDEX(Leccion[selectorLeccion],SMALL(IF(O$1=Leccion[SubSección],MATCH(ROW(Leccion[SubSección]),ROW(Leccion[SubSección]))),ROW(N45))),"")</f>
        <v/>
      </c>
      <c r="P46" s="51" t="str">
        <f t="array" aca="1" ref="P46" ca="1">IFERROR(INDEX(Leccion[selectorLeccion],SMALL(IF(P$1=Leccion[SubSección],MATCH(ROW(Leccion[SubSección]),ROW(Leccion[SubSección]))),ROW(O45))),"")</f>
        <v/>
      </c>
      <c r="Q46" s="51" t="str">
        <f t="array" aca="1" ref="Q46" ca="1">IFERROR(INDEX(Leccion[selectorLeccion],SMALL(IF(Q$1=Leccion[SubSección],MATCH(ROW(Leccion[SubSección]),ROW(Leccion[SubSección]))),ROW(P45))),"")</f>
        <v/>
      </c>
      <c r="R46" s="51" t="str">
        <f t="array" aca="1" ref="R46" ca="1">IFERROR(INDEX(Leccion[selectorLeccion],SMALL(IF(R$1=Leccion[SubSección],MATCH(ROW(Leccion[SubSección]),ROW(Leccion[SubSección]))),ROW(Q45))),"")</f>
        <v/>
      </c>
      <c r="S46" s="51" t="str">
        <f t="array" aca="1" ref="S46" ca="1">IFERROR(INDEX(Leccion[selectorLeccion],SMALL(IF(S$1=Leccion[SubSección],MATCH(ROW(Leccion[SubSección]),ROW(Leccion[SubSección]))),ROW(R45))),"")</f>
        <v/>
      </c>
      <c r="T46" s="51" t="str">
        <f t="array" aca="1" ref="T46" ca="1">IFERROR(INDEX(Leccion[selectorLeccion],SMALL(IF(T$1=Leccion[SubSección],MATCH(ROW(Leccion[SubSección]),ROW(Leccion[SubSección]))),ROW(S45))),"")</f>
        <v/>
      </c>
      <c r="U46" s="51" t="str">
        <f t="array" aca="1" ref="U46" ca="1">IFERROR(INDEX(Leccion[selectorLeccion],SMALL(IF(U$1=Leccion[SubSección],MATCH(ROW(Leccion[SubSección]),ROW(Leccion[SubSección]))),ROW(T45))),"")</f>
        <v/>
      </c>
      <c r="V46" s="51" t="str">
        <f t="array" aca="1" ref="V46" ca="1">IFERROR(INDEX(Leccion[selectorLeccion],SMALL(IF(V$1=Leccion[SubSección],MATCH(ROW(Leccion[SubSección]),ROW(Leccion[SubSección]))),ROW(U45))),"")</f>
        <v/>
      </c>
      <c r="W46" s="51" t="str">
        <f t="array" aca="1" ref="W46" ca="1">IFERROR(INDEX(Leccion[selectorLeccion],SMALL(IF(W$1=Leccion[SubSección],MATCH(ROW(Leccion[SubSección]),ROW(Leccion[SubSección]))),ROW(V45))),"")</f>
        <v/>
      </c>
      <c r="X46" s="51" t="str">
        <f t="array" aca="1" ref="X46" ca="1">IFERROR(INDEX(Leccion[selectorLeccion],SMALL(IF(X$1=Leccion[SubSección],MATCH(ROW(Leccion[SubSección]),ROW(Leccion[SubSección]))),ROW(W45))),"")</f>
        <v/>
      </c>
      <c r="Y46" s="51" t="str">
        <f t="array" aca="1" ref="Y46" ca="1">IFERROR(INDEX(Leccion[selectorLeccion],SMALL(IF(Y$1=Leccion[SubSección],MATCH(ROW(Leccion[SubSección]),ROW(Leccion[SubSección]))),ROW(X45))),"")</f>
        <v/>
      </c>
      <c r="Z46" s="51" t="str">
        <f t="array" aca="1" ref="Z46" ca="1">IFERROR(INDEX(Leccion[selectorLeccion],SMALL(IF(Z$1=Leccion[SubSección],MATCH(ROW(Leccion[SubSección]),ROW(Leccion[SubSección]))),ROW(Y45))),"")</f>
        <v/>
      </c>
      <c r="AA46" s="51" t="str">
        <f t="array" aca="1" ref="AA46" ca="1">IFERROR(INDEX(Leccion[selectorLeccion],SMALL(IF(AA$1=Leccion[SubSección],MATCH(ROW(Leccion[SubSección]),ROW(Leccion[SubSección]))),ROW(Z45))),"")</f>
        <v/>
      </c>
      <c r="AB46" s="51" t="str">
        <f t="array" aca="1" ref="AB46" ca="1">IFERROR(INDEX(Leccion[selectorLeccion],SMALL(IF(AB$1=Leccion[SubSección],MATCH(ROW(Leccion[SubSección]),ROW(Leccion[SubSección]))),ROW(AA45))),"")</f>
        <v/>
      </c>
      <c r="AC46" s="51" t="str">
        <f t="array" aca="1" ref="AC46" ca="1">IFERROR(INDEX(Leccion[selectorLeccion],SMALL(IF(AC$1=Leccion[SubSección],MATCH(ROW(Leccion[SubSección]),ROW(Leccion[SubSección]))),ROW(AB45))),"")</f>
        <v/>
      </c>
      <c r="AD46" s="51" t="str">
        <f t="array" aca="1" ref="AD46" ca="1">IFERROR(INDEX(Leccion[selectorLeccion],SMALL(IF(AD$1=Leccion[SubSección],MATCH(ROW(Leccion[SubSección]),ROW(Leccion[SubSección]))),ROW(AC45))),"")</f>
        <v/>
      </c>
      <c r="AE46" s="51" t="str">
        <f t="array" aca="1" ref="AE46" ca="1">IFERROR(INDEX(Leccion[selectorLeccion],SMALL(IF(AE$1=Leccion[SubSección],MATCH(ROW(Leccion[SubSección]),ROW(Leccion[SubSección]))),ROW(AD45))),"")</f>
        <v/>
      </c>
      <c r="AF46" s="51" t="str">
        <f t="array" aca="1" ref="AF46" ca="1">IFERROR(INDEX(Leccion[selectorLeccion],SMALL(IF(AF$1=Leccion[SubSección],MATCH(ROW(Leccion[SubSección]),ROW(Leccion[SubSección]))),ROW(AE45))),"")</f>
        <v/>
      </c>
      <c r="AG46" s="51" t="str">
        <f t="array" aca="1" ref="AG46" ca="1">IFERROR(INDEX(Leccion[selectorLeccion],SMALL(IF(AG$1=Leccion[SubSección],MATCH(ROW(Leccion[SubSección]),ROW(Leccion[SubSección]))),ROW(AF45))),"")</f>
        <v/>
      </c>
      <c r="AH46" s="51" t="str">
        <f t="array" aca="1" ref="AH46" ca="1">IFERROR(INDEX(Leccion[selectorLeccion],SMALL(IF(AH$1=Leccion[SubSección],MATCH(ROW(Leccion[SubSección]),ROW(Leccion[SubSección]))),ROW(AG45))),"")</f>
        <v/>
      </c>
      <c r="AI46" s="51" t="str">
        <f t="array" aca="1" ref="AI46" ca="1">IFERROR(INDEX(Leccion[selectorLeccion],SMALL(IF(AI$1=Leccion[SubSección],MATCH(ROW(Leccion[SubSección]),ROW(Leccion[SubSección]))),ROW(AH45))),"")</f>
        <v/>
      </c>
      <c r="AJ46" s="51" t="str">
        <f t="array" aca="1" ref="AJ46" ca="1">IFERROR(INDEX(Leccion[selectorLeccion],SMALL(IF(AJ$1=Leccion[SubSección],MATCH(ROW(Leccion[SubSección]),ROW(Leccion[SubSección]))),ROW(AI45))),"")</f>
        <v/>
      </c>
      <c r="AK46" s="51" t="str">
        <f t="array" aca="1" ref="AK46" ca="1">IFERROR(INDEX(Leccion[selectorLeccion],SMALL(IF(AK$1=Leccion[SubSección],MATCH(ROW(Leccion[SubSección]),ROW(Leccion[SubSección]))),ROW(AJ45))),"")</f>
        <v/>
      </c>
      <c r="AL46" s="51" t="str">
        <f t="array" aca="1" ref="AL46" ca="1">IFERROR(INDEX(Leccion[selectorLeccion],SMALL(IF(AL$1=Leccion[SubSección],MATCH(ROW(Leccion[SubSección]),ROW(Leccion[SubSección]))),ROW(AK45))),"")</f>
        <v/>
      </c>
      <c r="AM46" s="51" t="str">
        <f t="array" aca="1" ref="AM46" ca="1">IFERROR(INDEX(Leccion[selectorLeccion],SMALL(IF(AM$1=Leccion[SubSección],MATCH(ROW(Leccion[SubSección]),ROW(Leccion[SubSección]))),ROW(AL45))),"")</f>
        <v/>
      </c>
      <c r="AN46" s="51" t="str">
        <f t="array" aca="1" ref="AN46" ca="1">IFERROR(INDEX(Leccion[selectorLeccion],SMALL(IF(AN$1=Leccion[SubSección],MATCH(ROW(Leccion[SubSección]),ROW(Leccion[SubSección]))),ROW(AM45))),"")</f>
        <v/>
      </c>
      <c r="AO46" s="51" t="str">
        <f t="array" aca="1" ref="AO46" ca="1">IFERROR(INDEX(Leccion[selectorLeccion],SMALL(IF(AO$1=Leccion[SubSección],MATCH(ROW(Leccion[SubSección]),ROW(Leccion[SubSección]))),ROW(AN45))),"")</f>
        <v/>
      </c>
      <c r="AP46" s="51" t="str">
        <f t="array" aca="1" ref="AP46" ca="1">IFERROR(INDEX(Leccion[selectorLeccion],SMALL(IF(AP$1=Leccion[SubSección],MATCH(ROW(Leccion[SubSección]),ROW(Leccion[SubSección]))),ROW(AO45))),"")</f>
        <v/>
      </c>
      <c r="AQ46" s="51" t="str">
        <f t="array" aca="1" ref="AQ46" ca="1">IFERROR(INDEX(Leccion[selectorLeccion],SMALL(IF(AQ$1=Leccion[SubSección],MATCH(ROW(Leccion[SubSección]),ROW(Leccion[SubSección]))),ROW(AP45))),"")</f>
        <v/>
      </c>
      <c r="AR46" s="51" t="str">
        <f t="array" aca="1" ref="AR46" ca="1">IFERROR(INDEX(Leccion[selectorLeccion],SMALL(IF(AR$1=Leccion[SubSección],MATCH(ROW(Leccion[SubSección]),ROW(Leccion[SubSección]))),ROW(AQ45))),"")</f>
        <v/>
      </c>
      <c r="AS46" s="51" t="str">
        <f t="array" aca="1" ref="AS46" ca="1">IFERROR(INDEX(Leccion[selectorLeccion],SMALL(IF(AS$1=Leccion[SubSección],MATCH(ROW(Leccion[SubSección]),ROW(Leccion[SubSección]))),ROW(AR45))),"")</f>
        <v/>
      </c>
      <c r="AT46" s="51" t="str">
        <f t="array" aca="1" ref="AT46" ca="1">IFERROR(INDEX(Leccion[selectorLeccion],SMALL(IF(AT$1=Leccion[SubSección],MATCH(ROW(Leccion[SubSección]),ROW(Leccion[SubSección]))),ROW(AS45))),"")</f>
        <v/>
      </c>
      <c r="AU46" s="51" t="str">
        <f t="array" aca="1" ref="AU46" ca="1">IFERROR(INDEX(Leccion[selectorLeccion],SMALL(IF(AU$1=Leccion[SubSección],MATCH(ROW(Leccion[SubSección]),ROW(Leccion[SubSección]))),ROW(AT45))),"")</f>
        <v/>
      </c>
      <c r="AV46" s="51" t="str">
        <f t="array" aca="1" ref="AV46" ca="1">IFERROR(INDEX(Leccion[selectorLeccion],SMALL(IF(AV$1=Leccion[SubSección],MATCH(ROW(Leccion[SubSección]),ROW(Leccion[SubSección]))),ROW(AU45))),"")</f>
        <v/>
      </c>
      <c r="AW46" s="51" t="str">
        <f t="array" aca="1" ref="AW46" ca="1">IFERROR(INDEX(Leccion[selectorLeccion],SMALL(IF(AW$1=Leccion[SubSección],MATCH(ROW(Leccion[SubSección]),ROW(Leccion[SubSección]))),ROW(AV45))),"")</f>
        <v/>
      </c>
      <c r="AX46" s="51" t="str">
        <f t="array" aca="1" ref="AX46" ca="1">IFERROR(INDEX(Leccion[selectorLeccion],SMALL(IF(AX$1=Leccion[SubSección],MATCH(ROW(Leccion[SubSección]),ROW(Leccion[SubSección]))),ROW(AW45))),"")</f>
        <v/>
      </c>
      <c r="AY46" s="51" t="str">
        <f t="array" aca="1" ref="AY46" ca="1">IFERROR(INDEX(Leccion[selectorLeccion],SMALL(IF(AY$1=Leccion[SubSección],MATCH(ROW(Leccion[SubSección]),ROW(Leccion[SubSección]))),ROW(AX45))),"")</f>
        <v/>
      </c>
      <c r="AZ46" s="51" t="str">
        <f t="array" aca="1" ref="AZ46" ca="1">IFERROR(INDEX(Leccion[selectorLeccion],SMALL(IF(AZ$1=Leccion[SubSección],MATCH(ROW(Leccion[SubSección]),ROW(Leccion[SubSección]))),ROW(AY45))),"")</f>
        <v/>
      </c>
      <c r="BA46" s="51" t="str">
        <f t="array" aca="1" ref="BA46" ca="1">IFERROR(INDEX(Leccion[selectorLeccion],SMALL(IF(BA$1=Leccion[SubSección],MATCH(ROW(Leccion[SubSección]),ROW(Leccion[SubSección]))),ROW(AZ45))),"")</f>
        <v/>
      </c>
      <c r="BB46" s="51" t="str">
        <f t="array" aca="1" ref="BB46" ca="1">IFERROR(INDEX(Leccion[selectorLeccion],SMALL(IF(BB$1=Leccion[SubSección],MATCH(ROW(Leccion[SubSección]),ROW(Leccion[SubSección]))),ROW(BA45))),"")</f>
        <v/>
      </c>
      <c r="BC46" s="51" t="str">
        <f t="array" aca="1" ref="BC46" ca="1">IFERROR(INDEX(Leccion[selectorLeccion],SMALL(IF(BC$1=Leccion[SubSección],MATCH(ROW(Leccion[SubSección]),ROW(Leccion[SubSección]))),ROW(BB45))),"")</f>
        <v/>
      </c>
      <c r="BD46" s="51" t="str">
        <f t="array" aca="1" ref="BD46" ca="1">IFERROR(INDEX(Leccion[selectorLeccion],SMALL(IF(BD$1=Leccion[SubSección],MATCH(ROW(Leccion[SubSección]),ROW(Leccion[SubSección]))),ROW(BC45))),"")</f>
        <v/>
      </c>
      <c r="BE46" s="51" t="str">
        <f t="array" aca="1" ref="BE46" ca="1">IFERROR(INDEX(Leccion[selectorLeccion],SMALL(IF(BE$1=Leccion[SubSección],MATCH(ROW(Leccion[SubSección]),ROW(Leccion[SubSección]))),ROW(BD45))),"")</f>
        <v/>
      </c>
      <c r="BF46" s="51" t="str">
        <f t="array" aca="1" ref="BF46" ca="1">IFERROR(INDEX(Leccion[selectorLeccion],SMALL(IF(BF$1=Leccion[SubSección],MATCH(ROW(Leccion[SubSección]),ROW(Leccion[SubSección]))),ROW(BE45))),"")</f>
        <v/>
      </c>
      <c r="BG46" s="51" t="str">
        <f t="array" aca="1" ref="BG46" ca="1">IFERROR(INDEX(Leccion[selectorLeccion],SMALL(IF(BG$1=Leccion[SubSección],MATCH(ROW(Leccion[SubSección]),ROW(Leccion[SubSección]))),ROW(BF45))),"")</f>
        <v/>
      </c>
      <c r="BH46" s="51" t="str">
        <f t="array" aca="1" ref="BH46" ca="1">IFERROR(INDEX(Leccion[selectorLeccion],SMALL(IF(BH$1=Leccion[SubSección],MATCH(ROW(Leccion[SubSección]),ROW(Leccion[SubSección]))),ROW(BG45))),"")</f>
        <v/>
      </c>
      <c r="BI46" s="51" t="str">
        <f t="array" aca="1" ref="BI46" ca="1">IFERROR(INDEX(Leccion[selectorLeccion],SMALL(IF(BI$1=Leccion[SubSección],MATCH(ROW(Leccion[SubSección]),ROW(Leccion[SubSección]))),ROW(BH45))),"")</f>
        <v/>
      </c>
      <c r="BJ46" s="51" t="str">
        <f t="array" aca="1" ref="BJ46" ca="1">IFERROR(INDEX(Leccion[selectorLeccion],SMALL(IF(BJ$1=Leccion[SubSección],MATCH(ROW(Leccion[SubSección]),ROW(Leccion[SubSección]))),ROW(BI45))),"")</f>
        <v/>
      </c>
      <c r="BK46" s="51" t="str">
        <f t="array" aca="1" ref="BK46" ca="1">IFERROR(INDEX(Leccion[selectorLeccion],SMALL(IF(BK$1=Leccion[SubSección],MATCH(ROW(Leccion[SubSección]),ROW(Leccion[SubSección]))),ROW(BJ45))),"")</f>
        <v/>
      </c>
      <c r="BL46" s="51" t="str">
        <f t="array" aca="1" ref="BL46" ca="1">IFERROR(INDEX(Leccion[selectorLeccion],SMALL(IF(BL$1=Leccion[SubSección],MATCH(ROW(Leccion[SubSección]),ROW(Leccion[SubSección]))),ROW(BK45))),"")</f>
        <v/>
      </c>
      <c r="BM46" s="51" t="str">
        <f t="array" aca="1" ref="BM46" ca="1">IFERROR(INDEX(Leccion[selectorLeccion],SMALL(IF(BM$1=Leccion[SubSección],MATCH(ROW(Leccion[SubSección]),ROW(Leccion[SubSección]))),ROW(BL45))),"")</f>
        <v/>
      </c>
      <c r="BN46" s="51" t="str">
        <f t="array" aca="1" ref="BN46" ca="1">IFERROR(INDEX(Leccion[selectorLeccion],SMALL(IF(BN$1=Leccion[SubSección],MATCH(ROW(Leccion[SubSección]),ROW(Leccion[SubSección]))),ROW(BM45))),"")</f>
        <v/>
      </c>
      <c r="BO46" s="51" t="str">
        <f t="array" aca="1" ref="BO46" ca="1">IFERROR(INDEX(Leccion[selectorLeccion],SMALL(IF(BO$1=Leccion[SubSección],MATCH(ROW(Leccion[SubSección]),ROW(Leccion[SubSección]))),ROW(BN45))),"")</f>
        <v/>
      </c>
      <c r="BP46" s="51" t="str">
        <f t="array" aca="1" ref="BP46" ca="1">IFERROR(INDEX(Leccion[selectorLeccion],SMALL(IF(BP$1=Leccion[SubSección],MATCH(ROW(Leccion[SubSección]),ROW(Leccion[SubSección]))),ROW(BO45))),"")</f>
        <v/>
      </c>
      <c r="BQ46" s="51" t="str">
        <f t="array" aca="1" ref="BQ46" ca="1">IFERROR(INDEX(Leccion[selectorLeccion],SMALL(IF(BQ$1=Leccion[SubSección],MATCH(ROW(Leccion[SubSección]),ROW(Leccion[SubSección]))),ROW(BP45))),"")</f>
        <v/>
      </c>
      <c r="BR46" s="51" t="str">
        <f t="array" aca="1" ref="BR46" ca="1">IFERROR(INDEX(Leccion[selectorLeccion],SMALL(IF(BR$1=Leccion[SubSección],MATCH(ROW(Leccion[SubSección]),ROW(Leccion[SubSección]))),ROW(BQ45))),"")</f>
        <v/>
      </c>
      <c r="BS46" s="51" t="str">
        <f t="array" aca="1" ref="BS46" ca="1">IFERROR(INDEX(Leccion[selectorLeccion],SMALL(IF(BS$1=Leccion[SubSección],MATCH(ROW(Leccion[SubSección]),ROW(Leccion[SubSección]))),ROW(BR45))),"")</f>
        <v/>
      </c>
      <c r="BT46" s="51" t="str">
        <f t="array" aca="1" ref="BT46" ca="1">IFERROR(INDEX(Leccion[selectorLeccion],SMALL(IF(BT$1=Leccion[SubSección],MATCH(ROW(Leccion[SubSección]),ROW(Leccion[SubSección]))),ROW(BS45))),"")</f>
        <v/>
      </c>
      <c r="BU46" s="51" t="str">
        <f t="array" aca="1" ref="BU46" ca="1">IFERROR(INDEX(Leccion[selectorLeccion],SMALL(IF(BU$1=Leccion[SubSección],MATCH(ROW(Leccion[SubSección]),ROW(Leccion[SubSección]))),ROW(BT45))),"")</f>
        <v/>
      </c>
      <c r="BV46" s="51" t="str">
        <f t="array" aca="1" ref="BV46" ca="1">IFERROR(INDEX(Leccion[selectorLeccion],SMALL(IF(BV$1=Leccion[SubSección],MATCH(ROW(Leccion[SubSección]),ROW(Leccion[SubSección]))),ROW(BU45))),"")</f>
        <v/>
      </c>
      <c r="BW46" s="51" t="str">
        <f t="array" aca="1" ref="BW46" ca="1">IFERROR(INDEX(Leccion[selectorLeccion],SMALL(IF(BW$1=Leccion[SubSección],MATCH(ROW(Leccion[SubSección]),ROW(Leccion[SubSección]))),ROW(BV45))),"")</f>
        <v/>
      </c>
      <c r="BX46" s="51" t="str">
        <f t="array" aca="1" ref="BX46" ca="1">IFERROR(INDEX(Leccion[selectorLeccion],SMALL(IF(BX$1=Leccion[SubSección],MATCH(ROW(Leccion[SubSección]),ROW(Leccion[SubSección]))),ROW(BW45))),"")</f>
        <v/>
      </c>
      <c r="BY46" s="51" t="str">
        <f t="array" aca="1" ref="BY46" ca="1">IFERROR(INDEX(Leccion[selectorLeccion],SMALL(IF(BY$1=Leccion[SubSección],MATCH(ROW(Leccion[SubSección]),ROW(Leccion[SubSección]))),ROW(BX45))),"")</f>
        <v/>
      </c>
      <c r="BZ46" s="51" t="str">
        <f t="array" aca="1" ref="BZ46" ca="1">IFERROR(INDEX(Leccion[selectorLeccion],SMALL(IF(BZ$1=Leccion[SubSección],MATCH(ROW(Leccion[SubSección]),ROW(Leccion[SubSección]))),ROW(BY45))),"")</f>
        <v/>
      </c>
      <c r="CA46" s="51" t="str">
        <f t="array" aca="1" ref="CA46" ca="1">IFERROR(INDEX(Leccion[selectorLeccion],SMALL(IF(CA$1=Leccion[SubSección],MATCH(ROW(Leccion[SubSección]),ROW(Leccion[SubSección]))),ROW(BZ45))),"")</f>
        <v/>
      </c>
      <c r="CB46" s="51" t="str">
        <f t="array" aca="1" ref="CB46" ca="1">IFERROR(INDEX(Leccion[selectorLeccion],SMALL(IF(CB$1=Leccion[SubSección],MATCH(ROW(Leccion[SubSección]),ROW(Leccion[SubSección]))),ROW(CA45))),"")</f>
        <v/>
      </c>
      <c r="CC46" s="51" t="str">
        <f t="array" aca="1" ref="CC46" ca="1">IFERROR(INDEX(Leccion[selectorLeccion],SMALL(IF(CC$1=Leccion[SubSección],MATCH(ROW(Leccion[SubSección]),ROW(Leccion[SubSección]))),ROW(CB45))),"")</f>
        <v/>
      </c>
      <c r="CD46" s="51" t="str">
        <f t="array" aca="1" ref="CD46" ca="1">IFERROR(INDEX(Leccion[selectorLeccion],SMALL(IF(CD$1=Leccion[SubSección],MATCH(ROW(Leccion[SubSección]),ROW(Leccion[SubSección]))),ROW(CC45))),"")</f>
        <v/>
      </c>
      <c r="CE46" s="51" t="str">
        <f t="array" aca="1" ref="CE46" ca="1">IFERROR(INDEX(Leccion[selectorLeccion],SMALL(IF(CE$1=Leccion[SubSección],MATCH(ROW(Leccion[SubSección]),ROW(Leccion[SubSección]))),ROW(CD45))),"")</f>
        <v/>
      </c>
      <c r="CF46" s="51" t="str">
        <f t="array" aca="1" ref="CF46" ca="1">IFERROR(INDEX(Leccion[selectorLeccion],SMALL(IF(CF$1=Leccion[SubSección],MATCH(ROW(Leccion[SubSección]),ROW(Leccion[SubSección]))),ROW(CE45))),"")</f>
        <v/>
      </c>
      <c r="CG46" s="51" t="str">
        <f t="array" aca="1" ref="CG46" ca="1">IFERROR(INDEX(Leccion[selectorLeccion],SMALL(IF(CG$1=Leccion[SubSección],MATCH(ROW(Leccion[SubSección]),ROW(Leccion[SubSección]))),ROW(CF45))),"")</f>
        <v/>
      </c>
      <c r="CH46" s="51" t="str">
        <f t="array" aca="1" ref="CH46" ca="1">IFERROR(INDEX(Leccion[selectorLeccion],SMALL(IF(CH$1=Leccion[SubSección],MATCH(ROW(Leccion[SubSección]),ROW(Leccion[SubSección]))),ROW(CG45))),"")</f>
        <v/>
      </c>
      <c r="CI46" s="51" t="str">
        <f t="array" aca="1" ref="CI46" ca="1">IFERROR(INDEX(Leccion[selectorLeccion],SMALL(IF(CI$1=Leccion[SubSección],MATCH(ROW(Leccion[SubSección]),ROW(Leccion[SubSección]))),ROW(CH45))),"")</f>
        <v/>
      </c>
      <c r="CJ46" s="51" t="str">
        <f t="array" aca="1" ref="CJ46" ca="1">IFERROR(INDEX(Leccion[selectorLeccion],SMALL(IF(CJ$1=Leccion[SubSección],MATCH(ROW(Leccion[SubSección]),ROW(Leccion[SubSección]))),ROW(CI45))),"")</f>
        <v/>
      </c>
      <c r="CK46" s="51" t="str">
        <f t="array" aca="1" ref="CK46" ca="1">IFERROR(INDEX(Leccion[selectorLeccion],SMALL(IF(CK$1=Leccion[SubSección],MATCH(ROW(Leccion[SubSección]),ROW(Leccion[SubSección]))),ROW(CJ45))),"")</f>
        <v/>
      </c>
      <c r="CL46" s="51" t="str">
        <f t="array" aca="1" ref="CL46" ca="1">IFERROR(INDEX(Leccion[selectorLeccion],SMALL(IF(CL$1=Leccion[SubSección],MATCH(ROW(Leccion[SubSección]),ROW(Leccion[SubSección]))),ROW(CK45))),"")</f>
        <v/>
      </c>
      <c r="CM46" s="51" t="str">
        <f t="array" aca="1" ref="CM46" ca="1">IFERROR(INDEX(Leccion[selectorLeccion],SMALL(IF(CM$1=Leccion[SubSección],MATCH(ROW(Leccion[SubSección]),ROW(Leccion[SubSección]))),ROW(CL45))),"")</f>
        <v/>
      </c>
      <c r="CN46" s="51" t="str">
        <f t="array" aca="1" ref="CN46" ca="1">IFERROR(INDEX(Leccion[selectorLeccion],SMALL(IF(CN$1=Leccion[SubSección],MATCH(ROW(Leccion[SubSección]),ROW(Leccion[SubSección]))),ROW(CM45))),"")</f>
        <v/>
      </c>
      <c r="CO46" s="51" t="str">
        <f t="array" aca="1" ref="CO46" ca="1">IFERROR(INDEX(Leccion[selectorLeccion],SMALL(IF(CO$1=Leccion[SubSección],MATCH(ROW(Leccion[SubSección]),ROW(Leccion[SubSección]))),ROW(CN45))),"")</f>
        <v/>
      </c>
      <c r="CP46" s="51" t="str">
        <f t="array" aca="1" ref="CP46" ca="1">IFERROR(INDEX(Leccion[selectorLeccion],SMALL(IF(CP$1=Leccion[SubSección],MATCH(ROW(Leccion[SubSección]),ROW(Leccion[SubSección]))),ROW(CO45))),"")</f>
        <v/>
      </c>
      <c r="CQ46" s="51" t="str">
        <f t="array" aca="1" ref="CQ46" ca="1">IFERROR(INDEX(Leccion[selectorLeccion],SMALL(IF(CQ$1=Leccion[SubSección],MATCH(ROW(Leccion[SubSección]),ROW(Leccion[SubSección]))),ROW(CP45))),"")</f>
        <v/>
      </c>
      <c r="CR46" s="51" t="str">
        <f t="array" aca="1" ref="CR46" ca="1">IFERROR(INDEX(Leccion[selectorLeccion],SMALL(IF(CR$1=Leccion[SubSección],MATCH(ROW(Leccion[SubSección]),ROW(Leccion[SubSección]))),ROW(CQ45))),"")</f>
        <v/>
      </c>
      <c r="CS46" s="51" t="str">
        <f t="array" aca="1" ref="CS46" ca="1">IFERROR(INDEX(Leccion[selectorLeccion],SMALL(IF(CS$1=Leccion[SubSección],MATCH(ROW(Leccion[SubSección]),ROW(Leccion[SubSección]))),ROW(CR45))),"")</f>
        <v/>
      </c>
      <c r="CT46" s="51" t="str">
        <f t="array" aca="1" ref="CT46" ca="1">IFERROR(INDEX(Leccion[selectorLeccion],SMALL(IF(CT$1=Leccion[SubSección],MATCH(ROW(Leccion[SubSección]),ROW(Leccion[SubSección]))),ROW(CS45))),"")</f>
        <v/>
      </c>
      <c r="CU46" s="51" t="str">
        <f t="array" aca="1" ref="CU46" ca="1">IFERROR(INDEX(Leccion[selectorLeccion],SMALL(IF(CU$1=Leccion[SubSección],MATCH(ROW(Leccion[SubSección]),ROW(Leccion[SubSección]))),ROW(CT45))),"")</f>
        <v/>
      </c>
      <c r="CV46" s="51" t="str">
        <f t="array" aca="1" ref="CV46" ca="1">IFERROR(INDEX(Leccion[selectorLeccion],SMALL(IF(CV$1=Leccion[SubSección],MATCH(ROW(Leccion[SubSección]),ROW(Leccion[SubSección]))),ROW(CU45))),"")</f>
        <v/>
      </c>
      <c r="CW46" s="51" t="str">
        <f t="array" aca="1" ref="CW46" ca="1">IFERROR(INDEX(Leccion[selectorLeccion],SMALL(IF(CW$1=Leccion[SubSección],MATCH(ROW(Leccion[SubSección]),ROW(Leccion[SubSección]))),ROW(CV45))),"")</f>
        <v/>
      </c>
      <c r="CX46" s="51" t="str">
        <f t="array" aca="1" ref="CX46" ca="1">IFERROR(INDEX(Leccion[selectorLeccion],SMALL(IF(CX$1=Leccion[SubSección],MATCH(ROW(Leccion[SubSección]),ROW(Leccion[SubSección]))),ROW(CW45))),"")</f>
        <v/>
      </c>
      <c r="CY46" s="51" t="str">
        <f t="array" aca="1" ref="CY46" ca="1">IFERROR(INDEX(Leccion[selectorLeccion],SMALL(IF(CY$1=Leccion[SubSección],MATCH(ROW(Leccion[SubSección]),ROW(Leccion[SubSección]))),ROW(CX45))),"")</f>
        <v/>
      </c>
      <c r="CZ46" s="51" t="str">
        <f t="array" aca="1" ref="CZ46" ca="1">IFERROR(INDEX(Leccion[selectorLeccion],SMALL(IF(CZ$1=Leccion[SubSección],MATCH(ROW(Leccion[SubSección]),ROW(Leccion[SubSección]))),ROW(CY45))),"")</f>
        <v/>
      </c>
      <c r="DA46" s="51" t="str">
        <f t="array" aca="1" ref="DA46" ca="1">IFERROR(INDEX(Leccion[selectorLeccion],SMALL(IF(DA$1=Leccion[SubSección],MATCH(ROW(Leccion[SubSección]),ROW(Leccion[SubSección]))),ROW(CZ45))),"")</f>
        <v/>
      </c>
      <c r="DB46" s="51" t="str">
        <f t="array" aca="1" ref="DB46" ca="1">IFERROR(INDEX(Leccion[selectorLeccion],SMALL(IF(DB$1=Leccion[SubSección],MATCH(ROW(Leccion[SubSección]),ROW(Leccion[SubSección]))),ROW(DA45))),"")</f>
        <v/>
      </c>
      <c r="DC46" s="51" t="str">
        <f t="array" aca="1" ref="DC46" ca="1">IFERROR(INDEX(Leccion[selectorLeccion],SMALL(IF(DC$1=Leccion[SubSección],MATCH(ROW(Leccion[SubSección]),ROW(Leccion[SubSección]))),ROW(DB45))),"")</f>
        <v/>
      </c>
      <c r="DD46" s="51" t="str">
        <f t="array" aca="1" ref="DD46" ca="1">IFERROR(INDEX(Leccion[selectorLeccion],SMALL(IF(DD$1=Leccion[SubSección],MATCH(ROW(Leccion[SubSección]),ROW(Leccion[SubSección]))),ROW(DC45))),"")</f>
        <v/>
      </c>
      <c r="DE46" s="51" t="str">
        <f t="array" aca="1" ref="DE46" ca="1">IFERROR(INDEX(Leccion[selectorLeccion],SMALL(IF(DE$1=Leccion[SubSección],MATCH(ROW(Leccion[SubSección]),ROW(Leccion[SubSección]))),ROW(DD45))),"")</f>
        <v/>
      </c>
      <c r="DF46" s="51" t="str">
        <f t="array" aca="1" ref="DF46" ca="1">IFERROR(INDEX(Leccion[selectorLeccion],SMALL(IF(DF$1=Leccion[SubSección],MATCH(ROW(Leccion[SubSección]),ROW(Leccion[SubSección]))),ROW(DE45))),"")</f>
        <v/>
      </c>
      <c r="DG46" s="51" t="str">
        <f t="array" aca="1" ref="DG46" ca="1">IFERROR(INDEX(Leccion[selectorLeccion],SMALL(IF(DG$1=Leccion[SubSección],MATCH(ROW(Leccion[SubSección]),ROW(Leccion[SubSección]))),ROW(DF45))),"")</f>
        <v/>
      </c>
      <c r="DH46" s="51" t="str">
        <f t="array" aca="1" ref="DH46" ca="1">IFERROR(INDEX(Leccion[selectorLeccion],SMALL(IF(DH$1=Leccion[SubSección],MATCH(ROW(Leccion[SubSección]),ROW(Leccion[SubSección]))),ROW(DG45))),"")</f>
        <v/>
      </c>
      <c r="DI46" s="51" t="str">
        <f t="array" aca="1" ref="DI46" ca="1">IFERROR(INDEX(Leccion[selectorLeccion],SMALL(IF(DI$1=Leccion[SubSección],MATCH(ROW(Leccion[SubSección]),ROW(Leccion[SubSección]))),ROW(DH45))),"")</f>
        <v/>
      </c>
      <c r="DJ46" s="51" t="str">
        <f t="array" aca="1" ref="DJ46" ca="1">IFERROR(INDEX(Leccion[selectorLeccion],SMALL(IF(DJ$1=Leccion[SubSección],MATCH(ROW(Leccion[SubSección]),ROW(Leccion[SubSección]))),ROW(DI45))),"")</f>
        <v/>
      </c>
      <c r="DK46" s="51" t="str">
        <f t="array" aca="1" ref="DK46" ca="1">IFERROR(INDEX(Leccion[selectorLeccion],SMALL(IF(DK$1=Leccion[SubSección],MATCH(ROW(Leccion[SubSección]),ROW(Leccion[SubSección]))),ROW(DJ45))),"")</f>
        <v/>
      </c>
      <c r="DL46" s="51" t="str">
        <f t="array" aca="1" ref="DL46" ca="1">IFERROR(INDEX(Leccion[selectorLeccion],SMALL(IF(DL$1=Leccion[SubSección],MATCH(ROW(Leccion[SubSección]),ROW(Leccion[SubSección]))),ROW(DK45))),"")</f>
        <v/>
      </c>
      <c r="DM46" s="51" t="str">
        <f t="array" aca="1" ref="DM46" ca="1">IFERROR(INDEX(Leccion[selectorLeccion],SMALL(IF(DM$1=Leccion[SubSección],MATCH(ROW(Leccion[SubSección]),ROW(Leccion[SubSección]))),ROW(DL45))),"")</f>
        <v/>
      </c>
      <c r="DN46" s="51" t="str">
        <f t="array" aca="1" ref="DN46" ca="1">IFERROR(INDEX(Leccion[selectorLeccion],SMALL(IF(DN$1=Leccion[SubSección],MATCH(ROW(Leccion[SubSección]),ROW(Leccion[SubSección]))),ROW(DM45))),"")</f>
        <v/>
      </c>
      <c r="DO46" s="51" t="str">
        <f t="array" aca="1" ref="DO46" ca="1">IFERROR(INDEX(Leccion[selectorLeccion],SMALL(IF(DO$1=Leccion[SubSección],MATCH(ROW(Leccion[SubSección]),ROW(Leccion[SubSección]))),ROW(DN45))),"")</f>
        <v/>
      </c>
      <c r="DP46" s="51" t="str">
        <f t="array" aca="1" ref="DP46" ca="1">IFERROR(INDEX(Leccion[selectorLeccion],SMALL(IF(DP$1=Leccion[SubSección],MATCH(ROW(Leccion[SubSección]),ROW(Leccion[SubSección]))),ROW(DO45))),"")</f>
        <v/>
      </c>
      <c r="DQ46" s="51" t="str">
        <f t="array" aca="1" ref="DQ46" ca="1">IFERROR(INDEX(Leccion[selectorLeccion],SMALL(IF(DQ$1=Leccion[SubSección],MATCH(ROW(Leccion[SubSección]),ROW(Leccion[SubSección]))),ROW(DP45))),"")</f>
        <v/>
      </c>
      <c r="DR46" s="51" t="str">
        <f t="array" aca="1" ref="DR46" ca="1">IFERROR(INDEX(Leccion[selectorLeccion],SMALL(IF(DR$1=Leccion[SubSección],MATCH(ROW(Leccion[SubSección]),ROW(Leccion[SubSección]))),ROW(DQ45))),"")</f>
        <v/>
      </c>
      <c r="DS46" s="51" t="str">
        <f t="array" aca="1" ref="DS46" ca="1">IFERROR(INDEX(Leccion[selectorLeccion],SMALL(IF(DS$1=Leccion[SubSección],MATCH(ROW(Leccion[SubSección]),ROW(Leccion[SubSección]))),ROW(DR45))),"")</f>
        <v/>
      </c>
      <c r="DT46" s="51" t="str">
        <f t="array" aca="1" ref="DT46" ca="1">IFERROR(INDEX(Leccion[selectorLeccion],SMALL(IF(DT$1=Leccion[SubSección],MATCH(ROW(Leccion[SubSección]),ROW(Leccion[SubSección]))),ROW(DS45))),"")</f>
        <v/>
      </c>
      <c r="DU46" s="51" t="str">
        <f t="array" aca="1" ref="DU46" ca="1">IFERROR(INDEX(Leccion[selectorLeccion],SMALL(IF(DU$1=Leccion[SubSección],MATCH(ROW(Leccion[SubSección]),ROW(Leccion[SubSección]))),ROW(DT45))),"")</f>
        <v/>
      </c>
      <c r="DV46" s="51" t="str">
        <f t="array" aca="1" ref="DV46" ca="1">IFERROR(INDEX(Leccion[selectorLeccion],SMALL(IF(DV$1=Leccion[SubSección],MATCH(ROW(Leccion[SubSección]),ROW(Leccion[SubSección]))),ROW(DU45))),"")</f>
        <v/>
      </c>
      <c r="DW46" s="51" t="str">
        <f t="array" aca="1" ref="DW46" ca="1">IFERROR(INDEX(Leccion[selectorLeccion],SMALL(IF(DW$1=Leccion[SubSección],MATCH(ROW(Leccion[SubSección]),ROW(Leccion[SubSección]))),ROW(DV45))),"")</f>
        <v/>
      </c>
      <c r="DX46" s="51" t="str">
        <f t="array" aca="1" ref="DX46" ca="1">IFERROR(INDEX(Leccion[selectorLeccion],SMALL(IF(DX$1=Leccion[SubSección],MATCH(ROW(Leccion[SubSección]),ROW(Leccion[SubSección]))),ROW(DW45))),"")</f>
        <v/>
      </c>
      <c r="DY46" s="51" t="str">
        <f t="array" aca="1" ref="DY46" ca="1">IFERROR(INDEX(Leccion[selectorLeccion],SMALL(IF(DY$1=Leccion[SubSección],MATCH(ROW(Leccion[SubSección]),ROW(Leccion[SubSección]))),ROW(DX45))),"")</f>
        <v/>
      </c>
      <c r="DZ46" s="51" t="str">
        <f t="array" aca="1" ref="DZ46" ca="1">IFERROR(INDEX(Leccion[selectorLeccion],SMALL(IF(DZ$1=Leccion[SubSección],MATCH(ROW(Leccion[SubSección]),ROW(Leccion[SubSección]))),ROW(DY45))),"")</f>
        <v/>
      </c>
      <c r="EA46" s="51" t="str">
        <f t="array" aca="1" ref="EA46" ca="1">IFERROR(INDEX(Leccion[selectorLeccion],SMALL(IF(EA$1=Leccion[SubSección],MATCH(ROW(Leccion[SubSección]),ROW(Leccion[SubSección]))),ROW(DZ45))),"")</f>
        <v/>
      </c>
      <c r="EB46" s="51" t="str">
        <f t="array" aca="1" ref="EB46" ca="1">IFERROR(INDEX(Leccion[selectorLeccion],SMALL(IF(EB$1=Leccion[SubSección],MATCH(ROW(Leccion[SubSección]),ROW(Leccion[SubSección]))),ROW(EA45))),"")</f>
        <v/>
      </c>
      <c r="EC46" s="51" t="str">
        <f t="array" aca="1" ref="EC46" ca="1">IFERROR(INDEX(Leccion[selectorLeccion],SMALL(IF(EC$1=Leccion[SubSección],MATCH(ROW(Leccion[SubSección]),ROW(Leccion[SubSección]))),ROW(EB45))),"")</f>
        <v/>
      </c>
      <c r="ED46" s="51" t="str">
        <f t="array" aca="1" ref="ED46" ca="1">IFERROR(INDEX(Leccion[selectorLeccion],SMALL(IF(ED$1=Leccion[SubSección],MATCH(ROW(Leccion[SubSección]),ROW(Leccion[SubSección]))),ROW(EC45))),"")</f>
        <v/>
      </c>
      <c r="EE46" s="51" t="str">
        <f t="array" aca="1" ref="EE46" ca="1">IFERROR(INDEX(Leccion[selectorLeccion],SMALL(IF(EE$1=Leccion[SubSección],MATCH(ROW(Leccion[SubSección]),ROW(Leccion[SubSección]))),ROW(ED45))),"")</f>
        <v/>
      </c>
      <c r="EF46" s="51" t="str">
        <f t="array" aca="1" ref="EF46" ca="1">IFERROR(INDEX(Leccion[selectorLeccion],SMALL(IF(EF$1=Leccion[SubSección],MATCH(ROW(Leccion[SubSección]),ROW(Leccion[SubSección]))),ROW(EE45))),"")</f>
        <v/>
      </c>
      <c r="EG46" s="51" t="str">
        <f t="array" aca="1" ref="EG46" ca="1">IFERROR(INDEX(Leccion[selectorLeccion],SMALL(IF(EG$1=Leccion[SubSección],MATCH(ROW(Leccion[SubSección]),ROW(Leccion[SubSección]))),ROW(EF45))),"")</f>
        <v/>
      </c>
      <c r="EH46" s="51" t="str">
        <f t="array" aca="1" ref="EH46" ca="1">IFERROR(INDEX(Leccion[selectorLeccion],SMALL(IF(EH$1=Leccion[SubSección],MATCH(ROW(Leccion[SubSección]),ROW(Leccion[SubSección]))),ROW(EG45))),"")</f>
        <v/>
      </c>
      <c r="EI46" s="51" t="str">
        <f t="array" aca="1" ref="EI46" ca="1">IFERROR(INDEX(Leccion[selectorLeccion],SMALL(IF(EI$1=Leccion[SubSección],MATCH(ROW(Leccion[SubSección]),ROW(Leccion[SubSección]))),ROW(EH45))),"")</f>
        <v/>
      </c>
      <c r="EJ46" s="51" t="str">
        <f t="array" aca="1" ref="EJ46" ca="1">IFERROR(INDEX(Leccion[selectorLeccion],SMALL(IF(EJ$1=Leccion[SubSección],MATCH(ROW(Leccion[SubSección]),ROW(Leccion[SubSección]))),ROW(EI45))),"")</f>
        <v/>
      </c>
      <c r="EK46" s="51" t="str">
        <f t="array" aca="1" ref="EK46" ca="1">IFERROR(INDEX(Leccion[selectorLeccion],SMALL(IF(EK$1=Leccion[SubSección],MATCH(ROW(Leccion[SubSección]),ROW(Leccion[SubSección]))),ROW(EJ45))),"")</f>
        <v/>
      </c>
      <c r="EL46" s="51" t="str">
        <f t="array" aca="1" ref="EL46" ca="1">IFERROR(INDEX(Leccion[selectorLeccion],SMALL(IF(EL$1=Leccion[SubSección],MATCH(ROW(Leccion[SubSección]),ROW(Leccion[SubSección]))),ROW(EK45))),"")</f>
        <v/>
      </c>
      <c r="EM46" s="51" t="str">
        <f t="array" aca="1" ref="EM46" ca="1">IFERROR(INDEX(Leccion[selectorLeccion],SMALL(IF(EM$1=Leccion[SubSección],MATCH(ROW(Leccion[SubSección]),ROW(Leccion[SubSección]))),ROW(EL45))),"")</f>
        <v/>
      </c>
      <c r="EN46" s="51" t="str">
        <f t="array" aca="1" ref="EN46" ca="1">IFERROR(INDEX(Leccion[selectorLeccion],SMALL(IF(EN$1=Leccion[SubSección],MATCH(ROW(Leccion[SubSección]),ROW(Leccion[SubSección]))),ROW(EM45))),"")</f>
        <v/>
      </c>
      <c r="EO46" s="51" t="str">
        <f t="array" aca="1" ref="EO46" ca="1">IFERROR(INDEX(Leccion[selectorLeccion],SMALL(IF(EO$1=Leccion[SubSección],MATCH(ROW(Leccion[SubSección]),ROW(Leccion[SubSección]))),ROW(EN45))),"")</f>
        <v/>
      </c>
      <c r="EP46" s="51" t="str">
        <f t="array" aca="1" ref="EP46" ca="1">IFERROR(INDEX(Leccion[selectorLeccion],SMALL(IF(EP$1=Leccion[SubSección],MATCH(ROW(Leccion[SubSección]),ROW(Leccion[SubSección]))),ROW(EO45))),"")</f>
        <v/>
      </c>
      <c r="EQ46" s="51" t="str">
        <f t="array" aca="1" ref="EQ46" ca="1">IFERROR(INDEX(Leccion[selectorLeccion],SMALL(IF(EQ$1=Leccion[SubSección],MATCH(ROW(Leccion[SubSección]),ROW(Leccion[SubSección]))),ROW(EP45))),"")</f>
        <v/>
      </c>
      <c r="ER46" s="51" t="str">
        <f t="array" aca="1" ref="ER46" ca="1">IFERROR(INDEX(Leccion[selectorLeccion],SMALL(IF(ER$1=Leccion[SubSección],MATCH(ROW(Leccion[SubSección]),ROW(Leccion[SubSección]))),ROW(EQ45))),"")</f>
        <v/>
      </c>
      <c r="ES46" s="51" t="str">
        <f t="array" aca="1" ref="ES46" ca="1">IFERROR(INDEX(Leccion[selectorLeccion],SMALL(IF(ES$1=Leccion[SubSección],MATCH(ROW(Leccion[SubSección]),ROW(Leccion[SubSección]))),ROW(ER45))),"")</f>
        <v/>
      </c>
      <c r="ET46" s="51" t="str">
        <f t="array" aca="1" ref="ET46" ca="1">IFERROR(INDEX(Leccion[selectorLeccion],SMALL(IF(ET$1=Leccion[SubSección],MATCH(ROW(Leccion[SubSección]),ROW(Leccion[SubSección]))),ROW(ES45))),"")</f>
        <v/>
      </c>
      <c r="EU46" s="51" t="str">
        <f t="array" aca="1" ref="EU46" ca="1">IFERROR(INDEX(Leccion[selectorLeccion],SMALL(IF(EU$1=Leccion[SubSección],MATCH(ROW(Leccion[SubSección]),ROW(Leccion[SubSección]))),ROW(ET45))),"")</f>
        <v/>
      </c>
      <c r="EV46" s="51" t="str">
        <f t="array" aca="1" ref="EV46" ca="1">IFERROR(INDEX(Leccion[selectorLeccion],SMALL(IF(EV$1=Leccion[SubSección],MATCH(ROW(Leccion[SubSección]),ROW(Leccion[SubSección]))),ROW(EU45))),"")</f>
        <v/>
      </c>
      <c r="EW46" s="51" t="str">
        <f t="array" aca="1" ref="EW46" ca="1">IFERROR(INDEX(Leccion[selectorLeccion],SMALL(IF(EW$1=Leccion[SubSección],MATCH(ROW(Leccion[SubSección]),ROW(Leccion[SubSección]))),ROW(EV45))),"")</f>
        <v/>
      </c>
      <c r="EX46" s="51" t="str">
        <f t="array" aca="1" ref="EX46" ca="1">IFERROR(INDEX(Leccion[selectorLeccion],SMALL(IF(EX$1=Leccion[SubSección],MATCH(ROW(Leccion[SubSección]),ROW(Leccion[SubSección]))),ROW(EW45))),"")</f>
        <v/>
      </c>
      <c r="EY46" s="51" t="str">
        <f t="array" aca="1" ref="EY46" ca="1">IFERROR(INDEX(Leccion[selectorLeccion],SMALL(IF(EY$1=Leccion[SubSección],MATCH(ROW(Leccion[SubSección]),ROW(Leccion[SubSección]))),ROW(EX45))),"")</f>
        <v/>
      </c>
      <c r="EZ46" s="51" t="str">
        <f t="array" aca="1" ref="EZ46" ca="1">IFERROR(INDEX(Leccion[selectorLeccion],SMALL(IF(EZ$1=Leccion[SubSección],MATCH(ROW(Leccion[SubSección]),ROW(Leccion[SubSección]))),ROW(EY45))),"")</f>
        <v/>
      </c>
    </row>
    <row r="47" spans="2:156" x14ac:dyDescent="0.3">
      <c r="B47" s="51" t="str">
        <f t="array" aca="1" ref="B47" ca="1">IFERROR(INDEX(Leccion[selectorLeccion],SMALL(IF(B$1=Leccion[SubSección],MATCH(ROW(Leccion[SubSección]),ROW(Leccion[SubSección]))),ROW(A46))),"")</f>
        <v/>
      </c>
      <c r="C47" s="51" t="str">
        <f t="array" aca="1" ref="C47" ca="1">IFERROR(INDEX(Leccion[selectorLeccion],SMALL(IF(C$1=Leccion[SubSección],MATCH(ROW(Leccion[SubSección]),ROW(Leccion[SubSección]))),ROW(B46))),"")</f>
        <v/>
      </c>
      <c r="D47" s="51" t="str">
        <f t="array" aca="1" ref="D47" ca="1">IFERROR(INDEX(Leccion[selectorLeccion],SMALL(IF(D$1=Leccion[SubSección],MATCH(ROW(Leccion[SubSección]),ROW(Leccion[SubSección]))),ROW(C46))),"")</f>
        <v/>
      </c>
      <c r="E47" s="51" t="str">
        <f t="array" aca="1" ref="E47" ca="1">IFERROR(INDEX(Leccion[selectorLeccion],SMALL(IF(E$1=Leccion[SubSección],MATCH(ROW(Leccion[SubSección]),ROW(Leccion[SubSección]))),ROW(D46))),"")</f>
        <v/>
      </c>
      <c r="F47" s="51" t="str">
        <f t="array" aca="1" ref="F47" ca="1">IFERROR(INDEX(Leccion[selectorLeccion],SMALL(IF(F$1=Leccion[SubSección],MATCH(ROW(Leccion[SubSección]),ROW(Leccion[SubSección]))),ROW(E46))),"")</f>
        <v/>
      </c>
      <c r="G47" s="51" t="str">
        <f t="array" aca="1" ref="G47" ca="1">IFERROR(INDEX(Leccion[selectorLeccion],SMALL(IF(G$1=Leccion[SubSección],MATCH(ROW(Leccion[SubSección]),ROW(Leccion[SubSección]))),ROW(F46))),"")</f>
        <v/>
      </c>
      <c r="H47" s="51" t="str">
        <f t="array" aca="1" ref="H47" ca="1">IFERROR(INDEX(Leccion[selectorLeccion],SMALL(IF(H$1=Leccion[SubSección],MATCH(ROW(Leccion[SubSección]),ROW(Leccion[SubSección]))),ROW(G46))),"")</f>
        <v/>
      </c>
      <c r="I47" s="51" t="str">
        <f t="array" aca="1" ref="I47" ca="1">IFERROR(INDEX(Leccion[selectorLeccion],SMALL(IF(I$1=Leccion[SubSección],MATCH(ROW(Leccion[SubSección]),ROW(Leccion[SubSección]))),ROW(H46))),"")</f>
        <v/>
      </c>
      <c r="J47" s="51" t="str">
        <f t="array" aca="1" ref="J47" ca="1">IFERROR(INDEX(Leccion[selectorLeccion],SMALL(IF(J$1=Leccion[SubSección],MATCH(ROW(Leccion[SubSección]),ROW(Leccion[SubSección]))),ROW(I46))),"")</f>
        <v/>
      </c>
      <c r="K47" s="51" t="str">
        <f t="array" aca="1" ref="K47" ca="1">IFERROR(INDEX(Leccion[selectorLeccion],SMALL(IF(K$1=Leccion[SubSección],MATCH(ROW(Leccion[SubSección]),ROW(Leccion[SubSección]))),ROW(J46))),"")</f>
        <v/>
      </c>
      <c r="L47" s="51" t="str">
        <f t="array" aca="1" ref="L47" ca="1">IFERROR(INDEX(Leccion[selectorLeccion],SMALL(IF(L$1=Leccion[SubSección],MATCH(ROW(Leccion[SubSección]),ROW(Leccion[SubSección]))),ROW(K46))),"")</f>
        <v/>
      </c>
      <c r="M47" s="51" t="str">
        <f t="array" aca="1" ref="M47" ca="1">IFERROR(INDEX(Leccion[selectorLeccion],SMALL(IF(M$1=Leccion[SubSección],MATCH(ROW(Leccion[SubSección]),ROW(Leccion[SubSección]))),ROW(L46))),"")</f>
        <v/>
      </c>
      <c r="N47" s="51" t="str">
        <f t="array" aca="1" ref="N47" ca="1">IFERROR(INDEX(Leccion[selectorLeccion],SMALL(IF(N$1=Leccion[SubSección],MATCH(ROW(Leccion[SubSección]),ROW(Leccion[SubSección]))),ROW(M46))),"")</f>
        <v/>
      </c>
      <c r="O47" s="51" t="str">
        <f t="array" aca="1" ref="O47" ca="1">IFERROR(INDEX(Leccion[selectorLeccion],SMALL(IF(O$1=Leccion[SubSección],MATCH(ROW(Leccion[SubSección]),ROW(Leccion[SubSección]))),ROW(N46))),"")</f>
        <v/>
      </c>
      <c r="P47" s="51" t="str">
        <f t="array" aca="1" ref="P47" ca="1">IFERROR(INDEX(Leccion[selectorLeccion],SMALL(IF(P$1=Leccion[SubSección],MATCH(ROW(Leccion[SubSección]),ROW(Leccion[SubSección]))),ROW(O46))),"")</f>
        <v/>
      </c>
      <c r="Q47" s="51" t="str">
        <f t="array" aca="1" ref="Q47" ca="1">IFERROR(INDEX(Leccion[selectorLeccion],SMALL(IF(Q$1=Leccion[SubSección],MATCH(ROW(Leccion[SubSección]),ROW(Leccion[SubSección]))),ROW(P46))),"")</f>
        <v/>
      </c>
      <c r="R47" s="51" t="str">
        <f t="array" aca="1" ref="R47" ca="1">IFERROR(INDEX(Leccion[selectorLeccion],SMALL(IF(R$1=Leccion[SubSección],MATCH(ROW(Leccion[SubSección]),ROW(Leccion[SubSección]))),ROW(Q46))),"")</f>
        <v/>
      </c>
      <c r="S47" s="51" t="str">
        <f t="array" aca="1" ref="S47" ca="1">IFERROR(INDEX(Leccion[selectorLeccion],SMALL(IF(S$1=Leccion[SubSección],MATCH(ROW(Leccion[SubSección]),ROW(Leccion[SubSección]))),ROW(R46))),"")</f>
        <v/>
      </c>
      <c r="T47" s="51" t="str">
        <f t="array" aca="1" ref="T47" ca="1">IFERROR(INDEX(Leccion[selectorLeccion],SMALL(IF(T$1=Leccion[SubSección],MATCH(ROW(Leccion[SubSección]),ROW(Leccion[SubSección]))),ROW(S46))),"")</f>
        <v/>
      </c>
      <c r="U47" s="51" t="str">
        <f t="array" aca="1" ref="U47" ca="1">IFERROR(INDEX(Leccion[selectorLeccion],SMALL(IF(U$1=Leccion[SubSección],MATCH(ROW(Leccion[SubSección]),ROW(Leccion[SubSección]))),ROW(T46))),"")</f>
        <v/>
      </c>
      <c r="V47" s="51" t="str">
        <f t="array" aca="1" ref="V47" ca="1">IFERROR(INDEX(Leccion[selectorLeccion],SMALL(IF(V$1=Leccion[SubSección],MATCH(ROW(Leccion[SubSección]),ROW(Leccion[SubSección]))),ROW(U46))),"")</f>
        <v/>
      </c>
      <c r="W47" s="51" t="str">
        <f t="array" aca="1" ref="W47" ca="1">IFERROR(INDEX(Leccion[selectorLeccion],SMALL(IF(W$1=Leccion[SubSección],MATCH(ROW(Leccion[SubSección]),ROW(Leccion[SubSección]))),ROW(V46))),"")</f>
        <v/>
      </c>
      <c r="X47" s="51" t="str">
        <f t="array" aca="1" ref="X47" ca="1">IFERROR(INDEX(Leccion[selectorLeccion],SMALL(IF(X$1=Leccion[SubSección],MATCH(ROW(Leccion[SubSección]),ROW(Leccion[SubSección]))),ROW(W46))),"")</f>
        <v/>
      </c>
      <c r="Y47" s="51" t="str">
        <f t="array" aca="1" ref="Y47" ca="1">IFERROR(INDEX(Leccion[selectorLeccion],SMALL(IF(Y$1=Leccion[SubSección],MATCH(ROW(Leccion[SubSección]),ROW(Leccion[SubSección]))),ROW(X46))),"")</f>
        <v/>
      </c>
      <c r="Z47" s="51" t="str">
        <f t="array" aca="1" ref="Z47" ca="1">IFERROR(INDEX(Leccion[selectorLeccion],SMALL(IF(Z$1=Leccion[SubSección],MATCH(ROW(Leccion[SubSección]),ROW(Leccion[SubSección]))),ROW(Y46))),"")</f>
        <v/>
      </c>
      <c r="AA47" s="51" t="str">
        <f t="array" aca="1" ref="AA47" ca="1">IFERROR(INDEX(Leccion[selectorLeccion],SMALL(IF(AA$1=Leccion[SubSección],MATCH(ROW(Leccion[SubSección]),ROW(Leccion[SubSección]))),ROW(Z46))),"")</f>
        <v/>
      </c>
      <c r="AB47" s="51" t="str">
        <f t="array" aca="1" ref="AB47" ca="1">IFERROR(INDEX(Leccion[selectorLeccion],SMALL(IF(AB$1=Leccion[SubSección],MATCH(ROW(Leccion[SubSección]),ROW(Leccion[SubSección]))),ROW(AA46))),"")</f>
        <v/>
      </c>
      <c r="AC47" s="51" t="str">
        <f t="array" aca="1" ref="AC47" ca="1">IFERROR(INDEX(Leccion[selectorLeccion],SMALL(IF(AC$1=Leccion[SubSección],MATCH(ROW(Leccion[SubSección]),ROW(Leccion[SubSección]))),ROW(AB46))),"")</f>
        <v/>
      </c>
      <c r="AD47" s="51" t="str">
        <f t="array" aca="1" ref="AD47" ca="1">IFERROR(INDEX(Leccion[selectorLeccion],SMALL(IF(AD$1=Leccion[SubSección],MATCH(ROW(Leccion[SubSección]),ROW(Leccion[SubSección]))),ROW(AC46))),"")</f>
        <v/>
      </c>
      <c r="AE47" s="51" t="str">
        <f t="array" aca="1" ref="AE47" ca="1">IFERROR(INDEX(Leccion[selectorLeccion],SMALL(IF(AE$1=Leccion[SubSección],MATCH(ROW(Leccion[SubSección]),ROW(Leccion[SubSección]))),ROW(AD46))),"")</f>
        <v/>
      </c>
      <c r="AF47" s="51" t="str">
        <f t="array" aca="1" ref="AF47" ca="1">IFERROR(INDEX(Leccion[selectorLeccion],SMALL(IF(AF$1=Leccion[SubSección],MATCH(ROW(Leccion[SubSección]),ROW(Leccion[SubSección]))),ROW(AE46))),"")</f>
        <v/>
      </c>
      <c r="AG47" s="51" t="str">
        <f t="array" aca="1" ref="AG47" ca="1">IFERROR(INDEX(Leccion[selectorLeccion],SMALL(IF(AG$1=Leccion[SubSección],MATCH(ROW(Leccion[SubSección]),ROW(Leccion[SubSección]))),ROW(AF46))),"")</f>
        <v/>
      </c>
      <c r="AH47" s="51" t="str">
        <f t="array" aca="1" ref="AH47" ca="1">IFERROR(INDEX(Leccion[selectorLeccion],SMALL(IF(AH$1=Leccion[SubSección],MATCH(ROW(Leccion[SubSección]),ROW(Leccion[SubSección]))),ROW(AG46))),"")</f>
        <v/>
      </c>
      <c r="AI47" s="51" t="str">
        <f t="array" aca="1" ref="AI47" ca="1">IFERROR(INDEX(Leccion[selectorLeccion],SMALL(IF(AI$1=Leccion[SubSección],MATCH(ROW(Leccion[SubSección]),ROW(Leccion[SubSección]))),ROW(AH46))),"")</f>
        <v/>
      </c>
      <c r="AJ47" s="51" t="str">
        <f t="array" aca="1" ref="AJ47" ca="1">IFERROR(INDEX(Leccion[selectorLeccion],SMALL(IF(AJ$1=Leccion[SubSección],MATCH(ROW(Leccion[SubSección]),ROW(Leccion[SubSección]))),ROW(AI46))),"")</f>
        <v/>
      </c>
      <c r="AK47" s="51" t="str">
        <f t="array" aca="1" ref="AK47" ca="1">IFERROR(INDEX(Leccion[selectorLeccion],SMALL(IF(AK$1=Leccion[SubSección],MATCH(ROW(Leccion[SubSección]),ROW(Leccion[SubSección]))),ROW(AJ46))),"")</f>
        <v/>
      </c>
      <c r="AL47" s="51" t="str">
        <f t="array" aca="1" ref="AL47" ca="1">IFERROR(INDEX(Leccion[selectorLeccion],SMALL(IF(AL$1=Leccion[SubSección],MATCH(ROW(Leccion[SubSección]),ROW(Leccion[SubSección]))),ROW(AK46))),"")</f>
        <v/>
      </c>
      <c r="AM47" s="51" t="str">
        <f t="array" aca="1" ref="AM47" ca="1">IFERROR(INDEX(Leccion[selectorLeccion],SMALL(IF(AM$1=Leccion[SubSección],MATCH(ROW(Leccion[SubSección]),ROW(Leccion[SubSección]))),ROW(AL46))),"")</f>
        <v/>
      </c>
      <c r="AN47" s="51" t="str">
        <f t="array" aca="1" ref="AN47" ca="1">IFERROR(INDEX(Leccion[selectorLeccion],SMALL(IF(AN$1=Leccion[SubSección],MATCH(ROW(Leccion[SubSección]),ROW(Leccion[SubSección]))),ROW(AM46))),"")</f>
        <v/>
      </c>
      <c r="AO47" s="51" t="str">
        <f t="array" aca="1" ref="AO47" ca="1">IFERROR(INDEX(Leccion[selectorLeccion],SMALL(IF(AO$1=Leccion[SubSección],MATCH(ROW(Leccion[SubSección]),ROW(Leccion[SubSección]))),ROW(AN46))),"")</f>
        <v/>
      </c>
      <c r="AP47" s="51" t="str">
        <f t="array" aca="1" ref="AP47" ca="1">IFERROR(INDEX(Leccion[selectorLeccion],SMALL(IF(AP$1=Leccion[SubSección],MATCH(ROW(Leccion[SubSección]),ROW(Leccion[SubSección]))),ROW(AO46))),"")</f>
        <v/>
      </c>
      <c r="AQ47" s="51" t="str">
        <f t="array" aca="1" ref="AQ47" ca="1">IFERROR(INDEX(Leccion[selectorLeccion],SMALL(IF(AQ$1=Leccion[SubSección],MATCH(ROW(Leccion[SubSección]),ROW(Leccion[SubSección]))),ROW(AP46))),"")</f>
        <v/>
      </c>
      <c r="AR47" s="51" t="str">
        <f t="array" aca="1" ref="AR47" ca="1">IFERROR(INDEX(Leccion[selectorLeccion],SMALL(IF(AR$1=Leccion[SubSección],MATCH(ROW(Leccion[SubSección]),ROW(Leccion[SubSección]))),ROW(AQ46))),"")</f>
        <v/>
      </c>
      <c r="AS47" s="51" t="str">
        <f t="array" aca="1" ref="AS47" ca="1">IFERROR(INDEX(Leccion[selectorLeccion],SMALL(IF(AS$1=Leccion[SubSección],MATCH(ROW(Leccion[SubSección]),ROW(Leccion[SubSección]))),ROW(AR46))),"")</f>
        <v/>
      </c>
      <c r="AT47" s="51" t="str">
        <f t="array" aca="1" ref="AT47" ca="1">IFERROR(INDEX(Leccion[selectorLeccion],SMALL(IF(AT$1=Leccion[SubSección],MATCH(ROW(Leccion[SubSección]),ROW(Leccion[SubSección]))),ROW(AS46))),"")</f>
        <v/>
      </c>
      <c r="AU47" s="51" t="str">
        <f t="array" aca="1" ref="AU47" ca="1">IFERROR(INDEX(Leccion[selectorLeccion],SMALL(IF(AU$1=Leccion[SubSección],MATCH(ROW(Leccion[SubSección]),ROW(Leccion[SubSección]))),ROW(AT46))),"")</f>
        <v/>
      </c>
      <c r="AV47" s="51" t="str">
        <f t="array" aca="1" ref="AV47" ca="1">IFERROR(INDEX(Leccion[selectorLeccion],SMALL(IF(AV$1=Leccion[SubSección],MATCH(ROW(Leccion[SubSección]),ROW(Leccion[SubSección]))),ROW(AU46))),"")</f>
        <v/>
      </c>
      <c r="AW47" s="51" t="str">
        <f t="array" aca="1" ref="AW47" ca="1">IFERROR(INDEX(Leccion[selectorLeccion],SMALL(IF(AW$1=Leccion[SubSección],MATCH(ROW(Leccion[SubSección]),ROW(Leccion[SubSección]))),ROW(AV46))),"")</f>
        <v/>
      </c>
      <c r="AX47" s="51" t="str">
        <f t="array" aca="1" ref="AX47" ca="1">IFERROR(INDEX(Leccion[selectorLeccion],SMALL(IF(AX$1=Leccion[SubSección],MATCH(ROW(Leccion[SubSección]),ROW(Leccion[SubSección]))),ROW(AW46))),"")</f>
        <v/>
      </c>
      <c r="AY47" s="51" t="str">
        <f t="array" aca="1" ref="AY47" ca="1">IFERROR(INDEX(Leccion[selectorLeccion],SMALL(IF(AY$1=Leccion[SubSección],MATCH(ROW(Leccion[SubSección]),ROW(Leccion[SubSección]))),ROW(AX46))),"")</f>
        <v/>
      </c>
      <c r="AZ47" s="51" t="str">
        <f t="array" aca="1" ref="AZ47" ca="1">IFERROR(INDEX(Leccion[selectorLeccion],SMALL(IF(AZ$1=Leccion[SubSección],MATCH(ROW(Leccion[SubSección]),ROW(Leccion[SubSección]))),ROW(AY46))),"")</f>
        <v/>
      </c>
      <c r="BA47" s="51" t="str">
        <f t="array" aca="1" ref="BA47" ca="1">IFERROR(INDEX(Leccion[selectorLeccion],SMALL(IF(BA$1=Leccion[SubSección],MATCH(ROW(Leccion[SubSección]),ROW(Leccion[SubSección]))),ROW(AZ46))),"")</f>
        <v/>
      </c>
      <c r="BB47" s="51" t="str">
        <f t="array" aca="1" ref="BB47" ca="1">IFERROR(INDEX(Leccion[selectorLeccion],SMALL(IF(BB$1=Leccion[SubSección],MATCH(ROW(Leccion[SubSección]),ROW(Leccion[SubSección]))),ROW(BA46))),"")</f>
        <v/>
      </c>
      <c r="BC47" s="51" t="str">
        <f t="array" aca="1" ref="BC47" ca="1">IFERROR(INDEX(Leccion[selectorLeccion],SMALL(IF(BC$1=Leccion[SubSección],MATCH(ROW(Leccion[SubSección]),ROW(Leccion[SubSección]))),ROW(BB46))),"")</f>
        <v/>
      </c>
      <c r="BD47" s="51" t="str">
        <f t="array" aca="1" ref="BD47" ca="1">IFERROR(INDEX(Leccion[selectorLeccion],SMALL(IF(BD$1=Leccion[SubSección],MATCH(ROW(Leccion[SubSección]),ROW(Leccion[SubSección]))),ROW(BC46))),"")</f>
        <v/>
      </c>
      <c r="BE47" s="51" t="str">
        <f t="array" aca="1" ref="BE47" ca="1">IFERROR(INDEX(Leccion[selectorLeccion],SMALL(IF(BE$1=Leccion[SubSección],MATCH(ROW(Leccion[SubSección]),ROW(Leccion[SubSección]))),ROW(BD46))),"")</f>
        <v/>
      </c>
      <c r="BF47" s="51" t="str">
        <f t="array" aca="1" ref="BF47" ca="1">IFERROR(INDEX(Leccion[selectorLeccion],SMALL(IF(BF$1=Leccion[SubSección],MATCH(ROW(Leccion[SubSección]),ROW(Leccion[SubSección]))),ROW(BE46))),"")</f>
        <v/>
      </c>
      <c r="BG47" s="51" t="str">
        <f t="array" aca="1" ref="BG47" ca="1">IFERROR(INDEX(Leccion[selectorLeccion],SMALL(IF(BG$1=Leccion[SubSección],MATCH(ROW(Leccion[SubSección]),ROW(Leccion[SubSección]))),ROW(BF46))),"")</f>
        <v/>
      </c>
      <c r="BH47" s="51" t="str">
        <f t="array" aca="1" ref="BH47" ca="1">IFERROR(INDEX(Leccion[selectorLeccion],SMALL(IF(BH$1=Leccion[SubSección],MATCH(ROW(Leccion[SubSección]),ROW(Leccion[SubSección]))),ROW(BG46))),"")</f>
        <v/>
      </c>
      <c r="BI47" s="51" t="str">
        <f t="array" aca="1" ref="BI47" ca="1">IFERROR(INDEX(Leccion[selectorLeccion],SMALL(IF(BI$1=Leccion[SubSección],MATCH(ROW(Leccion[SubSección]),ROW(Leccion[SubSección]))),ROW(BH46))),"")</f>
        <v/>
      </c>
      <c r="BJ47" s="51" t="str">
        <f t="array" aca="1" ref="BJ47" ca="1">IFERROR(INDEX(Leccion[selectorLeccion],SMALL(IF(BJ$1=Leccion[SubSección],MATCH(ROW(Leccion[SubSección]),ROW(Leccion[SubSección]))),ROW(BI46))),"")</f>
        <v/>
      </c>
      <c r="BK47" s="51" t="str">
        <f t="array" aca="1" ref="BK47" ca="1">IFERROR(INDEX(Leccion[selectorLeccion],SMALL(IF(BK$1=Leccion[SubSección],MATCH(ROW(Leccion[SubSección]),ROW(Leccion[SubSección]))),ROW(BJ46))),"")</f>
        <v/>
      </c>
      <c r="BL47" s="51" t="str">
        <f t="array" aca="1" ref="BL47" ca="1">IFERROR(INDEX(Leccion[selectorLeccion],SMALL(IF(BL$1=Leccion[SubSección],MATCH(ROW(Leccion[SubSección]),ROW(Leccion[SubSección]))),ROW(BK46))),"")</f>
        <v/>
      </c>
      <c r="BM47" s="51" t="str">
        <f t="array" aca="1" ref="BM47" ca="1">IFERROR(INDEX(Leccion[selectorLeccion],SMALL(IF(BM$1=Leccion[SubSección],MATCH(ROW(Leccion[SubSección]),ROW(Leccion[SubSección]))),ROW(BL46))),"")</f>
        <v/>
      </c>
      <c r="BN47" s="51" t="str">
        <f t="array" aca="1" ref="BN47" ca="1">IFERROR(INDEX(Leccion[selectorLeccion],SMALL(IF(BN$1=Leccion[SubSección],MATCH(ROW(Leccion[SubSección]),ROW(Leccion[SubSección]))),ROW(BM46))),"")</f>
        <v/>
      </c>
      <c r="BO47" s="51" t="str">
        <f t="array" aca="1" ref="BO47" ca="1">IFERROR(INDEX(Leccion[selectorLeccion],SMALL(IF(BO$1=Leccion[SubSección],MATCH(ROW(Leccion[SubSección]),ROW(Leccion[SubSección]))),ROW(BN46))),"")</f>
        <v/>
      </c>
      <c r="BP47" s="51" t="str">
        <f t="array" aca="1" ref="BP47" ca="1">IFERROR(INDEX(Leccion[selectorLeccion],SMALL(IF(BP$1=Leccion[SubSección],MATCH(ROW(Leccion[SubSección]),ROW(Leccion[SubSección]))),ROW(BO46))),"")</f>
        <v/>
      </c>
      <c r="BQ47" s="51" t="str">
        <f t="array" aca="1" ref="BQ47" ca="1">IFERROR(INDEX(Leccion[selectorLeccion],SMALL(IF(BQ$1=Leccion[SubSección],MATCH(ROW(Leccion[SubSección]),ROW(Leccion[SubSección]))),ROW(BP46))),"")</f>
        <v/>
      </c>
      <c r="BR47" s="51" t="str">
        <f t="array" aca="1" ref="BR47" ca="1">IFERROR(INDEX(Leccion[selectorLeccion],SMALL(IF(BR$1=Leccion[SubSección],MATCH(ROW(Leccion[SubSección]),ROW(Leccion[SubSección]))),ROW(BQ46))),"")</f>
        <v/>
      </c>
      <c r="BS47" s="51" t="str">
        <f t="array" aca="1" ref="BS47" ca="1">IFERROR(INDEX(Leccion[selectorLeccion],SMALL(IF(BS$1=Leccion[SubSección],MATCH(ROW(Leccion[SubSección]),ROW(Leccion[SubSección]))),ROW(BR46))),"")</f>
        <v/>
      </c>
      <c r="BT47" s="51" t="str">
        <f t="array" aca="1" ref="BT47" ca="1">IFERROR(INDEX(Leccion[selectorLeccion],SMALL(IF(BT$1=Leccion[SubSección],MATCH(ROW(Leccion[SubSección]),ROW(Leccion[SubSección]))),ROW(BS46))),"")</f>
        <v/>
      </c>
      <c r="BU47" s="51" t="str">
        <f t="array" aca="1" ref="BU47" ca="1">IFERROR(INDEX(Leccion[selectorLeccion],SMALL(IF(BU$1=Leccion[SubSección],MATCH(ROW(Leccion[SubSección]),ROW(Leccion[SubSección]))),ROW(BT46))),"")</f>
        <v/>
      </c>
      <c r="BV47" s="51" t="str">
        <f t="array" aca="1" ref="BV47" ca="1">IFERROR(INDEX(Leccion[selectorLeccion],SMALL(IF(BV$1=Leccion[SubSección],MATCH(ROW(Leccion[SubSección]),ROW(Leccion[SubSección]))),ROW(BU46))),"")</f>
        <v/>
      </c>
      <c r="BW47" s="51" t="str">
        <f t="array" aca="1" ref="BW47" ca="1">IFERROR(INDEX(Leccion[selectorLeccion],SMALL(IF(BW$1=Leccion[SubSección],MATCH(ROW(Leccion[SubSección]),ROW(Leccion[SubSección]))),ROW(BV46))),"")</f>
        <v/>
      </c>
      <c r="BX47" s="51" t="str">
        <f t="array" aca="1" ref="BX47" ca="1">IFERROR(INDEX(Leccion[selectorLeccion],SMALL(IF(BX$1=Leccion[SubSección],MATCH(ROW(Leccion[SubSección]),ROW(Leccion[SubSección]))),ROW(BW46))),"")</f>
        <v/>
      </c>
      <c r="BY47" s="51" t="str">
        <f t="array" aca="1" ref="BY47" ca="1">IFERROR(INDEX(Leccion[selectorLeccion],SMALL(IF(BY$1=Leccion[SubSección],MATCH(ROW(Leccion[SubSección]),ROW(Leccion[SubSección]))),ROW(BX46))),"")</f>
        <v/>
      </c>
      <c r="BZ47" s="51" t="str">
        <f t="array" aca="1" ref="BZ47" ca="1">IFERROR(INDEX(Leccion[selectorLeccion],SMALL(IF(BZ$1=Leccion[SubSección],MATCH(ROW(Leccion[SubSección]),ROW(Leccion[SubSección]))),ROW(BY46))),"")</f>
        <v/>
      </c>
      <c r="CA47" s="51" t="str">
        <f t="array" aca="1" ref="CA47" ca="1">IFERROR(INDEX(Leccion[selectorLeccion],SMALL(IF(CA$1=Leccion[SubSección],MATCH(ROW(Leccion[SubSección]),ROW(Leccion[SubSección]))),ROW(BZ46))),"")</f>
        <v/>
      </c>
      <c r="CB47" s="51" t="str">
        <f t="array" aca="1" ref="CB47" ca="1">IFERROR(INDEX(Leccion[selectorLeccion],SMALL(IF(CB$1=Leccion[SubSección],MATCH(ROW(Leccion[SubSección]),ROW(Leccion[SubSección]))),ROW(CA46))),"")</f>
        <v/>
      </c>
      <c r="CC47" s="51" t="str">
        <f t="array" aca="1" ref="CC47" ca="1">IFERROR(INDEX(Leccion[selectorLeccion],SMALL(IF(CC$1=Leccion[SubSección],MATCH(ROW(Leccion[SubSección]),ROW(Leccion[SubSección]))),ROW(CB46))),"")</f>
        <v/>
      </c>
      <c r="CD47" s="51" t="str">
        <f t="array" aca="1" ref="CD47" ca="1">IFERROR(INDEX(Leccion[selectorLeccion],SMALL(IF(CD$1=Leccion[SubSección],MATCH(ROW(Leccion[SubSección]),ROW(Leccion[SubSección]))),ROW(CC46))),"")</f>
        <v/>
      </c>
      <c r="CE47" s="51" t="str">
        <f t="array" aca="1" ref="CE47" ca="1">IFERROR(INDEX(Leccion[selectorLeccion],SMALL(IF(CE$1=Leccion[SubSección],MATCH(ROW(Leccion[SubSección]),ROW(Leccion[SubSección]))),ROW(CD46))),"")</f>
        <v/>
      </c>
      <c r="CF47" s="51" t="str">
        <f t="array" aca="1" ref="CF47" ca="1">IFERROR(INDEX(Leccion[selectorLeccion],SMALL(IF(CF$1=Leccion[SubSección],MATCH(ROW(Leccion[SubSección]),ROW(Leccion[SubSección]))),ROW(CE46))),"")</f>
        <v/>
      </c>
      <c r="CG47" s="51" t="str">
        <f t="array" aca="1" ref="CG47" ca="1">IFERROR(INDEX(Leccion[selectorLeccion],SMALL(IF(CG$1=Leccion[SubSección],MATCH(ROW(Leccion[SubSección]),ROW(Leccion[SubSección]))),ROW(CF46))),"")</f>
        <v/>
      </c>
      <c r="CH47" s="51" t="str">
        <f t="array" aca="1" ref="CH47" ca="1">IFERROR(INDEX(Leccion[selectorLeccion],SMALL(IF(CH$1=Leccion[SubSección],MATCH(ROW(Leccion[SubSección]),ROW(Leccion[SubSección]))),ROW(CG46))),"")</f>
        <v/>
      </c>
      <c r="CI47" s="51" t="str">
        <f t="array" aca="1" ref="CI47" ca="1">IFERROR(INDEX(Leccion[selectorLeccion],SMALL(IF(CI$1=Leccion[SubSección],MATCH(ROW(Leccion[SubSección]),ROW(Leccion[SubSección]))),ROW(CH46))),"")</f>
        <v/>
      </c>
      <c r="CJ47" s="51" t="str">
        <f t="array" aca="1" ref="CJ47" ca="1">IFERROR(INDEX(Leccion[selectorLeccion],SMALL(IF(CJ$1=Leccion[SubSección],MATCH(ROW(Leccion[SubSección]),ROW(Leccion[SubSección]))),ROW(CI46))),"")</f>
        <v/>
      </c>
      <c r="CK47" s="51" t="str">
        <f t="array" aca="1" ref="CK47" ca="1">IFERROR(INDEX(Leccion[selectorLeccion],SMALL(IF(CK$1=Leccion[SubSección],MATCH(ROW(Leccion[SubSección]),ROW(Leccion[SubSección]))),ROW(CJ46))),"")</f>
        <v/>
      </c>
      <c r="CL47" s="51" t="str">
        <f t="array" aca="1" ref="CL47" ca="1">IFERROR(INDEX(Leccion[selectorLeccion],SMALL(IF(CL$1=Leccion[SubSección],MATCH(ROW(Leccion[SubSección]),ROW(Leccion[SubSección]))),ROW(CK46))),"")</f>
        <v/>
      </c>
      <c r="CM47" s="51" t="str">
        <f t="array" aca="1" ref="CM47" ca="1">IFERROR(INDEX(Leccion[selectorLeccion],SMALL(IF(CM$1=Leccion[SubSección],MATCH(ROW(Leccion[SubSección]),ROW(Leccion[SubSección]))),ROW(CL46))),"")</f>
        <v/>
      </c>
      <c r="CN47" s="51" t="str">
        <f t="array" aca="1" ref="CN47" ca="1">IFERROR(INDEX(Leccion[selectorLeccion],SMALL(IF(CN$1=Leccion[SubSección],MATCH(ROW(Leccion[SubSección]),ROW(Leccion[SubSección]))),ROW(CM46))),"")</f>
        <v/>
      </c>
      <c r="CO47" s="51" t="str">
        <f t="array" aca="1" ref="CO47" ca="1">IFERROR(INDEX(Leccion[selectorLeccion],SMALL(IF(CO$1=Leccion[SubSección],MATCH(ROW(Leccion[SubSección]),ROW(Leccion[SubSección]))),ROW(CN46))),"")</f>
        <v/>
      </c>
      <c r="CP47" s="51" t="str">
        <f t="array" aca="1" ref="CP47" ca="1">IFERROR(INDEX(Leccion[selectorLeccion],SMALL(IF(CP$1=Leccion[SubSección],MATCH(ROW(Leccion[SubSección]),ROW(Leccion[SubSección]))),ROW(CO46))),"")</f>
        <v/>
      </c>
      <c r="CQ47" s="51" t="str">
        <f t="array" aca="1" ref="CQ47" ca="1">IFERROR(INDEX(Leccion[selectorLeccion],SMALL(IF(CQ$1=Leccion[SubSección],MATCH(ROW(Leccion[SubSección]),ROW(Leccion[SubSección]))),ROW(CP46))),"")</f>
        <v/>
      </c>
      <c r="CR47" s="51" t="str">
        <f t="array" aca="1" ref="CR47" ca="1">IFERROR(INDEX(Leccion[selectorLeccion],SMALL(IF(CR$1=Leccion[SubSección],MATCH(ROW(Leccion[SubSección]),ROW(Leccion[SubSección]))),ROW(CQ46))),"")</f>
        <v/>
      </c>
      <c r="CS47" s="51" t="str">
        <f t="array" aca="1" ref="CS47" ca="1">IFERROR(INDEX(Leccion[selectorLeccion],SMALL(IF(CS$1=Leccion[SubSección],MATCH(ROW(Leccion[SubSección]),ROW(Leccion[SubSección]))),ROW(CR46))),"")</f>
        <v/>
      </c>
      <c r="CT47" s="51" t="str">
        <f t="array" aca="1" ref="CT47" ca="1">IFERROR(INDEX(Leccion[selectorLeccion],SMALL(IF(CT$1=Leccion[SubSección],MATCH(ROW(Leccion[SubSección]),ROW(Leccion[SubSección]))),ROW(CS46))),"")</f>
        <v/>
      </c>
      <c r="CU47" s="51" t="str">
        <f t="array" aca="1" ref="CU47" ca="1">IFERROR(INDEX(Leccion[selectorLeccion],SMALL(IF(CU$1=Leccion[SubSección],MATCH(ROW(Leccion[SubSección]),ROW(Leccion[SubSección]))),ROW(CT46))),"")</f>
        <v/>
      </c>
      <c r="CV47" s="51" t="str">
        <f t="array" aca="1" ref="CV47" ca="1">IFERROR(INDEX(Leccion[selectorLeccion],SMALL(IF(CV$1=Leccion[SubSección],MATCH(ROW(Leccion[SubSección]),ROW(Leccion[SubSección]))),ROW(CU46))),"")</f>
        <v/>
      </c>
      <c r="CW47" s="51" t="str">
        <f t="array" aca="1" ref="CW47" ca="1">IFERROR(INDEX(Leccion[selectorLeccion],SMALL(IF(CW$1=Leccion[SubSección],MATCH(ROW(Leccion[SubSección]),ROW(Leccion[SubSección]))),ROW(CV46))),"")</f>
        <v/>
      </c>
      <c r="CX47" s="51" t="str">
        <f t="array" aca="1" ref="CX47" ca="1">IFERROR(INDEX(Leccion[selectorLeccion],SMALL(IF(CX$1=Leccion[SubSección],MATCH(ROW(Leccion[SubSección]),ROW(Leccion[SubSección]))),ROW(CW46))),"")</f>
        <v/>
      </c>
      <c r="CY47" s="51" t="str">
        <f t="array" aca="1" ref="CY47" ca="1">IFERROR(INDEX(Leccion[selectorLeccion],SMALL(IF(CY$1=Leccion[SubSección],MATCH(ROW(Leccion[SubSección]),ROW(Leccion[SubSección]))),ROW(CX46))),"")</f>
        <v/>
      </c>
      <c r="CZ47" s="51" t="str">
        <f t="array" aca="1" ref="CZ47" ca="1">IFERROR(INDEX(Leccion[selectorLeccion],SMALL(IF(CZ$1=Leccion[SubSección],MATCH(ROW(Leccion[SubSección]),ROW(Leccion[SubSección]))),ROW(CY46))),"")</f>
        <v/>
      </c>
      <c r="DA47" s="51" t="str">
        <f t="array" aca="1" ref="DA47" ca="1">IFERROR(INDEX(Leccion[selectorLeccion],SMALL(IF(DA$1=Leccion[SubSección],MATCH(ROW(Leccion[SubSección]),ROW(Leccion[SubSección]))),ROW(CZ46))),"")</f>
        <v/>
      </c>
      <c r="DB47" s="51" t="str">
        <f t="array" aca="1" ref="DB47" ca="1">IFERROR(INDEX(Leccion[selectorLeccion],SMALL(IF(DB$1=Leccion[SubSección],MATCH(ROW(Leccion[SubSección]),ROW(Leccion[SubSección]))),ROW(DA46))),"")</f>
        <v/>
      </c>
      <c r="DC47" s="51" t="str">
        <f t="array" aca="1" ref="DC47" ca="1">IFERROR(INDEX(Leccion[selectorLeccion],SMALL(IF(DC$1=Leccion[SubSección],MATCH(ROW(Leccion[SubSección]),ROW(Leccion[SubSección]))),ROW(DB46))),"")</f>
        <v/>
      </c>
      <c r="DD47" s="51" t="str">
        <f t="array" aca="1" ref="DD47" ca="1">IFERROR(INDEX(Leccion[selectorLeccion],SMALL(IF(DD$1=Leccion[SubSección],MATCH(ROW(Leccion[SubSección]),ROW(Leccion[SubSección]))),ROW(DC46))),"")</f>
        <v/>
      </c>
      <c r="DE47" s="51" t="str">
        <f t="array" aca="1" ref="DE47" ca="1">IFERROR(INDEX(Leccion[selectorLeccion],SMALL(IF(DE$1=Leccion[SubSección],MATCH(ROW(Leccion[SubSección]),ROW(Leccion[SubSección]))),ROW(DD46))),"")</f>
        <v/>
      </c>
      <c r="DF47" s="51" t="str">
        <f t="array" aca="1" ref="DF47" ca="1">IFERROR(INDEX(Leccion[selectorLeccion],SMALL(IF(DF$1=Leccion[SubSección],MATCH(ROW(Leccion[SubSección]),ROW(Leccion[SubSección]))),ROW(DE46))),"")</f>
        <v/>
      </c>
      <c r="DG47" s="51" t="str">
        <f t="array" aca="1" ref="DG47" ca="1">IFERROR(INDEX(Leccion[selectorLeccion],SMALL(IF(DG$1=Leccion[SubSección],MATCH(ROW(Leccion[SubSección]),ROW(Leccion[SubSección]))),ROW(DF46))),"")</f>
        <v/>
      </c>
      <c r="DH47" s="51" t="str">
        <f t="array" aca="1" ref="DH47" ca="1">IFERROR(INDEX(Leccion[selectorLeccion],SMALL(IF(DH$1=Leccion[SubSección],MATCH(ROW(Leccion[SubSección]),ROW(Leccion[SubSección]))),ROW(DG46))),"")</f>
        <v/>
      </c>
      <c r="DI47" s="51" t="str">
        <f t="array" aca="1" ref="DI47" ca="1">IFERROR(INDEX(Leccion[selectorLeccion],SMALL(IF(DI$1=Leccion[SubSección],MATCH(ROW(Leccion[SubSección]),ROW(Leccion[SubSección]))),ROW(DH46))),"")</f>
        <v/>
      </c>
      <c r="DJ47" s="51" t="str">
        <f t="array" aca="1" ref="DJ47" ca="1">IFERROR(INDEX(Leccion[selectorLeccion],SMALL(IF(DJ$1=Leccion[SubSección],MATCH(ROW(Leccion[SubSección]),ROW(Leccion[SubSección]))),ROW(DI46))),"")</f>
        <v/>
      </c>
      <c r="DK47" s="51" t="str">
        <f t="array" aca="1" ref="DK47" ca="1">IFERROR(INDEX(Leccion[selectorLeccion],SMALL(IF(DK$1=Leccion[SubSección],MATCH(ROW(Leccion[SubSección]),ROW(Leccion[SubSección]))),ROW(DJ46))),"")</f>
        <v/>
      </c>
      <c r="DL47" s="51" t="str">
        <f t="array" aca="1" ref="DL47" ca="1">IFERROR(INDEX(Leccion[selectorLeccion],SMALL(IF(DL$1=Leccion[SubSección],MATCH(ROW(Leccion[SubSección]),ROW(Leccion[SubSección]))),ROW(DK46))),"")</f>
        <v/>
      </c>
      <c r="DM47" s="51" t="str">
        <f t="array" aca="1" ref="DM47" ca="1">IFERROR(INDEX(Leccion[selectorLeccion],SMALL(IF(DM$1=Leccion[SubSección],MATCH(ROW(Leccion[SubSección]),ROW(Leccion[SubSección]))),ROW(DL46))),"")</f>
        <v/>
      </c>
      <c r="DN47" s="51" t="str">
        <f t="array" aca="1" ref="DN47" ca="1">IFERROR(INDEX(Leccion[selectorLeccion],SMALL(IF(DN$1=Leccion[SubSección],MATCH(ROW(Leccion[SubSección]),ROW(Leccion[SubSección]))),ROW(DM46))),"")</f>
        <v/>
      </c>
      <c r="DO47" s="51" t="str">
        <f t="array" aca="1" ref="DO47" ca="1">IFERROR(INDEX(Leccion[selectorLeccion],SMALL(IF(DO$1=Leccion[SubSección],MATCH(ROW(Leccion[SubSección]),ROW(Leccion[SubSección]))),ROW(DN46))),"")</f>
        <v/>
      </c>
      <c r="DP47" s="51" t="str">
        <f t="array" aca="1" ref="DP47" ca="1">IFERROR(INDEX(Leccion[selectorLeccion],SMALL(IF(DP$1=Leccion[SubSección],MATCH(ROW(Leccion[SubSección]),ROW(Leccion[SubSección]))),ROW(DO46))),"")</f>
        <v/>
      </c>
      <c r="DQ47" s="51" t="str">
        <f t="array" aca="1" ref="DQ47" ca="1">IFERROR(INDEX(Leccion[selectorLeccion],SMALL(IF(DQ$1=Leccion[SubSección],MATCH(ROW(Leccion[SubSección]),ROW(Leccion[SubSección]))),ROW(DP46))),"")</f>
        <v/>
      </c>
      <c r="DR47" s="51" t="str">
        <f t="array" aca="1" ref="DR47" ca="1">IFERROR(INDEX(Leccion[selectorLeccion],SMALL(IF(DR$1=Leccion[SubSección],MATCH(ROW(Leccion[SubSección]),ROW(Leccion[SubSección]))),ROW(DQ46))),"")</f>
        <v/>
      </c>
      <c r="DS47" s="51" t="str">
        <f t="array" aca="1" ref="DS47" ca="1">IFERROR(INDEX(Leccion[selectorLeccion],SMALL(IF(DS$1=Leccion[SubSección],MATCH(ROW(Leccion[SubSección]),ROW(Leccion[SubSección]))),ROW(DR46))),"")</f>
        <v/>
      </c>
      <c r="DT47" s="51" t="str">
        <f t="array" aca="1" ref="DT47" ca="1">IFERROR(INDEX(Leccion[selectorLeccion],SMALL(IF(DT$1=Leccion[SubSección],MATCH(ROW(Leccion[SubSección]),ROW(Leccion[SubSección]))),ROW(DS46))),"")</f>
        <v/>
      </c>
      <c r="DU47" s="51" t="str">
        <f t="array" aca="1" ref="DU47" ca="1">IFERROR(INDEX(Leccion[selectorLeccion],SMALL(IF(DU$1=Leccion[SubSección],MATCH(ROW(Leccion[SubSección]),ROW(Leccion[SubSección]))),ROW(DT46))),"")</f>
        <v/>
      </c>
      <c r="DV47" s="51" t="str">
        <f t="array" aca="1" ref="DV47" ca="1">IFERROR(INDEX(Leccion[selectorLeccion],SMALL(IF(DV$1=Leccion[SubSección],MATCH(ROW(Leccion[SubSección]),ROW(Leccion[SubSección]))),ROW(DU46))),"")</f>
        <v/>
      </c>
      <c r="DW47" s="51" t="str">
        <f t="array" aca="1" ref="DW47" ca="1">IFERROR(INDEX(Leccion[selectorLeccion],SMALL(IF(DW$1=Leccion[SubSección],MATCH(ROW(Leccion[SubSección]),ROW(Leccion[SubSección]))),ROW(DV46))),"")</f>
        <v/>
      </c>
      <c r="DX47" s="51" t="str">
        <f t="array" aca="1" ref="DX47" ca="1">IFERROR(INDEX(Leccion[selectorLeccion],SMALL(IF(DX$1=Leccion[SubSección],MATCH(ROW(Leccion[SubSección]),ROW(Leccion[SubSección]))),ROW(DW46))),"")</f>
        <v/>
      </c>
      <c r="DY47" s="51" t="str">
        <f t="array" aca="1" ref="DY47" ca="1">IFERROR(INDEX(Leccion[selectorLeccion],SMALL(IF(DY$1=Leccion[SubSección],MATCH(ROW(Leccion[SubSección]),ROW(Leccion[SubSección]))),ROW(DX46))),"")</f>
        <v/>
      </c>
      <c r="DZ47" s="51" t="str">
        <f t="array" aca="1" ref="DZ47" ca="1">IFERROR(INDEX(Leccion[selectorLeccion],SMALL(IF(DZ$1=Leccion[SubSección],MATCH(ROW(Leccion[SubSección]),ROW(Leccion[SubSección]))),ROW(DY46))),"")</f>
        <v/>
      </c>
      <c r="EA47" s="51" t="str">
        <f t="array" aca="1" ref="EA47" ca="1">IFERROR(INDEX(Leccion[selectorLeccion],SMALL(IF(EA$1=Leccion[SubSección],MATCH(ROW(Leccion[SubSección]),ROW(Leccion[SubSección]))),ROW(DZ46))),"")</f>
        <v/>
      </c>
      <c r="EB47" s="51" t="str">
        <f t="array" aca="1" ref="EB47" ca="1">IFERROR(INDEX(Leccion[selectorLeccion],SMALL(IF(EB$1=Leccion[SubSección],MATCH(ROW(Leccion[SubSección]),ROW(Leccion[SubSección]))),ROW(EA46))),"")</f>
        <v/>
      </c>
      <c r="EC47" s="51" t="str">
        <f t="array" aca="1" ref="EC47" ca="1">IFERROR(INDEX(Leccion[selectorLeccion],SMALL(IF(EC$1=Leccion[SubSección],MATCH(ROW(Leccion[SubSección]),ROW(Leccion[SubSección]))),ROW(EB46))),"")</f>
        <v/>
      </c>
      <c r="ED47" s="51" t="str">
        <f t="array" aca="1" ref="ED47" ca="1">IFERROR(INDEX(Leccion[selectorLeccion],SMALL(IF(ED$1=Leccion[SubSección],MATCH(ROW(Leccion[SubSección]),ROW(Leccion[SubSección]))),ROW(EC46))),"")</f>
        <v/>
      </c>
      <c r="EE47" s="51" t="str">
        <f t="array" aca="1" ref="EE47" ca="1">IFERROR(INDEX(Leccion[selectorLeccion],SMALL(IF(EE$1=Leccion[SubSección],MATCH(ROW(Leccion[SubSección]),ROW(Leccion[SubSección]))),ROW(ED46))),"")</f>
        <v/>
      </c>
      <c r="EF47" s="51" t="str">
        <f t="array" aca="1" ref="EF47" ca="1">IFERROR(INDEX(Leccion[selectorLeccion],SMALL(IF(EF$1=Leccion[SubSección],MATCH(ROW(Leccion[SubSección]),ROW(Leccion[SubSección]))),ROW(EE46))),"")</f>
        <v/>
      </c>
      <c r="EG47" s="51" t="str">
        <f t="array" aca="1" ref="EG47" ca="1">IFERROR(INDEX(Leccion[selectorLeccion],SMALL(IF(EG$1=Leccion[SubSección],MATCH(ROW(Leccion[SubSección]),ROW(Leccion[SubSección]))),ROW(EF46))),"")</f>
        <v/>
      </c>
      <c r="EH47" s="51" t="str">
        <f t="array" aca="1" ref="EH47" ca="1">IFERROR(INDEX(Leccion[selectorLeccion],SMALL(IF(EH$1=Leccion[SubSección],MATCH(ROW(Leccion[SubSección]),ROW(Leccion[SubSección]))),ROW(EG46))),"")</f>
        <v/>
      </c>
      <c r="EI47" s="51" t="str">
        <f t="array" aca="1" ref="EI47" ca="1">IFERROR(INDEX(Leccion[selectorLeccion],SMALL(IF(EI$1=Leccion[SubSección],MATCH(ROW(Leccion[SubSección]),ROW(Leccion[SubSección]))),ROW(EH46))),"")</f>
        <v/>
      </c>
      <c r="EJ47" s="51" t="str">
        <f t="array" aca="1" ref="EJ47" ca="1">IFERROR(INDEX(Leccion[selectorLeccion],SMALL(IF(EJ$1=Leccion[SubSección],MATCH(ROW(Leccion[SubSección]),ROW(Leccion[SubSección]))),ROW(EI46))),"")</f>
        <v/>
      </c>
      <c r="EK47" s="51" t="str">
        <f t="array" aca="1" ref="EK47" ca="1">IFERROR(INDEX(Leccion[selectorLeccion],SMALL(IF(EK$1=Leccion[SubSección],MATCH(ROW(Leccion[SubSección]),ROW(Leccion[SubSección]))),ROW(EJ46))),"")</f>
        <v/>
      </c>
      <c r="EL47" s="51" t="str">
        <f t="array" aca="1" ref="EL47" ca="1">IFERROR(INDEX(Leccion[selectorLeccion],SMALL(IF(EL$1=Leccion[SubSección],MATCH(ROW(Leccion[SubSección]),ROW(Leccion[SubSección]))),ROW(EK46))),"")</f>
        <v/>
      </c>
      <c r="EM47" s="51" t="str">
        <f t="array" aca="1" ref="EM47" ca="1">IFERROR(INDEX(Leccion[selectorLeccion],SMALL(IF(EM$1=Leccion[SubSección],MATCH(ROW(Leccion[SubSección]),ROW(Leccion[SubSección]))),ROW(EL46))),"")</f>
        <v/>
      </c>
      <c r="EN47" s="51" t="str">
        <f t="array" aca="1" ref="EN47" ca="1">IFERROR(INDEX(Leccion[selectorLeccion],SMALL(IF(EN$1=Leccion[SubSección],MATCH(ROW(Leccion[SubSección]),ROW(Leccion[SubSección]))),ROW(EM46))),"")</f>
        <v/>
      </c>
      <c r="EO47" s="51" t="str">
        <f t="array" aca="1" ref="EO47" ca="1">IFERROR(INDEX(Leccion[selectorLeccion],SMALL(IF(EO$1=Leccion[SubSección],MATCH(ROW(Leccion[SubSección]),ROW(Leccion[SubSección]))),ROW(EN46))),"")</f>
        <v/>
      </c>
      <c r="EP47" s="51" t="str">
        <f t="array" aca="1" ref="EP47" ca="1">IFERROR(INDEX(Leccion[selectorLeccion],SMALL(IF(EP$1=Leccion[SubSección],MATCH(ROW(Leccion[SubSección]),ROW(Leccion[SubSección]))),ROW(EO46))),"")</f>
        <v/>
      </c>
      <c r="EQ47" s="51" t="str">
        <f t="array" aca="1" ref="EQ47" ca="1">IFERROR(INDEX(Leccion[selectorLeccion],SMALL(IF(EQ$1=Leccion[SubSección],MATCH(ROW(Leccion[SubSección]),ROW(Leccion[SubSección]))),ROW(EP46))),"")</f>
        <v/>
      </c>
      <c r="ER47" s="51" t="str">
        <f t="array" aca="1" ref="ER47" ca="1">IFERROR(INDEX(Leccion[selectorLeccion],SMALL(IF(ER$1=Leccion[SubSección],MATCH(ROW(Leccion[SubSección]),ROW(Leccion[SubSección]))),ROW(EQ46))),"")</f>
        <v/>
      </c>
      <c r="ES47" s="51" t="str">
        <f t="array" aca="1" ref="ES47" ca="1">IFERROR(INDEX(Leccion[selectorLeccion],SMALL(IF(ES$1=Leccion[SubSección],MATCH(ROW(Leccion[SubSección]),ROW(Leccion[SubSección]))),ROW(ER46))),"")</f>
        <v/>
      </c>
      <c r="ET47" s="51" t="str">
        <f t="array" aca="1" ref="ET47" ca="1">IFERROR(INDEX(Leccion[selectorLeccion],SMALL(IF(ET$1=Leccion[SubSección],MATCH(ROW(Leccion[SubSección]),ROW(Leccion[SubSección]))),ROW(ES46))),"")</f>
        <v/>
      </c>
      <c r="EU47" s="51" t="str">
        <f t="array" aca="1" ref="EU47" ca="1">IFERROR(INDEX(Leccion[selectorLeccion],SMALL(IF(EU$1=Leccion[SubSección],MATCH(ROW(Leccion[SubSección]),ROW(Leccion[SubSección]))),ROW(ET46))),"")</f>
        <v/>
      </c>
      <c r="EV47" s="51" t="str">
        <f t="array" aca="1" ref="EV47" ca="1">IFERROR(INDEX(Leccion[selectorLeccion],SMALL(IF(EV$1=Leccion[SubSección],MATCH(ROW(Leccion[SubSección]),ROW(Leccion[SubSección]))),ROW(EU46))),"")</f>
        <v/>
      </c>
      <c r="EW47" s="51" t="str">
        <f t="array" aca="1" ref="EW47" ca="1">IFERROR(INDEX(Leccion[selectorLeccion],SMALL(IF(EW$1=Leccion[SubSección],MATCH(ROW(Leccion[SubSección]),ROW(Leccion[SubSección]))),ROW(EV46))),"")</f>
        <v/>
      </c>
      <c r="EX47" s="51" t="str">
        <f t="array" aca="1" ref="EX47" ca="1">IFERROR(INDEX(Leccion[selectorLeccion],SMALL(IF(EX$1=Leccion[SubSección],MATCH(ROW(Leccion[SubSección]),ROW(Leccion[SubSección]))),ROW(EW46))),"")</f>
        <v/>
      </c>
      <c r="EY47" s="51" t="str">
        <f t="array" aca="1" ref="EY47" ca="1">IFERROR(INDEX(Leccion[selectorLeccion],SMALL(IF(EY$1=Leccion[SubSección],MATCH(ROW(Leccion[SubSección]),ROW(Leccion[SubSección]))),ROW(EX46))),"")</f>
        <v/>
      </c>
      <c r="EZ47" s="51" t="str">
        <f t="array" aca="1" ref="EZ47" ca="1">IFERROR(INDEX(Leccion[selectorLeccion],SMALL(IF(EZ$1=Leccion[SubSección],MATCH(ROW(Leccion[SubSección]),ROW(Leccion[SubSección]))),ROW(EY46))),"")</f>
        <v/>
      </c>
    </row>
    <row r="48" spans="2:156" x14ac:dyDescent="0.3">
      <c r="B48" s="51" t="str">
        <f t="array" aca="1" ref="B48" ca="1">IFERROR(INDEX(Leccion[selectorLeccion],SMALL(IF(B$1=Leccion[SubSección],MATCH(ROW(Leccion[SubSección]),ROW(Leccion[SubSección]))),ROW(A47))),"")</f>
        <v/>
      </c>
      <c r="C48" s="51" t="str">
        <f t="array" aca="1" ref="C48" ca="1">IFERROR(INDEX(Leccion[selectorLeccion],SMALL(IF(C$1=Leccion[SubSección],MATCH(ROW(Leccion[SubSección]),ROW(Leccion[SubSección]))),ROW(B47))),"")</f>
        <v/>
      </c>
      <c r="D48" s="51" t="str">
        <f t="array" aca="1" ref="D48" ca="1">IFERROR(INDEX(Leccion[selectorLeccion],SMALL(IF(D$1=Leccion[SubSección],MATCH(ROW(Leccion[SubSección]),ROW(Leccion[SubSección]))),ROW(C47))),"")</f>
        <v/>
      </c>
      <c r="E48" s="51" t="str">
        <f t="array" aca="1" ref="E48" ca="1">IFERROR(INDEX(Leccion[selectorLeccion],SMALL(IF(E$1=Leccion[SubSección],MATCH(ROW(Leccion[SubSección]),ROW(Leccion[SubSección]))),ROW(D47))),"")</f>
        <v/>
      </c>
      <c r="F48" s="51" t="str">
        <f t="array" aca="1" ref="F48" ca="1">IFERROR(INDEX(Leccion[selectorLeccion],SMALL(IF(F$1=Leccion[SubSección],MATCH(ROW(Leccion[SubSección]),ROW(Leccion[SubSección]))),ROW(E47))),"")</f>
        <v/>
      </c>
      <c r="G48" s="51" t="str">
        <f t="array" aca="1" ref="G48" ca="1">IFERROR(INDEX(Leccion[selectorLeccion],SMALL(IF(G$1=Leccion[SubSección],MATCH(ROW(Leccion[SubSección]),ROW(Leccion[SubSección]))),ROW(F47))),"")</f>
        <v/>
      </c>
      <c r="H48" s="51" t="str">
        <f t="array" aca="1" ref="H48" ca="1">IFERROR(INDEX(Leccion[selectorLeccion],SMALL(IF(H$1=Leccion[SubSección],MATCH(ROW(Leccion[SubSección]),ROW(Leccion[SubSección]))),ROW(G47))),"")</f>
        <v/>
      </c>
      <c r="I48" s="51" t="str">
        <f t="array" aca="1" ref="I48" ca="1">IFERROR(INDEX(Leccion[selectorLeccion],SMALL(IF(I$1=Leccion[SubSección],MATCH(ROW(Leccion[SubSección]),ROW(Leccion[SubSección]))),ROW(H47))),"")</f>
        <v/>
      </c>
      <c r="J48" s="51" t="str">
        <f t="array" aca="1" ref="J48" ca="1">IFERROR(INDEX(Leccion[selectorLeccion],SMALL(IF(J$1=Leccion[SubSección],MATCH(ROW(Leccion[SubSección]),ROW(Leccion[SubSección]))),ROW(I47))),"")</f>
        <v/>
      </c>
      <c r="K48" s="51" t="str">
        <f t="array" aca="1" ref="K48" ca="1">IFERROR(INDEX(Leccion[selectorLeccion],SMALL(IF(K$1=Leccion[SubSección],MATCH(ROW(Leccion[SubSección]),ROW(Leccion[SubSección]))),ROW(J47))),"")</f>
        <v/>
      </c>
      <c r="L48" s="51" t="str">
        <f t="array" aca="1" ref="L48" ca="1">IFERROR(INDEX(Leccion[selectorLeccion],SMALL(IF(L$1=Leccion[SubSección],MATCH(ROW(Leccion[SubSección]),ROW(Leccion[SubSección]))),ROW(K47))),"")</f>
        <v/>
      </c>
      <c r="M48" s="51" t="str">
        <f t="array" aca="1" ref="M48" ca="1">IFERROR(INDEX(Leccion[selectorLeccion],SMALL(IF(M$1=Leccion[SubSección],MATCH(ROW(Leccion[SubSección]),ROW(Leccion[SubSección]))),ROW(L47))),"")</f>
        <v/>
      </c>
      <c r="N48" s="51" t="str">
        <f t="array" aca="1" ref="N48" ca="1">IFERROR(INDEX(Leccion[selectorLeccion],SMALL(IF(N$1=Leccion[SubSección],MATCH(ROW(Leccion[SubSección]),ROW(Leccion[SubSección]))),ROW(M47))),"")</f>
        <v/>
      </c>
      <c r="O48" s="51" t="str">
        <f t="array" aca="1" ref="O48" ca="1">IFERROR(INDEX(Leccion[selectorLeccion],SMALL(IF(O$1=Leccion[SubSección],MATCH(ROW(Leccion[SubSección]),ROW(Leccion[SubSección]))),ROW(N47))),"")</f>
        <v/>
      </c>
      <c r="P48" s="51" t="str">
        <f t="array" aca="1" ref="P48" ca="1">IFERROR(INDEX(Leccion[selectorLeccion],SMALL(IF(P$1=Leccion[SubSección],MATCH(ROW(Leccion[SubSección]),ROW(Leccion[SubSección]))),ROW(O47))),"")</f>
        <v/>
      </c>
      <c r="Q48" s="51" t="str">
        <f t="array" aca="1" ref="Q48" ca="1">IFERROR(INDEX(Leccion[selectorLeccion],SMALL(IF(Q$1=Leccion[SubSección],MATCH(ROW(Leccion[SubSección]),ROW(Leccion[SubSección]))),ROW(P47))),"")</f>
        <v/>
      </c>
      <c r="R48" s="51" t="str">
        <f t="array" aca="1" ref="R48" ca="1">IFERROR(INDEX(Leccion[selectorLeccion],SMALL(IF(R$1=Leccion[SubSección],MATCH(ROW(Leccion[SubSección]),ROW(Leccion[SubSección]))),ROW(Q47))),"")</f>
        <v/>
      </c>
      <c r="S48" s="51" t="str">
        <f t="array" aca="1" ref="S48" ca="1">IFERROR(INDEX(Leccion[selectorLeccion],SMALL(IF(S$1=Leccion[SubSección],MATCH(ROW(Leccion[SubSección]),ROW(Leccion[SubSección]))),ROW(R47))),"")</f>
        <v/>
      </c>
      <c r="T48" s="51" t="str">
        <f t="array" aca="1" ref="T48" ca="1">IFERROR(INDEX(Leccion[selectorLeccion],SMALL(IF(T$1=Leccion[SubSección],MATCH(ROW(Leccion[SubSección]),ROW(Leccion[SubSección]))),ROW(S47))),"")</f>
        <v/>
      </c>
      <c r="U48" s="51" t="str">
        <f t="array" aca="1" ref="U48" ca="1">IFERROR(INDEX(Leccion[selectorLeccion],SMALL(IF(U$1=Leccion[SubSección],MATCH(ROW(Leccion[SubSección]),ROW(Leccion[SubSección]))),ROW(T47))),"")</f>
        <v/>
      </c>
      <c r="V48" s="51" t="str">
        <f t="array" aca="1" ref="V48" ca="1">IFERROR(INDEX(Leccion[selectorLeccion],SMALL(IF(V$1=Leccion[SubSección],MATCH(ROW(Leccion[SubSección]),ROW(Leccion[SubSección]))),ROW(U47))),"")</f>
        <v/>
      </c>
      <c r="W48" s="51" t="str">
        <f t="array" aca="1" ref="W48" ca="1">IFERROR(INDEX(Leccion[selectorLeccion],SMALL(IF(W$1=Leccion[SubSección],MATCH(ROW(Leccion[SubSección]),ROW(Leccion[SubSección]))),ROW(V47))),"")</f>
        <v/>
      </c>
      <c r="X48" s="51" t="str">
        <f t="array" aca="1" ref="X48" ca="1">IFERROR(INDEX(Leccion[selectorLeccion],SMALL(IF(X$1=Leccion[SubSección],MATCH(ROW(Leccion[SubSección]),ROW(Leccion[SubSección]))),ROW(W47))),"")</f>
        <v/>
      </c>
      <c r="Y48" s="51" t="str">
        <f t="array" aca="1" ref="Y48" ca="1">IFERROR(INDEX(Leccion[selectorLeccion],SMALL(IF(Y$1=Leccion[SubSección],MATCH(ROW(Leccion[SubSección]),ROW(Leccion[SubSección]))),ROW(X47))),"")</f>
        <v/>
      </c>
      <c r="Z48" s="51" t="str">
        <f t="array" aca="1" ref="Z48" ca="1">IFERROR(INDEX(Leccion[selectorLeccion],SMALL(IF(Z$1=Leccion[SubSección],MATCH(ROW(Leccion[SubSección]),ROW(Leccion[SubSección]))),ROW(Y47))),"")</f>
        <v/>
      </c>
      <c r="AA48" s="51" t="str">
        <f t="array" aca="1" ref="AA48" ca="1">IFERROR(INDEX(Leccion[selectorLeccion],SMALL(IF(AA$1=Leccion[SubSección],MATCH(ROW(Leccion[SubSección]),ROW(Leccion[SubSección]))),ROW(Z47))),"")</f>
        <v/>
      </c>
      <c r="AB48" s="51" t="str">
        <f t="array" aca="1" ref="AB48" ca="1">IFERROR(INDEX(Leccion[selectorLeccion],SMALL(IF(AB$1=Leccion[SubSección],MATCH(ROW(Leccion[SubSección]),ROW(Leccion[SubSección]))),ROW(AA47))),"")</f>
        <v/>
      </c>
      <c r="AC48" s="51" t="str">
        <f t="array" aca="1" ref="AC48" ca="1">IFERROR(INDEX(Leccion[selectorLeccion],SMALL(IF(AC$1=Leccion[SubSección],MATCH(ROW(Leccion[SubSección]),ROW(Leccion[SubSección]))),ROW(AB47))),"")</f>
        <v/>
      </c>
      <c r="AD48" s="51" t="str">
        <f t="array" aca="1" ref="AD48" ca="1">IFERROR(INDEX(Leccion[selectorLeccion],SMALL(IF(AD$1=Leccion[SubSección],MATCH(ROW(Leccion[SubSección]),ROW(Leccion[SubSección]))),ROW(AC47))),"")</f>
        <v/>
      </c>
      <c r="AE48" s="51" t="str">
        <f t="array" aca="1" ref="AE48" ca="1">IFERROR(INDEX(Leccion[selectorLeccion],SMALL(IF(AE$1=Leccion[SubSección],MATCH(ROW(Leccion[SubSección]),ROW(Leccion[SubSección]))),ROW(AD47))),"")</f>
        <v/>
      </c>
      <c r="AF48" s="51" t="str">
        <f t="array" aca="1" ref="AF48" ca="1">IFERROR(INDEX(Leccion[selectorLeccion],SMALL(IF(AF$1=Leccion[SubSección],MATCH(ROW(Leccion[SubSección]),ROW(Leccion[SubSección]))),ROW(AE47))),"")</f>
        <v/>
      </c>
      <c r="AG48" s="51" t="str">
        <f t="array" aca="1" ref="AG48" ca="1">IFERROR(INDEX(Leccion[selectorLeccion],SMALL(IF(AG$1=Leccion[SubSección],MATCH(ROW(Leccion[SubSección]),ROW(Leccion[SubSección]))),ROW(AF47))),"")</f>
        <v/>
      </c>
      <c r="AH48" s="51" t="str">
        <f t="array" aca="1" ref="AH48" ca="1">IFERROR(INDEX(Leccion[selectorLeccion],SMALL(IF(AH$1=Leccion[SubSección],MATCH(ROW(Leccion[SubSección]),ROW(Leccion[SubSección]))),ROW(AG47))),"")</f>
        <v/>
      </c>
      <c r="AI48" s="51" t="str">
        <f t="array" aca="1" ref="AI48" ca="1">IFERROR(INDEX(Leccion[selectorLeccion],SMALL(IF(AI$1=Leccion[SubSección],MATCH(ROW(Leccion[SubSección]),ROW(Leccion[SubSección]))),ROW(AH47))),"")</f>
        <v/>
      </c>
      <c r="AJ48" s="51" t="str">
        <f t="array" aca="1" ref="AJ48" ca="1">IFERROR(INDEX(Leccion[selectorLeccion],SMALL(IF(AJ$1=Leccion[SubSección],MATCH(ROW(Leccion[SubSección]),ROW(Leccion[SubSección]))),ROW(AI47))),"")</f>
        <v/>
      </c>
      <c r="AK48" s="51" t="str">
        <f t="array" aca="1" ref="AK48" ca="1">IFERROR(INDEX(Leccion[selectorLeccion],SMALL(IF(AK$1=Leccion[SubSección],MATCH(ROW(Leccion[SubSección]),ROW(Leccion[SubSección]))),ROW(AJ47))),"")</f>
        <v/>
      </c>
      <c r="AL48" s="51" t="str">
        <f t="array" aca="1" ref="AL48" ca="1">IFERROR(INDEX(Leccion[selectorLeccion],SMALL(IF(AL$1=Leccion[SubSección],MATCH(ROW(Leccion[SubSección]),ROW(Leccion[SubSección]))),ROW(AK47))),"")</f>
        <v/>
      </c>
      <c r="AM48" s="51" t="str">
        <f t="array" aca="1" ref="AM48" ca="1">IFERROR(INDEX(Leccion[selectorLeccion],SMALL(IF(AM$1=Leccion[SubSección],MATCH(ROW(Leccion[SubSección]),ROW(Leccion[SubSección]))),ROW(AL47))),"")</f>
        <v/>
      </c>
      <c r="AN48" s="51" t="str">
        <f t="array" aca="1" ref="AN48" ca="1">IFERROR(INDEX(Leccion[selectorLeccion],SMALL(IF(AN$1=Leccion[SubSección],MATCH(ROW(Leccion[SubSección]),ROW(Leccion[SubSección]))),ROW(AM47))),"")</f>
        <v/>
      </c>
      <c r="AO48" s="51" t="str">
        <f t="array" aca="1" ref="AO48" ca="1">IFERROR(INDEX(Leccion[selectorLeccion],SMALL(IF(AO$1=Leccion[SubSección],MATCH(ROW(Leccion[SubSección]),ROW(Leccion[SubSección]))),ROW(AN47))),"")</f>
        <v/>
      </c>
      <c r="AP48" s="51" t="str">
        <f t="array" aca="1" ref="AP48" ca="1">IFERROR(INDEX(Leccion[selectorLeccion],SMALL(IF(AP$1=Leccion[SubSección],MATCH(ROW(Leccion[SubSección]),ROW(Leccion[SubSección]))),ROW(AO47))),"")</f>
        <v/>
      </c>
      <c r="AQ48" s="51" t="str">
        <f t="array" aca="1" ref="AQ48" ca="1">IFERROR(INDEX(Leccion[selectorLeccion],SMALL(IF(AQ$1=Leccion[SubSección],MATCH(ROW(Leccion[SubSección]),ROW(Leccion[SubSección]))),ROW(AP47))),"")</f>
        <v/>
      </c>
      <c r="AR48" s="51" t="str">
        <f t="array" aca="1" ref="AR48" ca="1">IFERROR(INDEX(Leccion[selectorLeccion],SMALL(IF(AR$1=Leccion[SubSección],MATCH(ROW(Leccion[SubSección]),ROW(Leccion[SubSección]))),ROW(AQ47))),"")</f>
        <v/>
      </c>
      <c r="AS48" s="51" t="str">
        <f t="array" aca="1" ref="AS48" ca="1">IFERROR(INDEX(Leccion[selectorLeccion],SMALL(IF(AS$1=Leccion[SubSección],MATCH(ROW(Leccion[SubSección]),ROW(Leccion[SubSección]))),ROW(AR47))),"")</f>
        <v/>
      </c>
      <c r="AT48" s="51" t="str">
        <f t="array" aca="1" ref="AT48" ca="1">IFERROR(INDEX(Leccion[selectorLeccion],SMALL(IF(AT$1=Leccion[SubSección],MATCH(ROW(Leccion[SubSección]),ROW(Leccion[SubSección]))),ROW(AS47))),"")</f>
        <v/>
      </c>
      <c r="AU48" s="51" t="str">
        <f t="array" aca="1" ref="AU48" ca="1">IFERROR(INDEX(Leccion[selectorLeccion],SMALL(IF(AU$1=Leccion[SubSección],MATCH(ROW(Leccion[SubSección]),ROW(Leccion[SubSección]))),ROW(AT47))),"")</f>
        <v/>
      </c>
      <c r="AV48" s="51" t="str">
        <f t="array" aca="1" ref="AV48" ca="1">IFERROR(INDEX(Leccion[selectorLeccion],SMALL(IF(AV$1=Leccion[SubSección],MATCH(ROW(Leccion[SubSección]),ROW(Leccion[SubSección]))),ROW(AU47))),"")</f>
        <v/>
      </c>
      <c r="AW48" s="51" t="str">
        <f t="array" aca="1" ref="AW48" ca="1">IFERROR(INDEX(Leccion[selectorLeccion],SMALL(IF(AW$1=Leccion[SubSección],MATCH(ROW(Leccion[SubSección]),ROW(Leccion[SubSección]))),ROW(AV47))),"")</f>
        <v/>
      </c>
      <c r="AX48" s="51" t="str">
        <f t="array" aca="1" ref="AX48" ca="1">IFERROR(INDEX(Leccion[selectorLeccion],SMALL(IF(AX$1=Leccion[SubSección],MATCH(ROW(Leccion[SubSección]),ROW(Leccion[SubSección]))),ROW(AW47))),"")</f>
        <v/>
      </c>
      <c r="AY48" s="51" t="str">
        <f t="array" aca="1" ref="AY48" ca="1">IFERROR(INDEX(Leccion[selectorLeccion],SMALL(IF(AY$1=Leccion[SubSección],MATCH(ROW(Leccion[SubSección]),ROW(Leccion[SubSección]))),ROW(AX47))),"")</f>
        <v/>
      </c>
      <c r="AZ48" s="51" t="str">
        <f t="array" aca="1" ref="AZ48" ca="1">IFERROR(INDEX(Leccion[selectorLeccion],SMALL(IF(AZ$1=Leccion[SubSección],MATCH(ROW(Leccion[SubSección]),ROW(Leccion[SubSección]))),ROW(AY47))),"")</f>
        <v/>
      </c>
      <c r="BA48" s="51" t="str">
        <f t="array" aca="1" ref="BA48" ca="1">IFERROR(INDEX(Leccion[selectorLeccion],SMALL(IF(BA$1=Leccion[SubSección],MATCH(ROW(Leccion[SubSección]),ROW(Leccion[SubSección]))),ROW(AZ47))),"")</f>
        <v/>
      </c>
      <c r="BB48" s="51" t="str">
        <f t="array" aca="1" ref="BB48" ca="1">IFERROR(INDEX(Leccion[selectorLeccion],SMALL(IF(BB$1=Leccion[SubSección],MATCH(ROW(Leccion[SubSección]),ROW(Leccion[SubSección]))),ROW(BA47))),"")</f>
        <v/>
      </c>
      <c r="BC48" s="51" t="str">
        <f t="array" aca="1" ref="BC48" ca="1">IFERROR(INDEX(Leccion[selectorLeccion],SMALL(IF(BC$1=Leccion[SubSección],MATCH(ROW(Leccion[SubSección]),ROW(Leccion[SubSección]))),ROW(BB47))),"")</f>
        <v/>
      </c>
      <c r="BD48" s="51" t="str">
        <f t="array" aca="1" ref="BD48" ca="1">IFERROR(INDEX(Leccion[selectorLeccion],SMALL(IF(BD$1=Leccion[SubSección],MATCH(ROW(Leccion[SubSección]),ROW(Leccion[SubSección]))),ROW(BC47))),"")</f>
        <v/>
      </c>
      <c r="BE48" s="51" t="str">
        <f t="array" aca="1" ref="BE48" ca="1">IFERROR(INDEX(Leccion[selectorLeccion],SMALL(IF(BE$1=Leccion[SubSección],MATCH(ROW(Leccion[SubSección]),ROW(Leccion[SubSección]))),ROW(BD47))),"")</f>
        <v/>
      </c>
      <c r="BF48" s="51" t="str">
        <f t="array" aca="1" ref="BF48" ca="1">IFERROR(INDEX(Leccion[selectorLeccion],SMALL(IF(BF$1=Leccion[SubSección],MATCH(ROW(Leccion[SubSección]),ROW(Leccion[SubSección]))),ROW(BE47))),"")</f>
        <v/>
      </c>
      <c r="BG48" s="51" t="str">
        <f t="array" aca="1" ref="BG48" ca="1">IFERROR(INDEX(Leccion[selectorLeccion],SMALL(IF(BG$1=Leccion[SubSección],MATCH(ROW(Leccion[SubSección]),ROW(Leccion[SubSección]))),ROW(BF47))),"")</f>
        <v/>
      </c>
      <c r="BH48" s="51" t="str">
        <f t="array" aca="1" ref="BH48" ca="1">IFERROR(INDEX(Leccion[selectorLeccion],SMALL(IF(BH$1=Leccion[SubSección],MATCH(ROW(Leccion[SubSección]),ROW(Leccion[SubSección]))),ROW(BG47))),"")</f>
        <v/>
      </c>
      <c r="BI48" s="51" t="str">
        <f t="array" aca="1" ref="BI48" ca="1">IFERROR(INDEX(Leccion[selectorLeccion],SMALL(IF(BI$1=Leccion[SubSección],MATCH(ROW(Leccion[SubSección]),ROW(Leccion[SubSección]))),ROW(BH47))),"")</f>
        <v/>
      </c>
      <c r="BJ48" s="51" t="str">
        <f t="array" aca="1" ref="BJ48" ca="1">IFERROR(INDEX(Leccion[selectorLeccion],SMALL(IF(BJ$1=Leccion[SubSección],MATCH(ROW(Leccion[SubSección]),ROW(Leccion[SubSección]))),ROW(BI47))),"")</f>
        <v/>
      </c>
      <c r="BK48" s="51" t="str">
        <f t="array" aca="1" ref="BK48" ca="1">IFERROR(INDEX(Leccion[selectorLeccion],SMALL(IF(BK$1=Leccion[SubSección],MATCH(ROW(Leccion[SubSección]),ROW(Leccion[SubSección]))),ROW(BJ47))),"")</f>
        <v/>
      </c>
      <c r="BL48" s="51" t="str">
        <f t="array" aca="1" ref="BL48" ca="1">IFERROR(INDEX(Leccion[selectorLeccion],SMALL(IF(BL$1=Leccion[SubSección],MATCH(ROW(Leccion[SubSección]),ROW(Leccion[SubSección]))),ROW(BK47))),"")</f>
        <v/>
      </c>
      <c r="BM48" s="51" t="str">
        <f t="array" aca="1" ref="BM48" ca="1">IFERROR(INDEX(Leccion[selectorLeccion],SMALL(IF(BM$1=Leccion[SubSección],MATCH(ROW(Leccion[SubSección]),ROW(Leccion[SubSección]))),ROW(BL47))),"")</f>
        <v/>
      </c>
      <c r="BN48" s="51" t="str">
        <f t="array" aca="1" ref="BN48" ca="1">IFERROR(INDEX(Leccion[selectorLeccion],SMALL(IF(BN$1=Leccion[SubSección],MATCH(ROW(Leccion[SubSección]),ROW(Leccion[SubSección]))),ROW(BM47))),"")</f>
        <v/>
      </c>
      <c r="BO48" s="51" t="str">
        <f t="array" aca="1" ref="BO48" ca="1">IFERROR(INDEX(Leccion[selectorLeccion],SMALL(IF(BO$1=Leccion[SubSección],MATCH(ROW(Leccion[SubSección]),ROW(Leccion[SubSección]))),ROW(BN47))),"")</f>
        <v/>
      </c>
      <c r="BP48" s="51" t="str">
        <f t="array" aca="1" ref="BP48" ca="1">IFERROR(INDEX(Leccion[selectorLeccion],SMALL(IF(BP$1=Leccion[SubSección],MATCH(ROW(Leccion[SubSección]),ROW(Leccion[SubSección]))),ROW(BO47))),"")</f>
        <v/>
      </c>
      <c r="BQ48" s="51" t="str">
        <f t="array" aca="1" ref="BQ48" ca="1">IFERROR(INDEX(Leccion[selectorLeccion],SMALL(IF(BQ$1=Leccion[SubSección],MATCH(ROW(Leccion[SubSección]),ROW(Leccion[SubSección]))),ROW(BP47))),"")</f>
        <v/>
      </c>
      <c r="BR48" s="51" t="str">
        <f t="array" aca="1" ref="BR48" ca="1">IFERROR(INDEX(Leccion[selectorLeccion],SMALL(IF(BR$1=Leccion[SubSección],MATCH(ROW(Leccion[SubSección]),ROW(Leccion[SubSección]))),ROW(BQ47))),"")</f>
        <v/>
      </c>
      <c r="BS48" s="51" t="str">
        <f t="array" aca="1" ref="BS48" ca="1">IFERROR(INDEX(Leccion[selectorLeccion],SMALL(IF(BS$1=Leccion[SubSección],MATCH(ROW(Leccion[SubSección]),ROW(Leccion[SubSección]))),ROW(BR47))),"")</f>
        <v/>
      </c>
      <c r="BT48" s="51" t="str">
        <f t="array" aca="1" ref="BT48" ca="1">IFERROR(INDEX(Leccion[selectorLeccion],SMALL(IF(BT$1=Leccion[SubSección],MATCH(ROW(Leccion[SubSección]),ROW(Leccion[SubSección]))),ROW(BS47))),"")</f>
        <v/>
      </c>
      <c r="BU48" s="51" t="str">
        <f t="array" aca="1" ref="BU48" ca="1">IFERROR(INDEX(Leccion[selectorLeccion],SMALL(IF(BU$1=Leccion[SubSección],MATCH(ROW(Leccion[SubSección]),ROW(Leccion[SubSección]))),ROW(BT47))),"")</f>
        <v/>
      </c>
      <c r="BV48" s="51" t="str">
        <f t="array" aca="1" ref="BV48" ca="1">IFERROR(INDEX(Leccion[selectorLeccion],SMALL(IF(BV$1=Leccion[SubSección],MATCH(ROW(Leccion[SubSección]),ROW(Leccion[SubSección]))),ROW(BU47))),"")</f>
        <v/>
      </c>
      <c r="BW48" s="51" t="str">
        <f t="array" aca="1" ref="BW48" ca="1">IFERROR(INDEX(Leccion[selectorLeccion],SMALL(IF(BW$1=Leccion[SubSección],MATCH(ROW(Leccion[SubSección]),ROW(Leccion[SubSección]))),ROW(BV47))),"")</f>
        <v/>
      </c>
      <c r="BX48" s="51" t="str">
        <f t="array" aca="1" ref="BX48" ca="1">IFERROR(INDEX(Leccion[selectorLeccion],SMALL(IF(BX$1=Leccion[SubSección],MATCH(ROW(Leccion[SubSección]),ROW(Leccion[SubSección]))),ROW(BW47))),"")</f>
        <v/>
      </c>
      <c r="BY48" s="51" t="str">
        <f t="array" aca="1" ref="BY48" ca="1">IFERROR(INDEX(Leccion[selectorLeccion],SMALL(IF(BY$1=Leccion[SubSección],MATCH(ROW(Leccion[SubSección]),ROW(Leccion[SubSección]))),ROW(BX47))),"")</f>
        <v/>
      </c>
      <c r="BZ48" s="51" t="str">
        <f t="array" aca="1" ref="BZ48" ca="1">IFERROR(INDEX(Leccion[selectorLeccion],SMALL(IF(BZ$1=Leccion[SubSección],MATCH(ROW(Leccion[SubSección]),ROW(Leccion[SubSección]))),ROW(BY47))),"")</f>
        <v/>
      </c>
      <c r="CA48" s="51" t="str">
        <f t="array" aca="1" ref="CA48" ca="1">IFERROR(INDEX(Leccion[selectorLeccion],SMALL(IF(CA$1=Leccion[SubSección],MATCH(ROW(Leccion[SubSección]),ROW(Leccion[SubSección]))),ROW(BZ47))),"")</f>
        <v/>
      </c>
      <c r="CB48" s="51" t="str">
        <f t="array" aca="1" ref="CB48" ca="1">IFERROR(INDEX(Leccion[selectorLeccion],SMALL(IF(CB$1=Leccion[SubSección],MATCH(ROW(Leccion[SubSección]),ROW(Leccion[SubSección]))),ROW(CA47))),"")</f>
        <v/>
      </c>
      <c r="CC48" s="51" t="str">
        <f t="array" aca="1" ref="CC48" ca="1">IFERROR(INDEX(Leccion[selectorLeccion],SMALL(IF(CC$1=Leccion[SubSección],MATCH(ROW(Leccion[SubSección]),ROW(Leccion[SubSección]))),ROW(CB47))),"")</f>
        <v/>
      </c>
      <c r="CD48" s="51" t="str">
        <f t="array" aca="1" ref="CD48" ca="1">IFERROR(INDEX(Leccion[selectorLeccion],SMALL(IF(CD$1=Leccion[SubSección],MATCH(ROW(Leccion[SubSección]),ROW(Leccion[SubSección]))),ROW(CC47))),"")</f>
        <v/>
      </c>
      <c r="CE48" s="51" t="str">
        <f t="array" aca="1" ref="CE48" ca="1">IFERROR(INDEX(Leccion[selectorLeccion],SMALL(IF(CE$1=Leccion[SubSección],MATCH(ROW(Leccion[SubSección]),ROW(Leccion[SubSección]))),ROW(CD47))),"")</f>
        <v/>
      </c>
      <c r="CF48" s="51" t="str">
        <f t="array" aca="1" ref="CF48" ca="1">IFERROR(INDEX(Leccion[selectorLeccion],SMALL(IF(CF$1=Leccion[SubSección],MATCH(ROW(Leccion[SubSección]),ROW(Leccion[SubSección]))),ROW(CE47))),"")</f>
        <v/>
      </c>
      <c r="CG48" s="51" t="str">
        <f t="array" aca="1" ref="CG48" ca="1">IFERROR(INDEX(Leccion[selectorLeccion],SMALL(IF(CG$1=Leccion[SubSección],MATCH(ROW(Leccion[SubSección]),ROW(Leccion[SubSección]))),ROW(CF47))),"")</f>
        <v/>
      </c>
      <c r="CH48" s="51" t="str">
        <f t="array" aca="1" ref="CH48" ca="1">IFERROR(INDEX(Leccion[selectorLeccion],SMALL(IF(CH$1=Leccion[SubSección],MATCH(ROW(Leccion[SubSección]),ROW(Leccion[SubSección]))),ROW(CG47))),"")</f>
        <v/>
      </c>
      <c r="CI48" s="51" t="str">
        <f t="array" aca="1" ref="CI48" ca="1">IFERROR(INDEX(Leccion[selectorLeccion],SMALL(IF(CI$1=Leccion[SubSección],MATCH(ROW(Leccion[SubSección]),ROW(Leccion[SubSección]))),ROW(CH47))),"")</f>
        <v/>
      </c>
      <c r="CJ48" s="51" t="str">
        <f t="array" aca="1" ref="CJ48" ca="1">IFERROR(INDEX(Leccion[selectorLeccion],SMALL(IF(CJ$1=Leccion[SubSección],MATCH(ROW(Leccion[SubSección]),ROW(Leccion[SubSección]))),ROW(CI47))),"")</f>
        <v/>
      </c>
      <c r="CK48" s="51" t="str">
        <f t="array" aca="1" ref="CK48" ca="1">IFERROR(INDEX(Leccion[selectorLeccion],SMALL(IF(CK$1=Leccion[SubSección],MATCH(ROW(Leccion[SubSección]),ROW(Leccion[SubSección]))),ROW(CJ47))),"")</f>
        <v/>
      </c>
      <c r="CL48" s="51" t="str">
        <f t="array" aca="1" ref="CL48" ca="1">IFERROR(INDEX(Leccion[selectorLeccion],SMALL(IF(CL$1=Leccion[SubSección],MATCH(ROW(Leccion[SubSección]),ROW(Leccion[SubSección]))),ROW(CK47))),"")</f>
        <v/>
      </c>
      <c r="CM48" s="51" t="str">
        <f t="array" aca="1" ref="CM48" ca="1">IFERROR(INDEX(Leccion[selectorLeccion],SMALL(IF(CM$1=Leccion[SubSección],MATCH(ROW(Leccion[SubSección]),ROW(Leccion[SubSección]))),ROW(CL47))),"")</f>
        <v/>
      </c>
      <c r="CN48" s="51" t="str">
        <f t="array" aca="1" ref="CN48" ca="1">IFERROR(INDEX(Leccion[selectorLeccion],SMALL(IF(CN$1=Leccion[SubSección],MATCH(ROW(Leccion[SubSección]),ROW(Leccion[SubSección]))),ROW(CM47))),"")</f>
        <v/>
      </c>
      <c r="CO48" s="51" t="str">
        <f t="array" aca="1" ref="CO48" ca="1">IFERROR(INDEX(Leccion[selectorLeccion],SMALL(IF(CO$1=Leccion[SubSección],MATCH(ROW(Leccion[SubSección]),ROW(Leccion[SubSección]))),ROW(CN47))),"")</f>
        <v/>
      </c>
      <c r="CP48" s="51" t="str">
        <f t="array" aca="1" ref="CP48" ca="1">IFERROR(INDEX(Leccion[selectorLeccion],SMALL(IF(CP$1=Leccion[SubSección],MATCH(ROW(Leccion[SubSección]),ROW(Leccion[SubSección]))),ROW(CO47))),"")</f>
        <v/>
      </c>
      <c r="CQ48" s="51" t="str">
        <f t="array" aca="1" ref="CQ48" ca="1">IFERROR(INDEX(Leccion[selectorLeccion],SMALL(IF(CQ$1=Leccion[SubSección],MATCH(ROW(Leccion[SubSección]),ROW(Leccion[SubSección]))),ROW(CP47))),"")</f>
        <v/>
      </c>
      <c r="CR48" s="51" t="str">
        <f t="array" aca="1" ref="CR48" ca="1">IFERROR(INDEX(Leccion[selectorLeccion],SMALL(IF(CR$1=Leccion[SubSección],MATCH(ROW(Leccion[SubSección]),ROW(Leccion[SubSección]))),ROW(CQ47))),"")</f>
        <v/>
      </c>
      <c r="CS48" s="51" t="str">
        <f t="array" aca="1" ref="CS48" ca="1">IFERROR(INDEX(Leccion[selectorLeccion],SMALL(IF(CS$1=Leccion[SubSección],MATCH(ROW(Leccion[SubSección]),ROW(Leccion[SubSección]))),ROW(CR47))),"")</f>
        <v/>
      </c>
      <c r="CT48" s="51" t="str">
        <f t="array" aca="1" ref="CT48" ca="1">IFERROR(INDEX(Leccion[selectorLeccion],SMALL(IF(CT$1=Leccion[SubSección],MATCH(ROW(Leccion[SubSección]),ROW(Leccion[SubSección]))),ROW(CS47))),"")</f>
        <v/>
      </c>
      <c r="CU48" s="51" t="str">
        <f t="array" aca="1" ref="CU48" ca="1">IFERROR(INDEX(Leccion[selectorLeccion],SMALL(IF(CU$1=Leccion[SubSección],MATCH(ROW(Leccion[SubSección]),ROW(Leccion[SubSección]))),ROW(CT47))),"")</f>
        <v/>
      </c>
      <c r="CV48" s="51" t="str">
        <f t="array" aca="1" ref="CV48" ca="1">IFERROR(INDEX(Leccion[selectorLeccion],SMALL(IF(CV$1=Leccion[SubSección],MATCH(ROW(Leccion[SubSección]),ROW(Leccion[SubSección]))),ROW(CU47))),"")</f>
        <v/>
      </c>
      <c r="CW48" s="51" t="str">
        <f t="array" aca="1" ref="CW48" ca="1">IFERROR(INDEX(Leccion[selectorLeccion],SMALL(IF(CW$1=Leccion[SubSección],MATCH(ROW(Leccion[SubSección]),ROW(Leccion[SubSección]))),ROW(CV47))),"")</f>
        <v/>
      </c>
      <c r="CX48" s="51" t="str">
        <f t="array" aca="1" ref="CX48" ca="1">IFERROR(INDEX(Leccion[selectorLeccion],SMALL(IF(CX$1=Leccion[SubSección],MATCH(ROW(Leccion[SubSección]),ROW(Leccion[SubSección]))),ROW(CW47))),"")</f>
        <v/>
      </c>
      <c r="CY48" s="51" t="str">
        <f t="array" aca="1" ref="CY48" ca="1">IFERROR(INDEX(Leccion[selectorLeccion],SMALL(IF(CY$1=Leccion[SubSección],MATCH(ROW(Leccion[SubSección]),ROW(Leccion[SubSección]))),ROW(CX47))),"")</f>
        <v/>
      </c>
      <c r="CZ48" s="51" t="str">
        <f t="array" aca="1" ref="CZ48" ca="1">IFERROR(INDEX(Leccion[selectorLeccion],SMALL(IF(CZ$1=Leccion[SubSección],MATCH(ROW(Leccion[SubSección]),ROW(Leccion[SubSección]))),ROW(CY47))),"")</f>
        <v/>
      </c>
      <c r="DA48" s="51" t="str">
        <f t="array" aca="1" ref="DA48" ca="1">IFERROR(INDEX(Leccion[selectorLeccion],SMALL(IF(DA$1=Leccion[SubSección],MATCH(ROW(Leccion[SubSección]),ROW(Leccion[SubSección]))),ROW(CZ47))),"")</f>
        <v/>
      </c>
      <c r="DB48" s="51" t="str">
        <f t="array" aca="1" ref="DB48" ca="1">IFERROR(INDEX(Leccion[selectorLeccion],SMALL(IF(DB$1=Leccion[SubSección],MATCH(ROW(Leccion[SubSección]),ROW(Leccion[SubSección]))),ROW(DA47))),"")</f>
        <v/>
      </c>
      <c r="DC48" s="51" t="str">
        <f t="array" aca="1" ref="DC48" ca="1">IFERROR(INDEX(Leccion[selectorLeccion],SMALL(IF(DC$1=Leccion[SubSección],MATCH(ROW(Leccion[SubSección]),ROW(Leccion[SubSección]))),ROW(DB47))),"")</f>
        <v/>
      </c>
      <c r="DD48" s="51" t="str">
        <f t="array" aca="1" ref="DD48" ca="1">IFERROR(INDEX(Leccion[selectorLeccion],SMALL(IF(DD$1=Leccion[SubSección],MATCH(ROW(Leccion[SubSección]),ROW(Leccion[SubSección]))),ROW(DC47))),"")</f>
        <v/>
      </c>
      <c r="DE48" s="51" t="str">
        <f t="array" aca="1" ref="DE48" ca="1">IFERROR(INDEX(Leccion[selectorLeccion],SMALL(IF(DE$1=Leccion[SubSección],MATCH(ROW(Leccion[SubSección]),ROW(Leccion[SubSección]))),ROW(DD47))),"")</f>
        <v/>
      </c>
      <c r="DF48" s="51" t="str">
        <f t="array" aca="1" ref="DF48" ca="1">IFERROR(INDEX(Leccion[selectorLeccion],SMALL(IF(DF$1=Leccion[SubSección],MATCH(ROW(Leccion[SubSección]),ROW(Leccion[SubSección]))),ROW(DE47))),"")</f>
        <v/>
      </c>
      <c r="DG48" s="51" t="str">
        <f t="array" aca="1" ref="DG48" ca="1">IFERROR(INDEX(Leccion[selectorLeccion],SMALL(IF(DG$1=Leccion[SubSección],MATCH(ROW(Leccion[SubSección]),ROW(Leccion[SubSección]))),ROW(DF47))),"")</f>
        <v/>
      </c>
      <c r="DH48" s="51" t="str">
        <f t="array" aca="1" ref="DH48" ca="1">IFERROR(INDEX(Leccion[selectorLeccion],SMALL(IF(DH$1=Leccion[SubSección],MATCH(ROW(Leccion[SubSección]),ROW(Leccion[SubSección]))),ROW(DG47))),"")</f>
        <v/>
      </c>
      <c r="DI48" s="51" t="str">
        <f t="array" aca="1" ref="DI48" ca="1">IFERROR(INDEX(Leccion[selectorLeccion],SMALL(IF(DI$1=Leccion[SubSección],MATCH(ROW(Leccion[SubSección]),ROW(Leccion[SubSección]))),ROW(DH47))),"")</f>
        <v/>
      </c>
      <c r="DJ48" s="51" t="str">
        <f t="array" aca="1" ref="DJ48" ca="1">IFERROR(INDEX(Leccion[selectorLeccion],SMALL(IF(DJ$1=Leccion[SubSección],MATCH(ROW(Leccion[SubSección]),ROW(Leccion[SubSección]))),ROW(DI47))),"")</f>
        <v/>
      </c>
      <c r="DK48" s="51" t="str">
        <f t="array" aca="1" ref="DK48" ca="1">IFERROR(INDEX(Leccion[selectorLeccion],SMALL(IF(DK$1=Leccion[SubSección],MATCH(ROW(Leccion[SubSección]),ROW(Leccion[SubSección]))),ROW(DJ47))),"")</f>
        <v/>
      </c>
      <c r="DL48" s="51" t="str">
        <f t="array" aca="1" ref="DL48" ca="1">IFERROR(INDEX(Leccion[selectorLeccion],SMALL(IF(DL$1=Leccion[SubSección],MATCH(ROW(Leccion[SubSección]),ROW(Leccion[SubSección]))),ROW(DK47))),"")</f>
        <v/>
      </c>
      <c r="DM48" s="51" t="str">
        <f t="array" aca="1" ref="DM48" ca="1">IFERROR(INDEX(Leccion[selectorLeccion],SMALL(IF(DM$1=Leccion[SubSección],MATCH(ROW(Leccion[SubSección]),ROW(Leccion[SubSección]))),ROW(DL47))),"")</f>
        <v/>
      </c>
      <c r="DN48" s="51" t="str">
        <f t="array" aca="1" ref="DN48" ca="1">IFERROR(INDEX(Leccion[selectorLeccion],SMALL(IF(DN$1=Leccion[SubSección],MATCH(ROW(Leccion[SubSección]),ROW(Leccion[SubSección]))),ROW(DM47))),"")</f>
        <v/>
      </c>
      <c r="DO48" s="51" t="str">
        <f t="array" aca="1" ref="DO48" ca="1">IFERROR(INDEX(Leccion[selectorLeccion],SMALL(IF(DO$1=Leccion[SubSección],MATCH(ROW(Leccion[SubSección]),ROW(Leccion[SubSección]))),ROW(DN47))),"")</f>
        <v/>
      </c>
      <c r="DP48" s="51" t="str">
        <f t="array" aca="1" ref="DP48" ca="1">IFERROR(INDEX(Leccion[selectorLeccion],SMALL(IF(DP$1=Leccion[SubSección],MATCH(ROW(Leccion[SubSección]),ROW(Leccion[SubSección]))),ROW(DO47))),"")</f>
        <v/>
      </c>
      <c r="DQ48" s="51" t="str">
        <f t="array" aca="1" ref="DQ48" ca="1">IFERROR(INDEX(Leccion[selectorLeccion],SMALL(IF(DQ$1=Leccion[SubSección],MATCH(ROW(Leccion[SubSección]),ROW(Leccion[SubSección]))),ROW(DP47))),"")</f>
        <v/>
      </c>
      <c r="DR48" s="51" t="str">
        <f t="array" aca="1" ref="DR48" ca="1">IFERROR(INDEX(Leccion[selectorLeccion],SMALL(IF(DR$1=Leccion[SubSección],MATCH(ROW(Leccion[SubSección]),ROW(Leccion[SubSección]))),ROW(DQ47))),"")</f>
        <v/>
      </c>
      <c r="DS48" s="51" t="str">
        <f t="array" aca="1" ref="DS48" ca="1">IFERROR(INDEX(Leccion[selectorLeccion],SMALL(IF(DS$1=Leccion[SubSección],MATCH(ROW(Leccion[SubSección]),ROW(Leccion[SubSección]))),ROW(DR47))),"")</f>
        <v/>
      </c>
      <c r="DT48" s="51" t="str">
        <f t="array" aca="1" ref="DT48" ca="1">IFERROR(INDEX(Leccion[selectorLeccion],SMALL(IF(DT$1=Leccion[SubSección],MATCH(ROW(Leccion[SubSección]),ROW(Leccion[SubSección]))),ROW(DS47))),"")</f>
        <v/>
      </c>
      <c r="DU48" s="51" t="str">
        <f t="array" aca="1" ref="DU48" ca="1">IFERROR(INDEX(Leccion[selectorLeccion],SMALL(IF(DU$1=Leccion[SubSección],MATCH(ROW(Leccion[SubSección]),ROW(Leccion[SubSección]))),ROW(DT47))),"")</f>
        <v/>
      </c>
      <c r="DV48" s="51" t="str">
        <f t="array" aca="1" ref="DV48" ca="1">IFERROR(INDEX(Leccion[selectorLeccion],SMALL(IF(DV$1=Leccion[SubSección],MATCH(ROW(Leccion[SubSección]),ROW(Leccion[SubSección]))),ROW(DU47))),"")</f>
        <v/>
      </c>
      <c r="DW48" s="51" t="str">
        <f t="array" aca="1" ref="DW48" ca="1">IFERROR(INDEX(Leccion[selectorLeccion],SMALL(IF(DW$1=Leccion[SubSección],MATCH(ROW(Leccion[SubSección]),ROW(Leccion[SubSección]))),ROW(DV47))),"")</f>
        <v/>
      </c>
      <c r="DX48" s="51" t="str">
        <f t="array" aca="1" ref="DX48" ca="1">IFERROR(INDEX(Leccion[selectorLeccion],SMALL(IF(DX$1=Leccion[SubSección],MATCH(ROW(Leccion[SubSección]),ROW(Leccion[SubSección]))),ROW(DW47))),"")</f>
        <v/>
      </c>
      <c r="DY48" s="51" t="str">
        <f t="array" aca="1" ref="DY48" ca="1">IFERROR(INDEX(Leccion[selectorLeccion],SMALL(IF(DY$1=Leccion[SubSección],MATCH(ROW(Leccion[SubSección]),ROW(Leccion[SubSección]))),ROW(DX47))),"")</f>
        <v/>
      </c>
      <c r="DZ48" s="51" t="str">
        <f t="array" aca="1" ref="DZ48" ca="1">IFERROR(INDEX(Leccion[selectorLeccion],SMALL(IF(DZ$1=Leccion[SubSección],MATCH(ROW(Leccion[SubSección]),ROW(Leccion[SubSección]))),ROW(DY47))),"")</f>
        <v/>
      </c>
      <c r="EA48" s="51" t="str">
        <f t="array" aca="1" ref="EA48" ca="1">IFERROR(INDEX(Leccion[selectorLeccion],SMALL(IF(EA$1=Leccion[SubSección],MATCH(ROW(Leccion[SubSección]),ROW(Leccion[SubSección]))),ROW(DZ47))),"")</f>
        <v/>
      </c>
      <c r="EB48" s="51" t="str">
        <f t="array" aca="1" ref="EB48" ca="1">IFERROR(INDEX(Leccion[selectorLeccion],SMALL(IF(EB$1=Leccion[SubSección],MATCH(ROW(Leccion[SubSección]),ROW(Leccion[SubSección]))),ROW(EA47))),"")</f>
        <v/>
      </c>
      <c r="EC48" s="51" t="str">
        <f t="array" aca="1" ref="EC48" ca="1">IFERROR(INDEX(Leccion[selectorLeccion],SMALL(IF(EC$1=Leccion[SubSección],MATCH(ROW(Leccion[SubSección]),ROW(Leccion[SubSección]))),ROW(EB47))),"")</f>
        <v/>
      </c>
      <c r="ED48" s="51" t="str">
        <f t="array" aca="1" ref="ED48" ca="1">IFERROR(INDEX(Leccion[selectorLeccion],SMALL(IF(ED$1=Leccion[SubSección],MATCH(ROW(Leccion[SubSección]),ROW(Leccion[SubSección]))),ROW(EC47))),"")</f>
        <v/>
      </c>
      <c r="EE48" s="51" t="str">
        <f t="array" aca="1" ref="EE48" ca="1">IFERROR(INDEX(Leccion[selectorLeccion],SMALL(IF(EE$1=Leccion[SubSección],MATCH(ROW(Leccion[SubSección]),ROW(Leccion[SubSección]))),ROW(ED47))),"")</f>
        <v/>
      </c>
      <c r="EF48" s="51" t="str">
        <f t="array" aca="1" ref="EF48" ca="1">IFERROR(INDEX(Leccion[selectorLeccion],SMALL(IF(EF$1=Leccion[SubSección],MATCH(ROW(Leccion[SubSección]),ROW(Leccion[SubSección]))),ROW(EE47))),"")</f>
        <v/>
      </c>
      <c r="EG48" s="51" t="str">
        <f t="array" aca="1" ref="EG48" ca="1">IFERROR(INDEX(Leccion[selectorLeccion],SMALL(IF(EG$1=Leccion[SubSección],MATCH(ROW(Leccion[SubSección]),ROW(Leccion[SubSección]))),ROW(EF47))),"")</f>
        <v/>
      </c>
      <c r="EH48" s="51" t="str">
        <f t="array" aca="1" ref="EH48" ca="1">IFERROR(INDEX(Leccion[selectorLeccion],SMALL(IF(EH$1=Leccion[SubSección],MATCH(ROW(Leccion[SubSección]),ROW(Leccion[SubSección]))),ROW(EG47))),"")</f>
        <v/>
      </c>
      <c r="EI48" s="51" t="str">
        <f t="array" aca="1" ref="EI48" ca="1">IFERROR(INDEX(Leccion[selectorLeccion],SMALL(IF(EI$1=Leccion[SubSección],MATCH(ROW(Leccion[SubSección]),ROW(Leccion[SubSección]))),ROW(EH47))),"")</f>
        <v/>
      </c>
      <c r="EJ48" s="51" t="str">
        <f t="array" aca="1" ref="EJ48" ca="1">IFERROR(INDEX(Leccion[selectorLeccion],SMALL(IF(EJ$1=Leccion[SubSección],MATCH(ROW(Leccion[SubSección]),ROW(Leccion[SubSección]))),ROW(EI47))),"")</f>
        <v/>
      </c>
      <c r="EK48" s="51" t="str">
        <f t="array" aca="1" ref="EK48" ca="1">IFERROR(INDEX(Leccion[selectorLeccion],SMALL(IF(EK$1=Leccion[SubSección],MATCH(ROW(Leccion[SubSección]),ROW(Leccion[SubSección]))),ROW(EJ47))),"")</f>
        <v/>
      </c>
      <c r="EL48" s="51" t="str">
        <f t="array" aca="1" ref="EL48" ca="1">IFERROR(INDEX(Leccion[selectorLeccion],SMALL(IF(EL$1=Leccion[SubSección],MATCH(ROW(Leccion[SubSección]),ROW(Leccion[SubSección]))),ROW(EK47))),"")</f>
        <v/>
      </c>
      <c r="EM48" s="51" t="str">
        <f t="array" aca="1" ref="EM48" ca="1">IFERROR(INDEX(Leccion[selectorLeccion],SMALL(IF(EM$1=Leccion[SubSección],MATCH(ROW(Leccion[SubSección]),ROW(Leccion[SubSección]))),ROW(EL47))),"")</f>
        <v/>
      </c>
      <c r="EN48" s="51" t="str">
        <f t="array" aca="1" ref="EN48" ca="1">IFERROR(INDEX(Leccion[selectorLeccion],SMALL(IF(EN$1=Leccion[SubSección],MATCH(ROW(Leccion[SubSección]),ROW(Leccion[SubSección]))),ROW(EM47))),"")</f>
        <v/>
      </c>
      <c r="EO48" s="51" t="str">
        <f t="array" aca="1" ref="EO48" ca="1">IFERROR(INDEX(Leccion[selectorLeccion],SMALL(IF(EO$1=Leccion[SubSección],MATCH(ROW(Leccion[SubSección]),ROW(Leccion[SubSección]))),ROW(EN47))),"")</f>
        <v/>
      </c>
      <c r="EP48" s="51" t="str">
        <f t="array" aca="1" ref="EP48" ca="1">IFERROR(INDEX(Leccion[selectorLeccion],SMALL(IF(EP$1=Leccion[SubSección],MATCH(ROW(Leccion[SubSección]),ROW(Leccion[SubSección]))),ROW(EO47))),"")</f>
        <v/>
      </c>
      <c r="EQ48" s="51" t="str">
        <f t="array" aca="1" ref="EQ48" ca="1">IFERROR(INDEX(Leccion[selectorLeccion],SMALL(IF(EQ$1=Leccion[SubSección],MATCH(ROW(Leccion[SubSección]),ROW(Leccion[SubSección]))),ROW(EP47))),"")</f>
        <v/>
      </c>
      <c r="ER48" s="51" t="str">
        <f t="array" aca="1" ref="ER48" ca="1">IFERROR(INDEX(Leccion[selectorLeccion],SMALL(IF(ER$1=Leccion[SubSección],MATCH(ROW(Leccion[SubSección]),ROW(Leccion[SubSección]))),ROW(EQ47))),"")</f>
        <v/>
      </c>
      <c r="ES48" s="51" t="str">
        <f t="array" aca="1" ref="ES48" ca="1">IFERROR(INDEX(Leccion[selectorLeccion],SMALL(IF(ES$1=Leccion[SubSección],MATCH(ROW(Leccion[SubSección]),ROW(Leccion[SubSección]))),ROW(ER47))),"")</f>
        <v/>
      </c>
      <c r="ET48" s="51" t="str">
        <f t="array" aca="1" ref="ET48" ca="1">IFERROR(INDEX(Leccion[selectorLeccion],SMALL(IF(ET$1=Leccion[SubSección],MATCH(ROW(Leccion[SubSección]),ROW(Leccion[SubSección]))),ROW(ES47))),"")</f>
        <v/>
      </c>
      <c r="EU48" s="51" t="str">
        <f t="array" aca="1" ref="EU48" ca="1">IFERROR(INDEX(Leccion[selectorLeccion],SMALL(IF(EU$1=Leccion[SubSección],MATCH(ROW(Leccion[SubSección]),ROW(Leccion[SubSección]))),ROW(ET47))),"")</f>
        <v/>
      </c>
      <c r="EV48" s="51" t="str">
        <f t="array" aca="1" ref="EV48" ca="1">IFERROR(INDEX(Leccion[selectorLeccion],SMALL(IF(EV$1=Leccion[SubSección],MATCH(ROW(Leccion[SubSección]),ROW(Leccion[SubSección]))),ROW(EU47))),"")</f>
        <v/>
      </c>
      <c r="EW48" s="51" t="str">
        <f t="array" aca="1" ref="EW48" ca="1">IFERROR(INDEX(Leccion[selectorLeccion],SMALL(IF(EW$1=Leccion[SubSección],MATCH(ROW(Leccion[SubSección]),ROW(Leccion[SubSección]))),ROW(EV47))),"")</f>
        <v/>
      </c>
      <c r="EX48" s="51" t="str">
        <f t="array" aca="1" ref="EX48" ca="1">IFERROR(INDEX(Leccion[selectorLeccion],SMALL(IF(EX$1=Leccion[SubSección],MATCH(ROW(Leccion[SubSección]),ROW(Leccion[SubSección]))),ROW(EW47))),"")</f>
        <v/>
      </c>
      <c r="EY48" s="51" t="str">
        <f t="array" aca="1" ref="EY48" ca="1">IFERROR(INDEX(Leccion[selectorLeccion],SMALL(IF(EY$1=Leccion[SubSección],MATCH(ROW(Leccion[SubSección]),ROW(Leccion[SubSección]))),ROW(EX47))),"")</f>
        <v/>
      </c>
      <c r="EZ48" s="51" t="str">
        <f t="array" aca="1" ref="EZ48" ca="1">IFERROR(INDEX(Leccion[selectorLeccion],SMALL(IF(EZ$1=Leccion[SubSección],MATCH(ROW(Leccion[SubSección]),ROW(Leccion[SubSección]))),ROW(EY47))),"")</f>
        <v/>
      </c>
    </row>
    <row r="49" spans="2:156" x14ac:dyDescent="0.3">
      <c r="B49" s="51" t="str">
        <f t="array" aca="1" ref="B49" ca="1">IFERROR(INDEX(Leccion[selectorLeccion],SMALL(IF(B$1=Leccion[SubSección],MATCH(ROW(Leccion[SubSección]),ROW(Leccion[SubSección]))),ROW(A48))),"")</f>
        <v/>
      </c>
      <c r="C49" s="51" t="str">
        <f t="array" aca="1" ref="C49" ca="1">IFERROR(INDEX(Leccion[selectorLeccion],SMALL(IF(C$1=Leccion[SubSección],MATCH(ROW(Leccion[SubSección]),ROW(Leccion[SubSección]))),ROW(B48))),"")</f>
        <v/>
      </c>
      <c r="D49" s="51" t="str">
        <f t="array" aca="1" ref="D49" ca="1">IFERROR(INDEX(Leccion[selectorLeccion],SMALL(IF(D$1=Leccion[SubSección],MATCH(ROW(Leccion[SubSección]),ROW(Leccion[SubSección]))),ROW(C48))),"")</f>
        <v/>
      </c>
      <c r="E49" s="51" t="str">
        <f t="array" aca="1" ref="E49" ca="1">IFERROR(INDEX(Leccion[selectorLeccion],SMALL(IF(E$1=Leccion[SubSección],MATCH(ROW(Leccion[SubSección]),ROW(Leccion[SubSección]))),ROW(D48))),"")</f>
        <v/>
      </c>
      <c r="F49" s="51" t="str">
        <f t="array" aca="1" ref="F49" ca="1">IFERROR(INDEX(Leccion[selectorLeccion],SMALL(IF(F$1=Leccion[SubSección],MATCH(ROW(Leccion[SubSección]),ROW(Leccion[SubSección]))),ROW(E48))),"")</f>
        <v/>
      </c>
      <c r="G49" s="51" t="str">
        <f t="array" aca="1" ref="G49" ca="1">IFERROR(INDEX(Leccion[selectorLeccion],SMALL(IF(G$1=Leccion[SubSección],MATCH(ROW(Leccion[SubSección]),ROW(Leccion[SubSección]))),ROW(F48))),"")</f>
        <v/>
      </c>
      <c r="H49" s="51" t="str">
        <f t="array" aca="1" ref="H49" ca="1">IFERROR(INDEX(Leccion[selectorLeccion],SMALL(IF(H$1=Leccion[SubSección],MATCH(ROW(Leccion[SubSección]),ROW(Leccion[SubSección]))),ROW(G48))),"")</f>
        <v/>
      </c>
      <c r="I49" s="51" t="str">
        <f t="array" aca="1" ref="I49" ca="1">IFERROR(INDEX(Leccion[selectorLeccion],SMALL(IF(I$1=Leccion[SubSección],MATCH(ROW(Leccion[SubSección]),ROW(Leccion[SubSección]))),ROW(H48))),"")</f>
        <v/>
      </c>
      <c r="J49" s="51" t="str">
        <f t="array" aca="1" ref="J49" ca="1">IFERROR(INDEX(Leccion[selectorLeccion],SMALL(IF(J$1=Leccion[SubSección],MATCH(ROW(Leccion[SubSección]),ROW(Leccion[SubSección]))),ROW(I48))),"")</f>
        <v/>
      </c>
      <c r="K49" s="51" t="str">
        <f t="array" aca="1" ref="K49" ca="1">IFERROR(INDEX(Leccion[selectorLeccion],SMALL(IF(K$1=Leccion[SubSección],MATCH(ROW(Leccion[SubSección]),ROW(Leccion[SubSección]))),ROW(J48))),"")</f>
        <v/>
      </c>
      <c r="L49" s="51" t="str">
        <f t="array" aca="1" ref="L49" ca="1">IFERROR(INDEX(Leccion[selectorLeccion],SMALL(IF(L$1=Leccion[SubSección],MATCH(ROW(Leccion[SubSección]),ROW(Leccion[SubSección]))),ROW(K48))),"")</f>
        <v/>
      </c>
      <c r="M49" s="51" t="str">
        <f t="array" aca="1" ref="M49" ca="1">IFERROR(INDEX(Leccion[selectorLeccion],SMALL(IF(M$1=Leccion[SubSección],MATCH(ROW(Leccion[SubSección]),ROW(Leccion[SubSección]))),ROW(L48))),"")</f>
        <v/>
      </c>
      <c r="N49" s="51" t="str">
        <f t="array" aca="1" ref="N49" ca="1">IFERROR(INDEX(Leccion[selectorLeccion],SMALL(IF(N$1=Leccion[SubSección],MATCH(ROW(Leccion[SubSección]),ROW(Leccion[SubSección]))),ROW(M48))),"")</f>
        <v/>
      </c>
      <c r="O49" s="51" t="str">
        <f t="array" aca="1" ref="O49" ca="1">IFERROR(INDEX(Leccion[selectorLeccion],SMALL(IF(O$1=Leccion[SubSección],MATCH(ROW(Leccion[SubSección]),ROW(Leccion[SubSección]))),ROW(N48))),"")</f>
        <v/>
      </c>
      <c r="P49" s="51" t="str">
        <f t="array" aca="1" ref="P49" ca="1">IFERROR(INDEX(Leccion[selectorLeccion],SMALL(IF(P$1=Leccion[SubSección],MATCH(ROW(Leccion[SubSección]),ROW(Leccion[SubSección]))),ROW(O48))),"")</f>
        <v/>
      </c>
      <c r="Q49" s="51" t="str">
        <f t="array" aca="1" ref="Q49" ca="1">IFERROR(INDEX(Leccion[selectorLeccion],SMALL(IF(Q$1=Leccion[SubSección],MATCH(ROW(Leccion[SubSección]),ROW(Leccion[SubSección]))),ROW(P48))),"")</f>
        <v/>
      </c>
      <c r="R49" s="51" t="str">
        <f t="array" aca="1" ref="R49" ca="1">IFERROR(INDEX(Leccion[selectorLeccion],SMALL(IF(R$1=Leccion[SubSección],MATCH(ROW(Leccion[SubSección]),ROW(Leccion[SubSección]))),ROW(Q48))),"")</f>
        <v/>
      </c>
      <c r="S49" s="51" t="str">
        <f t="array" aca="1" ref="S49" ca="1">IFERROR(INDEX(Leccion[selectorLeccion],SMALL(IF(S$1=Leccion[SubSección],MATCH(ROW(Leccion[SubSección]),ROW(Leccion[SubSección]))),ROW(R48))),"")</f>
        <v/>
      </c>
      <c r="T49" s="51" t="str">
        <f t="array" aca="1" ref="T49" ca="1">IFERROR(INDEX(Leccion[selectorLeccion],SMALL(IF(T$1=Leccion[SubSección],MATCH(ROW(Leccion[SubSección]),ROW(Leccion[SubSección]))),ROW(S48))),"")</f>
        <v/>
      </c>
      <c r="U49" s="51" t="str">
        <f t="array" aca="1" ref="U49" ca="1">IFERROR(INDEX(Leccion[selectorLeccion],SMALL(IF(U$1=Leccion[SubSección],MATCH(ROW(Leccion[SubSección]),ROW(Leccion[SubSección]))),ROW(T48))),"")</f>
        <v/>
      </c>
      <c r="V49" s="51" t="str">
        <f t="array" aca="1" ref="V49" ca="1">IFERROR(INDEX(Leccion[selectorLeccion],SMALL(IF(V$1=Leccion[SubSección],MATCH(ROW(Leccion[SubSección]),ROW(Leccion[SubSección]))),ROW(U48))),"")</f>
        <v/>
      </c>
      <c r="W49" s="51" t="str">
        <f t="array" aca="1" ref="W49" ca="1">IFERROR(INDEX(Leccion[selectorLeccion],SMALL(IF(W$1=Leccion[SubSección],MATCH(ROW(Leccion[SubSección]),ROW(Leccion[SubSección]))),ROW(V48))),"")</f>
        <v/>
      </c>
      <c r="X49" s="51" t="str">
        <f t="array" aca="1" ref="X49" ca="1">IFERROR(INDEX(Leccion[selectorLeccion],SMALL(IF(X$1=Leccion[SubSección],MATCH(ROW(Leccion[SubSección]),ROW(Leccion[SubSección]))),ROW(W48))),"")</f>
        <v/>
      </c>
      <c r="Y49" s="51" t="str">
        <f t="array" aca="1" ref="Y49" ca="1">IFERROR(INDEX(Leccion[selectorLeccion],SMALL(IF(Y$1=Leccion[SubSección],MATCH(ROW(Leccion[SubSección]),ROW(Leccion[SubSección]))),ROW(X48))),"")</f>
        <v/>
      </c>
      <c r="Z49" s="51" t="str">
        <f t="array" aca="1" ref="Z49" ca="1">IFERROR(INDEX(Leccion[selectorLeccion],SMALL(IF(Z$1=Leccion[SubSección],MATCH(ROW(Leccion[SubSección]),ROW(Leccion[SubSección]))),ROW(Y48))),"")</f>
        <v/>
      </c>
      <c r="AA49" s="51" t="str">
        <f t="array" aca="1" ref="AA49" ca="1">IFERROR(INDEX(Leccion[selectorLeccion],SMALL(IF(AA$1=Leccion[SubSección],MATCH(ROW(Leccion[SubSección]),ROW(Leccion[SubSección]))),ROW(Z48))),"")</f>
        <v/>
      </c>
      <c r="AB49" s="51" t="str">
        <f t="array" aca="1" ref="AB49" ca="1">IFERROR(INDEX(Leccion[selectorLeccion],SMALL(IF(AB$1=Leccion[SubSección],MATCH(ROW(Leccion[SubSección]),ROW(Leccion[SubSección]))),ROW(AA48))),"")</f>
        <v/>
      </c>
      <c r="AC49" s="51" t="str">
        <f t="array" aca="1" ref="AC49" ca="1">IFERROR(INDEX(Leccion[selectorLeccion],SMALL(IF(AC$1=Leccion[SubSección],MATCH(ROW(Leccion[SubSección]),ROW(Leccion[SubSección]))),ROW(AB48))),"")</f>
        <v/>
      </c>
      <c r="AD49" s="51" t="str">
        <f t="array" aca="1" ref="AD49" ca="1">IFERROR(INDEX(Leccion[selectorLeccion],SMALL(IF(AD$1=Leccion[SubSección],MATCH(ROW(Leccion[SubSección]),ROW(Leccion[SubSección]))),ROW(AC48))),"")</f>
        <v/>
      </c>
      <c r="AE49" s="51" t="str">
        <f t="array" aca="1" ref="AE49" ca="1">IFERROR(INDEX(Leccion[selectorLeccion],SMALL(IF(AE$1=Leccion[SubSección],MATCH(ROW(Leccion[SubSección]),ROW(Leccion[SubSección]))),ROW(AD48))),"")</f>
        <v/>
      </c>
      <c r="AF49" s="51" t="str">
        <f t="array" aca="1" ref="AF49" ca="1">IFERROR(INDEX(Leccion[selectorLeccion],SMALL(IF(AF$1=Leccion[SubSección],MATCH(ROW(Leccion[SubSección]),ROW(Leccion[SubSección]))),ROW(AE48))),"")</f>
        <v/>
      </c>
      <c r="AG49" s="51" t="str">
        <f t="array" aca="1" ref="AG49" ca="1">IFERROR(INDEX(Leccion[selectorLeccion],SMALL(IF(AG$1=Leccion[SubSección],MATCH(ROW(Leccion[SubSección]),ROW(Leccion[SubSección]))),ROW(AF48))),"")</f>
        <v/>
      </c>
      <c r="AH49" s="51" t="str">
        <f t="array" aca="1" ref="AH49" ca="1">IFERROR(INDEX(Leccion[selectorLeccion],SMALL(IF(AH$1=Leccion[SubSección],MATCH(ROW(Leccion[SubSección]),ROW(Leccion[SubSección]))),ROW(AG48))),"")</f>
        <v/>
      </c>
      <c r="AI49" s="51" t="str">
        <f t="array" aca="1" ref="AI49" ca="1">IFERROR(INDEX(Leccion[selectorLeccion],SMALL(IF(AI$1=Leccion[SubSección],MATCH(ROW(Leccion[SubSección]),ROW(Leccion[SubSección]))),ROW(AH48))),"")</f>
        <v/>
      </c>
      <c r="AJ49" s="51" t="str">
        <f t="array" aca="1" ref="AJ49" ca="1">IFERROR(INDEX(Leccion[selectorLeccion],SMALL(IF(AJ$1=Leccion[SubSección],MATCH(ROW(Leccion[SubSección]),ROW(Leccion[SubSección]))),ROW(AI48))),"")</f>
        <v/>
      </c>
      <c r="AK49" s="51" t="str">
        <f t="array" aca="1" ref="AK49" ca="1">IFERROR(INDEX(Leccion[selectorLeccion],SMALL(IF(AK$1=Leccion[SubSección],MATCH(ROW(Leccion[SubSección]),ROW(Leccion[SubSección]))),ROW(AJ48))),"")</f>
        <v/>
      </c>
      <c r="AL49" s="51" t="str">
        <f t="array" aca="1" ref="AL49" ca="1">IFERROR(INDEX(Leccion[selectorLeccion],SMALL(IF(AL$1=Leccion[SubSección],MATCH(ROW(Leccion[SubSección]),ROW(Leccion[SubSección]))),ROW(AK48))),"")</f>
        <v/>
      </c>
      <c r="AM49" s="51" t="str">
        <f t="array" aca="1" ref="AM49" ca="1">IFERROR(INDEX(Leccion[selectorLeccion],SMALL(IF(AM$1=Leccion[SubSección],MATCH(ROW(Leccion[SubSección]),ROW(Leccion[SubSección]))),ROW(AL48))),"")</f>
        <v/>
      </c>
      <c r="AN49" s="51" t="str">
        <f t="array" aca="1" ref="AN49" ca="1">IFERROR(INDEX(Leccion[selectorLeccion],SMALL(IF(AN$1=Leccion[SubSección],MATCH(ROW(Leccion[SubSección]),ROW(Leccion[SubSección]))),ROW(AM48))),"")</f>
        <v/>
      </c>
      <c r="AO49" s="51" t="str">
        <f t="array" aca="1" ref="AO49" ca="1">IFERROR(INDEX(Leccion[selectorLeccion],SMALL(IF(AO$1=Leccion[SubSección],MATCH(ROW(Leccion[SubSección]),ROW(Leccion[SubSección]))),ROW(AN48))),"")</f>
        <v/>
      </c>
      <c r="AP49" s="51" t="str">
        <f t="array" aca="1" ref="AP49" ca="1">IFERROR(INDEX(Leccion[selectorLeccion],SMALL(IF(AP$1=Leccion[SubSección],MATCH(ROW(Leccion[SubSección]),ROW(Leccion[SubSección]))),ROW(AO48))),"")</f>
        <v/>
      </c>
      <c r="AQ49" s="51" t="str">
        <f t="array" aca="1" ref="AQ49" ca="1">IFERROR(INDEX(Leccion[selectorLeccion],SMALL(IF(AQ$1=Leccion[SubSección],MATCH(ROW(Leccion[SubSección]),ROW(Leccion[SubSección]))),ROW(AP48))),"")</f>
        <v/>
      </c>
      <c r="AR49" s="51" t="str">
        <f t="array" aca="1" ref="AR49" ca="1">IFERROR(INDEX(Leccion[selectorLeccion],SMALL(IF(AR$1=Leccion[SubSección],MATCH(ROW(Leccion[SubSección]),ROW(Leccion[SubSección]))),ROW(AQ48))),"")</f>
        <v/>
      </c>
      <c r="AS49" s="51" t="str">
        <f t="array" aca="1" ref="AS49" ca="1">IFERROR(INDEX(Leccion[selectorLeccion],SMALL(IF(AS$1=Leccion[SubSección],MATCH(ROW(Leccion[SubSección]),ROW(Leccion[SubSección]))),ROW(AR48))),"")</f>
        <v/>
      </c>
      <c r="AT49" s="51" t="str">
        <f t="array" aca="1" ref="AT49" ca="1">IFERROR(INDEX(Leccion[selectorLeccion],SMALL(IF(AT$1=Leccion[SubSección],MATCH(ROW(Leccion[SubSección]),ROW(Leccion[SubSección]))),ROW(AS48))),"")</f>
        <v/>
      </c>
      <c r="AU49" s="51" t="str">
        <f t="array" aca="1" ref="AU49" ca="1">IFERROR(INDEX(Leccion[selectorLeccion],SMALL(IF(AU$1=Leccion[SubSección],MATCH(ROW(Leccion[SubSección]),ROW(Leccion[SubSección]))),ROW(AT48))),"")</f>
        <v/>
      </c>
      <c r="AV49" s="51" t="str">
        <f t="array" aca="1" ref="AV49" ca="1">IFERROR(INDEX(Leccion[selectorLeccion],SMALL(IF(AV$1=Leccion[SubSección],MATCH(ROW(Leccion[SubSección]),ROW(Leccion[SubSección]))),ROW(AU48))),"")</f>
        <v/>
      </c>
      <c r="AW49" s="51" t="str">
        <f t="array" aca="1" ref="AW49" ca="1">IFERROR(INDEX(Leccion[selectorLeccion],SMALL(IF(AW$1=Leccion[SubSección],MATCH(ROW(Leccion[SubSección]),ROW(Leccion[SubSección]))),ROW(AV48))),"")</f>
        <v/>
      </c>
      <c r="AX49" s="51" t="str">
        <f t="array" aca="1" ref="AX49" ca="1">IFERROR(INDEX(Leccion[selectorLeccion],SMALL(IF(AX$1=Leccion[SubSección],MATCH(ROW(Leccion[SubSección]),ROW(Leccion[SubSección]))),ROW(AW48))),"")</f>
        <v/>
      </c>
      <c r="AY49" s="51" t="str">
        <f t="array" aca="1" ref="AY49" ca="1">IFERROR(INDEX(Leccion[selectorLeccion],SMALL(IF(AY$1=Leccion[SubSección],MATCH(ROW(Leccion[SubSección]),ROW(Leccion[SubSección]))),ROW(AX48))),"")</f>
        <v/>
      </c>
      <c r="AZ49" s="51" t="str">
        <f t="array" aca="1" ref="AZ49" ca="1">IFERROR(INDEX(Leccion[selectorLeccion],SMALL(IF(AZ$1=Leccion[SubSección],MATCH(ROW(Leccion[SubSección]),ROW(Leccion[SubSección]))),ROW(AY48))),"")</f>
        <v/>
      </c>
      <c r="BA49" s="51" t="str">
        <f t="array" aca="1" ref="BA49" ca="1">IFERROR(INDEX(Leccion[selectorLeccion],SMALL(IF(BA$1=Leccion[SubSección],MATCH(ROW(Leccion[SubSección]),ROW(Leccion[SubSección]))),ROW(AZ48))),"")</f>
        <v/>
      </c>
      <c r="BB49" s="51" t="str">
        <f t="array" aca="1" ref="BB49" ca="1">IFERROR(INDEX(Leccion[selectorLeccion],SMALL(IF(BB$1=Leccion[SubSección],MATCH(ROW(Leccion[SubSección]),ROW(Leccion[SubSección]))),ROW(BA48))),"")</f>
        <v/>
      </c>
      <c r="BC49" s="51" t="str">
        <f t="array" aca="1" ref="BC49" ca="1">IFERROR(INDEX(Leccion[selectorLeccion],SMALL(IF(BC$1=Leccion[SubSección],MATCH(ROW(Leccion[SubSección]),ROW(Leccion[SubSección]))),ROW(BB48))),"")</f>
        <v/>
      </c>
      <c r="BD49" s="51" t="str">
        <f t="array" aca="1" ref="BD49" ca="1">IFERROR(INDEX(Leccion[selectorLeccion],SMALL(IF(BD$1=Leccion[SubSección],MATCH(ROW(Leccion[SubSección]),ROW(Leccion[SubSección]))),ROW(BC48))),"")</f>
        <v/>
      </c>
      <c r="BE49" s="51" t="str">
        <f t="array" aca="1" ref="BE49" ca="1">IFERROR(INDEX(Leccion[selectorLeccion],SMALL(IF(BE$1=Leccion[SubSección],MATCH(ROW(Leccion[SubSección]),ROW(Leccion[SubSección]))),ROW(BD48))),"")</f>
        <v/>
      </c>
      <c r="BF49" s="51" t="str">
        <f t="array" aca="1" ref="BF49" ca="1">IFERROR(INDEX(Leccion[selectorLeccion],SMALL(IF(BF$1=Leccion[SubSección],MATCH(ROW(Leccion[SubSección]),ROW(Leccion[SubSección]))),ROW(BE48))),"")</f>
        <v/>
      </c>
      <c r="BG49" s="51" t="str">
        <f t="array" aca="1" ref="BG49" ca="1">IFERROR(INDEX(Leccion[selectorLeccion],SMALL(IF(BG$1=Leccion[SubSección],MATCH(ROW(Leccion[SubSección]),ROW(Leccion[SubSección]))),ROW(BF48))),"")</f>
        <v/>
      </c>
      <c r="BH49" s="51" t="str">
        <f t="array" aca="1" ref="BH49" ca="1">IFERROR(INDEX(Leccion[selectorLeccion],SMALL(IF(BH$1=Leccion[SubSección],MATCH(ROW(Leccion[SubSección]),ROW(Leccion[SubSección]))),ROW(BG48))),"")</f>
        <v/>
      </c>
      <c r="BI49" s="51" t="str">
        <f t="array" aca="1" ref="BI49" ca="1">IFERROR(INDEX(Leccion[selectorLeccion],SMALL(IF(BI$1=Leccion[SubSección],MATCH(ROW(Leccion[SubSección]),ROW(Leccion[SubSección]))),ROW(BH48))),"")</f>
        <v/>
      </c>
      <c r="BJ49" s="51" t="str">
        <f t="array" aca="1" ref="BJ49" ca="1">IFERROR(INDEX(Leccion[selectorLeccion],SMALL(IF(BJ$1=Leccion[SubSección],MATCH(ROW(Leccion[SubSección]),ROW(Leccion[SubSección]))),ROW(BI48))),"")</f>
        <v/>
      </c>
      <c r="BK49" s="51" t="str">
        <f t="array" aca="1" ref="BK49" ca="1">IFERROR(INDEX(Leccion[selectorLeccion],SMALL(IF(BK$1=Leccion[SubSección],MATCH(ROW(Leccion[SubSección]),ROW(Leccion[SubSección]))),ROW(BJ48))),"")</f>
        <v/>
      </c>
      <c r="BL49" s="51" t="str">
        <f t="array" aca="1" ref="BL49" ca="1">IFERROR(INDEX(Leccion[selectorLeccion],SMALL(IF(BL$1=Leccion[SubSección],MATCH(ROW(Leccion[SubSección]),ROW(Leccion[SubSección]))),ROW(BK48))),"")</f>
        <v/>
      </c>
      <c r="BM49" s="51" t="str">
        <f t="array" aca="1" ref="BM49" ca="1">IFERROR(INDEX(Leccion[selectorLeccion],SMALL(IF(BM$1=Leccion[SubSección],MATCH(ROW(Leccion[SubSección]),ROW(Leccion[SubSección]))),ROW(BL48))),"")</f>
        <v/>
      </c>
      <c r="BN49" s="51" t="str">
        <f t="array" aca="1" ref="BN49" ca="1">IFERROR(INDEX(Leccion[selectorLeccion],SMALL(IF(BN$1=Leccion[SubSección],MATCH(ROW(Leccion[SubSección]),ROW(Leccion[SubSección]))),ROW(BM48))),"")</f>
        <v/>
      </c>
      <c r="BO49" s="51" t="str">
        <f t="array" aca="1" ref="BO49" ca="1">IFERROR(INDEX(Leccion[selectorLeccion],SMALL(IF(BO$1=Leccion[SubSección],MATCH(ROW(Leccion[SubSección]),ROW(Leccion[SubSección]))),ROW(BN48))),"")</f>
        <v/>
      </c>
      <c r="BP49" s="51" t="str">
        <f t="array" aca="1" ref="BP49" ca="1">IFERROR(INDEX(Leccion[selectorLeccion],SMALL(IF(BP$1=Leccion[SubSección],MATCH(ROW(Leccion[SubSección]),ROW(Leccion[SubSección]))),ROW(BO48))),"")</f>
        <v/>
      </c>
      <c r="BQ49" s="51" t="str">
        <f t="array" aca="1" ref="BQ49" ca="1">IFERROR(INDEX(Leccion[selectorLeccion],SMALL(IF(BQ$1=Leccion[SubSección],MATCH(ROW(Leccion[SubSección]),ROW(Leccion[SubSección]))),ROW(BP48))),"")</f>
        <v/>
      </c>
      <c r="BR49" s="51" t="str">
        <f t="array" aca="1" ref="BR49" ca="1">IFERROR(INDEX(Leccion[selectorLeccion],SMALL(IF(BR$1=Leccion[SubSección],MATCH(ROW(Leccion[SubSección]),ROW(Leccion[SubSección]))),ROW(BQ48))),"")</f>
        <v/>
      </c>
      <c r="BS49" s="51" t="str">
        <f t="array" aca="1" ref="BS49" ca="1">IFERROR(INDEX(Leccion[selectorLeccion],SMALL(IF(BS$1=Leccion[SubSección],MATCH(ROW(Leccion[SubSección]),ROW(Leccion[SubSección]))),ROW(BR48))),"")</f>
        <v/>
      </c>
      <c r="BT49" s="51" t="str">
        <f t="array" aca="1" ref="BT49" ca="1">IFERROR(INDEX(Leccion[selectorLeccion],SMALL(IF(BT$1=Leccion[SubSección],MATCH(ROW(Leccion[SubSección]),ROW(Leccion[SubSección]))),ROW(BS48))),"")</f>
        <v/>
      </c>
      <c r="BU49" s="51" t="str">
        <f t="array" aca="1" ref="BU49" ca="1">IFERROR(INDEX(Leccion[selectorLeccion],SMALL(IF(BU$1=Leccion[SubSección],MATCH(ROW(Leccion[SubSección]),ROW(Leccion[SubSección]))),ROW(BT48))),"")</f>
        <v/>
      </c>
      <c r="BV49" s="51" t="str">
        <f t="array" aca="1" ref="BV49" ca="1">IFERROR(INDEX(Leccion[selectorLeccion],SMALL(IF(BV$1=Leccion[SubSección],MATCH(ROW(Leccion[SubSección]),ROW(Leccion[SubSección]))),ROW(BU48))),"")</f>
        <v/>
      </c>
      <c r="BW49" s="51" t="str">
        <f t="array" aca="1" ref="BW49" ca="1">IFERROR(INDEX(Leccion[selectorLeccion],SMALL(IF(BW$1=Leccion[SubSección],MATCH(ROW(Leccion[SubSección]),ROW(Leccion[SubSección]))),ROW(BV48))),"")</f>
        <v/>
      </c>
      <c r="BX49" s="51" t="str">
        <f t="array" aca="1" ref="BX49" ca="1">IFERROR(INDEX(Leccion[selectorLeccion],SMALL(IF(BX$1=Leccion[SubSección],MATCH(ROW(Leccion[SubSección]),ROW(Leccion[SubSección]))),ROW(BW48))),"")</f>
        <v/>
      </c>
      <c r="BY49" s="51" t="str">
        <f t="array" aca="1" ref="BY49" ca="1">IFERROR(INDEX(Leccion[selectorLeccion],SMALL(IF(BY$1=Leccion[SubSección],MATCH(ROW(Leccion[SubSección]),ROW(Leccion[SubSección]))),ROW(BX48))),"")</f>
        <v/>
      </c>
      <c r="BZ49" s="51" t="str">
        <f t="array" aca="1" ref="BZ49" ca="1">IFERROR(INDEX(Leccion[selectorLeccion],SMALL(IF(BZ$1=Leccion[SubSección],MATCH(ROW(Leccion[SubSección]),ROW(Leccion[SubSección]))),ROW(BY48))),"")</f>
        <v/>
      </c>
      <c r="CA49" s="51" t="str">
        <f t="array" aca="1" ref="CA49" ca="1">IFERROR(INDEX(Leccion[selectorLeccion],SMALL(IF(CA$1=Leccion[SubSección],MATCH(ROW(Leccion[SubSección]),ROW(Leccion[SubSección]))),ROW(BZ48))),"")</f>
        <v/>
      </c>
      <c r="CB49" s="51" t="str">
        <f t="array" aca="1" ref="CB49" ca="1">IFERROR(INDEX(Leccion[selectorLeccion],SMALL(IF(CB$1=Leccion[SubSección],MATCH(ROW(Leccion[SubSección]),ROW(Leccion[SubSección]))),ROW(CA48))),"")</f>
        <v/>
      </c>
      <c r="CC49" s="51" t="str">
        <f t="array" aca="1" ref="CC49" ca="1">IFERROR(INDEX(Leccion[selectorLeccion],SMALL(IF(CC$1=Leccion[SubSección],MATCH(ROW(Leccion[SubSección]),ROW(Leccion[SubSección]))),ROW(CB48))),"")</f>
        <v/>
      </c>
      <c r="CD49" s="51" t="str">
        <f t="array" aca="1" ref="CD49" ca="1">IFERROR(INDEX(Leccion[selectorLeccion],SMALL(IF(CD$1=Leccion[SubSección],MATCH(ROW(Leccion[SubSección]),ROW(Leccion[SubSección]))),ROW(CC48))),"")</f>
        <v/>
      </c>
      <c r="CE49" s="51" t="str">
        <f t="array" aca="1" ref="CE49" ca="1">IFERROR(INDEX(Leccion[selectorLeccion],SMALL(IF(CE$1=Leccion[SubSección],MATCH(ROW(Leccion[SubSección]),ROW(Leccion[SubSección]))),ROW(CD48))),"")</f>
        <v/>
      </c>
      <c r="CF49" s="51" t="str">
        <f t="array" aca="1" ref="CF49" ca="1">IFERROR(INDEX(Leccion[selectorLeccion],SMALL(IF(CF$1=Leccion[SubSección],MATCH(ROW(Leccion[SubSección]),ROW(Leccion[SubSección]))),ROW(CE48))),"")</f>
        <v/>
      </c>
      <c r="CG49" s="51" t="str">
        <f t="array" aca="1" ref="CG49" ca="1">IFERROR(INDEX(Leccion[selectorLeccion],SMALL(IF(CG$1=Leccion[SubSección],MATCH(ROW(Leccion[SubSección]),ROW(Leccion[SubSección]))),ROW(CF48))),"")</f>
        <v/>
      </c>
      <c r="CH49" s="51" t="str">
        <f t="array" aca="1" ref="CH49" ca="1">IFERROR(INDEX(Leccion[selectorLeccion],SMALL(IF(CH$1=Leccion[SubSección],MATCH(ROW(Leccion[SubSección]),ROW(Leccion[SubSección]))),ROW(CG48))),"")</f>
        <v/>
      </c>
      <c r="CI49" s="51" t="str">
        <f t="array" aca="1" ref="CI49" ca="1">IFERROR(INDEX(Leccion[selectorLeccion],SMALL(IF(CI$1=Leccion[SubSección],MATCH(ROW(Leccion[SubSección]),ROW(Leccion[SubSección]))),ROW(CH48))),"")</f>
        <v/>
      </c>
      <c r="CJ49" s="51" t="str">
        <f t="array" aca="1" ref="CJ49" ca="1">IFERROR(INDEX(Leccion[selectorLeccion],SMALL(IF(CJ$1=Leccion[SubSección],MATCH(ROW(Leccion[SubSección]),ROW(Leccion[SubSección]))),ROW(CI48))),"")</f>
        <v/>
      </c>
      <c r="CK49" s="51" t="str">
        <f t="array" aca="1" ref="CK49" ca="1">IFERROR(INDEX(Leccion[selectorLeccion],SMALL(IF(CK$1=Leccion[SubSección],MATCH(ROW(Leccion[SubSección]),ROW(Leccion[SubSección]))),ROW(CJ48))),"")</f>
        <v/>
      </c>
      <c r="CL49" s="51" t="str">
        <f t="array" aca="1" ref="CL49" ca="1">IFERROR(INDEX(Leccion[selectorLeccion],SMALL(IF(CL$1=Leccion[SubSección],MATCH(ROW(Leccion[SubSección]),ROW(Leccion[SubSección]))),ROW(CK48))),"")</f>
        <v/>
      </c>
      <c r="CM49" s="51" t="str">
        <f t="array" aca="1" ref="CM49" ca="1">IFERROR(INDEX(Leccion[selectorLeccion],SMALL(IF(CM$1=Leccion[SubSección],MATCH(ROW(Leccion[SubSección]),ROW(Leccion[SubSección]))),ROW(CL48))),"")</f>
        <v/>
      </c>
      <c r="CN49" s="51" t="str">
        <f t="array" aca="1" ref="CN49" ca="1">IFERROR(INDEX(Leccion[selectorLeccion],SMALL(IF(CN$1=Leccion[SubSección],MATCH(ROW(Leccion[SubSección]),ROW(Leccion[SubSección]))),ROW(CM48))),"")</f>
        <v/>
      </c>
      <c r="CO49" s="51" t="str">
        <f t="array" aca="1" ref="CO49" ca="1">IFERROR(INDEX(Leccion[selectorLeccion],SMALL(IF(CO$1=Leccion[SubSección],MATCH(ROW(Leccion[SubSección]),ROW(Leccion[SubSección]))),ROW(CN48))),"")</f>
        <v/>
      </c>
      <c r="CP49" s="51" t="str">
        <f t="array" aca="1" ref="CP49" ca="1">IFERROR(INDEX(Leccion[selectorLeccion],SMALL(IF(CP$1=Leccion[SubSección],MATCH(ROW(Leccion[SubSección]),ROW(Leccion[SubSección]))),ROW(CO48))),"")</f>
        <v/>
      </c>
      <c r="CQ49" s="51" t="str">
        <f t="array" aca="1" ref="CQ49" ca="1">IFERROR(INDEX(Leccion[selectorLeccion],SMALL(IF(CQ$1=Leccion[SubSección],MATCH(ROW(Leccion[SubSección]),ROW(Leccion[SubSección]))),ROW(CP48))),"")</f>
        <v/>
      </c>
      <c r="CR49" s="51" t="str">
        <f t="array" aca="1" ref="CR49" ca="1">IFERROR(INDEX(Leccion[selectorLeccion],SMALL(IF(CR$1=Leccion[SubSección],MATCH(ROW(Leccion[SubSección]),ROW(Leccion[SubSección]))),ROW(CQ48))),"")</f>
        <v/>
      </c>
      <c r="CS49" s="51" t="str">
        <f t="array" aca="1" ref="CS49" ca="1">IFERROR(INDEX(Leccion[selectorLeccion],SMALL(IF(CS$1=Leccion[SubSección],MATCH(ROW(Leccion[SubSección]),ROW(Leccion[SubSección]))),ROW(CR48))),"")</f>
        <v/>
      </c>
      <c r="CT49" s="51" t="str">
        <f t="array" aca="1" ref="CT49" ca="1">IFERROR(INDEX(Leccion[selectorLeccion],SMALL(IF(CT$1=Leccion[SubSección],MATCH(ROW(Leccion[SubSección]),ROW(Leccion[SubSección]))),ROW(CS48))),"")</f>
        <v/>
      </c>
      <c r="CU49" s="51" t="str">
        <f t="array" aca="1" ref="CU49" ca="1">IFERROR(INDEX(Leccion[selectorLeccion],SMALL(IF(CU$1=Leccion[SubSección],MATCH(ROW(Leccion[SubSección]),ROW(Leccion[SubSección]))),ROW(CT48))),"")</f>
        <v/>
      </c>
      <c r="CV49" s="51" t="str">
        <f t="array" aca="1" ref="CV49" ca="1">IFERROR(INDEX(Leccion[selectorLeccion],SMALL(IF(CV$1=Leccion[SubSección],MATCH(ROW(Leccion[SubSección]),ROW(Leccion[SubSección]))),ROW(CU48))),"")</f>
        <v/>
      </c>
      <c r="CW49" s="51" t="str">
        <f t="array" aca="1" ref="CW49" ca="1">IFERROR(INDEX(Leccion[selectorLeccion],SMALL(IF(CW$1=Leccion[SubSección],MATCH(ROW(Leccion[SubSección]),ROW(Leccion[SubSección]))),ROW(CV48))),"")</f>
        <v/>
      </c>
      <c r="CX49" s="51" t="str">
        <f t="array" aca="1" ref="CX49" ca="1">IFERROR(INDEX(Leccion[selectorLeccion],SMALL(IF(CX$1=Leccion[SubSección],MATCH(ROW(Leccion[SubSección]),ROW(Leccion[SubSección]))),ROW(CW48))),"")</f>
        <v/>
      </c>
      <c r="CY49" s="51" t="str">
        <f t="array" aca="1" ref="CY49" ca="1">IFERROR(INDEX(Leccion[selectorLeccion],SMALL(IF(CY$1=Leccion[SubSección],MATCH(ROW(Leccion[SubSección]),ROW(Leccion[SubSección]))),ROW(CX48))),"")</f>
        <v/>
      </c>
      <c r="CZ49" s="51" t="str">
        <f t="array" aca="1" ref="CZ49" ca="1">IFERROR(INDEX(Leccion[selectorLeccion],SMALL(IF(CZ$1=Leccion[SubSección],MATCH(ROW(Leccion[SubSección]),ROW(Leccion[SubSección]))),ROW(CY48))),"")</f>
        <v/>
      </c>
      <c r="DA49" s="51" t="str">
        <f t="array" aca="1" ref="DA49" ca="1">IFERROR(INDEX(Leccion[selectorLeccion],SMALL(IF(DA$1=Leccion[SubSección],MATCH(ROW(Leccion[SubSección]),ROW(Leccion[SubSección]))),ROW(CZ48))),"")</f>
        <v/>
      </c>
      <c r="DB49" s="51" t="str">
        <f t="array" aca="1" ref="DB49" ca="1">IFERROR(INDEX(Leccion[selectorLeccion],SMALL(IF(DB$1=Leccion[SubSección],MATCH(ROW(Leccion[SubSección]),ROW(Leccion[SubSección]))),ROW(DA48))),"")</f>
        <v/>
      </c>
      <c r="DC49" s="51" t="str">
        <f t="array" aca="1" ref="DC49" ca="1">IFERROR(INDEX(Leccion[selectorLeccion],SMALL(IF(DC$1=Leccion[SubSección],MATCH(ROW(Leccion[SubSección]),ROW(Leccion[SubSección]))),ROW(DB48))),"")</f>
        <v/>
      </c>
      <c r="DD49" s="51" t="str">
        <f t="array" aca="1" ref="DD49" ca="1">IFERROR(INDEX(Leccion[selectorLeccion],SMALL(IF(DD$1=Leccion[SubSección],MATCH(ROW(Leccion[SubSección]),ROW(Leccion[SubSección]))),ROW(DC48))),"")</f>
        <v/>
      </c>
      <c r="DE49" s="51" t="str">
        <f t="array" aca="1" ref="DE49" ca="1">IFERROR(INDEX(Leccion[selectorLeccion],SMALL(IF(DE$1=Leccion[SubSección],MATCH(ROW(Leccion[SubSección]),ROW(Leccion[SubSección]))),ROW(DD48))),"")</f>
        <v/>
      </c>
      <c r="DF49" s="51" t="str">
        <f t="array" aca="1" ref="DF49" ca="1">IFERROR(INDEX(Leccion[selectorLeccion],SMALL(IF(DF$1=Leccion[SubSección],MATCH(ROW(Leccion[SubSección]),ROW(Leccion[SubSección]))),ROW(DE48))),"")</f>
        <v/>
      </c>
      <c r="DG49" s="51" t="str">
        <f t="array" aca="1" ref="DG49" ca="1">IFERROR(INDEX(Leccion[selectorLeccion],SMALL(IF(DG$1=Leccion[SubSección],MATCH(ROW(Leccion[SubSección]),ROW(Leccion[SubSección]))),ROW(DF48))),"")</f>
        <v/>
      </c>
      <c r="DH49" s="51" t="str">
        <f t="array" aca="1" ref="DH49" ca="1">IFERROR(INDEX(Leccion[selectorLeccion],SMALL(IF(DH$1=Leccion[SubSección],MATCH(ROW(Leccion[SubSección]),ROW(Leccion[SubSección]))),ROW(DG48))),"")</f>
        <v/>
      </c>
      <c r="DI49" s="51" t="str">
        <f t="array" aca="1" ref="DI49" ca="1">IFERROR(INDEX(Leccion[selectorLeccion],SMALL(IF(DI$1=Leccion[SubSección],MATCH(ROW(Leccion[SubSección]),ROW(Leccion[SubSección]))),ROW(DH48))),"")</f>
        <v/>
      </c>
      <c r="DJ49" s="51" t="str">
        <f t="array" aca="1" ref="DJ49" ca="1">IFERROR(INDEX(Leccion[selectorLeccion],SMALL(IF(DJ$1=Leccion[SubSección],MATCH(ROW(Leccion[SubSección]),ROW(Leccion[SubSección]))),ROW(DI48))),"")</f>
        <v/>
      </c>
      <c r="DK49" s="51" t="str">
        <f t="array" aca="1" ref="DK49" ca="1">IFERROR(INDEX(Leccion[selectorLeccion],SMALL(IF(DK$1=Leccion[SubSección],MATCH(ROW(Leccion[SubSección]),ROW(Leccion[SubSección]))),ROW(DJ48))),"")</f>
        <v/>
      </c>
      <c r="DL49" s="51" t="str">
        <f t="array" aca="1" ref="DL49" ca="1">IFERROR(INDEX(Leccion[selectorLeccion],SMALL(IF(DL$1=Leccion[SubSección],MATCH(ROW(Leccion[SubSección]),ROW(Leccion[SubSección]))),ROW(DK48))),"")</f>
        <v/>
      </c>
      <c r="DM49" s="51" t="str">
        <f t="array" aca="1" ref="DM49" ca="1">IFERROR(INDEX(Leccion[selectorLeccion],SMALL(IF(DM$1=Leccion[SubSección],MATCH(ROW(Leccion[SubSección]),ROW(Leccion[SubSección]))),ROW(DL48))),"")</f>
        <v/>
      </c>
      <c r="DN49" s="51" t="str">
        <f t="array" aca="1" ref="DN49" ca="1">IFERROR(INDEX(Leccion[selectorLeccion],SMALL(IF(DN$1=Leccion[SubSección],MATCH(ROW(Leccion[SubSección]),ROW(Leccion[SubSección]))),ROW(DM48))),"")</f>
        <v/>
      </c>
      <c r="DO49" s="51" t="str">
        <f t="array" aca="1" ref="DO49" ca="1">IFERROR(INDEX(Leccion[selectorLeccion],SMALL(IF(DO$1=Leccion[SubSección],MATCH(ROW(Leccion[SubSección]),ROW(Leccion[SubSección]))),ROW(DN48))),"")</f>
        <v/>
      </c>
      <c r="DP49" s="51" t="str">
        <f t="array" aca="1" ref="DP49" ca="1">IFERROR(INDEX(Leccion[selectorLeccion],SMALL(IF(DP$1=Leccion[SubSección],MATCH(ROW(Leccion[SubSección]),ROW(Leccion[SubSección]))),ROW(DO48))),"")</f>
        <v/>
      </c>
      <c r="DQ49" s="51" t="str">
        <f t="array" aca="1" ref="DQ49" ca="1">IFERROR(INDEX(Leccion[selectorLeccion],SMALL(IF(DQ$1=Leccion[SubSección],MATCH(ROW(Leccion[SubSección]),ROW(Leccion[SubSección]))),ROW(DP48))),"")</f>
        <v/>
      </c>
      <c r="DR49" s="51" t="str">
        <f t="array" aca="1" ref="DR49" ca="1">IFERROR(INDEX(Leccion[selectorLeccion],SMALL(IF(DR$1=Leccion[SubSección],MATCH(ROW(Leccion[SubSección]),ROW(Leccion[SubSección]))),ROW(DQ48))),"")</f>
        <v/>
      </c>
      <c r="DS49" s="51" t="str">
        <f t="array" aca="1" ref="DS49" ca="1">IFERROR(INDEX(Leccion[selectorLeccion],SMALL(IF(DS$1=Leccion[SubSección],MATCH(ROW(Leccion[SubSección]),ROW(Leccion[SubSección]))),ROW(DR48))),"")</f>
        <v/>
      </c>
      <c r="DT49" s="51" t="str">
        <f t="array" aca="1" ref="DT49" ca="1">IFERROR(INDEX(Leccion[selectorLeccion],SMALL(IF(DT$1=Leccion[SubSección],MATCH(ROW(Leccion[SubSección]),ROW(Leccion[SubSección]))),ROW(DS48))),"")</f>
        <v/>
      </c>
      <c r="DU49" s="51" t="str">
        <f t="array" aca="1" ref="DU49" ca="1">IFERROR(INDEX(Leccion[selectorLeccion],SMALL(IF(DU$1=Leccion[SubSección],MATCH(ROW(Leccion[SubSección]),ROW(Leccion[SubSección]))),ROW(DT48))),"")</f>
        <v/>
      </c>
      <c r="DV49" s="51" t="str">
        <f t="array" aca="1" ref="DV49" ca="1">IFERROR(INDEX(Leccion[selectorLeccion],SMALL(IF(DV$1=Leccion[SubSección],MATCH(ROW(Leccion[SubSección]),ROW(Leccion[SubSección]))),ROW(DU48))),"")</f>
        <v/>
      </c>
      <c r="DW49" s="51" t="str">
        <f t="array" aca="1" ref="DW49" ca="1">IFERROR(INDEX(Leccion[selectorLeccion],SMALL(IF(DW$1=Leccion[SubSección],MATCH(ROW(Leccion[SubSección]),ROW(Leccion[SubSección]))),ROW(DV48))),"")</f>
        <v/>
      </c>
      <c r="DX49" s="51" t="str">
        <f t="array" aca="1" ref="DX49" ca="1">IFERROR(INDEX(Leccion[selectorLeccion],SMALL(IF(DX$1=Leccion[SubSección],MATCH(ROW(Leccion[SubSección]),ROW(Leccion[SubSección]))),ROW(DW48))),"")</f>
        <v/>
      </c>
      <c r="DY49" s="51" t="str">
        <f t="array" aca="1" ref="DY49" ca="1">IFERROR(INDEX(Leccion[selectorLeccion],SMALL(IF(DY$1=Leccion[SubSección],MATCH(ROW(Leccion[SubSección]),ROW(Leccion[SubSección]))),ROW(DX48))),"")</f>
        <v/>
      </c>
      <c r="DZ49" s="51" t="str">
        <f t="array" aca="1" ref="DZ49" ca="1">IFERROR(INDEX(Leccion[selectorLeccion],SMALL(IF(DZ$1=Leccion[SubSección],MATCH(ROW(Leccion[SubSección]),ROW(Leccion[SubSección]))),ROW(DY48))),"")</f>
        <v/>
      </c>
      <c r="EA49" s="51" t="str">
        <f t="array" aca="1" ref="EA49" ca="1">IFERROR(INDEX(Leccion[selectorLeccion],SMALL(IF(EA$1=Leccion[SubSección],MATCH(ROW(Leccion[SubSección]),ROW(Leccion[SubSección]))),ROW(DZ48))),"")</f>
        <v/>
      </c>
      <c r="EB49" s="51" t="str">
        <f t="array" aca="1" ref="EB49" ca="1">IFERROR(INDEX(Leccion[selectorLeccion],SMALL(IF(EB$1=Leccion[SubSección],MATCH(ROW(Leccion[SubSección]),ROW(Leccion[SubSección]))),ROW(EA48))),"")</f>
        <v/>
      </c>
      <c r="EC49" s="51" t="str">
        <f t="array" aca="1" ref="EC49" ca="1">IFERROR(INDEX(Leccion[selectorLeccion],SMALL(IF(EC$1=Leccion[SubSección],MATCH(ROW(Leccion[SubSección]),ROW(Leccion[SubSección]))),ROW(EB48))),"")</f>
        <v/>
      </c>
      <c r="ED49" s="51" t="str">
        <f t="array" aca="1" ref="ED49" ca="1">IFERROR(INDEX(Leccion[selectorLeccion],SMALL(IF(ED$1=Leccion[SubSección],MATCH(ROW(Leccion[SubSección]),ROW(Leccion[SubSección]))),ROW(EC48))),"")</f>
        <v/>
      </c>
      <c r="EE49" s="51" t="str">
        <f t="array" aca="1" ref="EE49" ca="1">IFERROR(INDEX(Leccion[selectorLeccion],SMALL(IF(EE$1=Leccion[SubSección],MATCH(ROW(Leccion[SubSección]),ROW(Leccion[SubSección]))),ROW(ED48))),"")</f>
        <v/>
      </c>
      <c r="EF49" s="51" t="str">
        <f t="array" aca="1" ref="EF49" ca="1">IFERROR(INDEX(Leccion[selectorLeccion],SMALL(IF(EF$1=Leccion[SubSección],MATCH(ROW(Leccion[SubSección]),ROW(Leccion[SubSección]))),ROW(EE48))),"")</f>
        <v/>
      </c>
      <c r="EG49" s="51" t="str">
        <f t="array" aca="1" ref="EG49" ca="1">IFERROR(INDEX(Leccion[selectorLeccion],SMALL(IF(EG$1=Leccion[SubSección],MATCH(ROW(Leccion[SubSección]),ROW(Leccion[SubSección]))),ROW(EF48))),"")</f>
        <v/>
      </c>
      <c r="EH49" s="51" t="str">
        <f t="array" aca="1" ref="EH49" ca="1">IFERROR(INDEX(Leccion[selectorLeccion],SMALL(IF(EH$1=Leccion[SubSección],MATCH(ROW(Leccion[SubSección]),ROW(Leccion[SubSección]))),ROW(EG48))),"")</f>
        <v/>
      </c>
      <c r="EI49" s="51" t="str">
        <f t="array" aca="1" ref="EI49" ca="1">IFERROR(INDEX(Leccion[selectorLeccion],SMALL(IF(EI$1=Leccion[SubSección],MATCH(ROW(Leccion[SubSección]),ROW(Leccion[SubSección]))),ROW(EH48))),"")</f>
        <v/>
      </c>
      <c r="EJ49" s="51" t="str">
        <f t="array" aca="1" ref="EJ49" ca="1">IFERROR(INDEX(Leccion[selectorLeccion],SMALL(IF(EJ$1=Leccion[SubSección],MATCH(ROW(Leccion[SubSección]),ROW(Leccion[SubSección]))),ROW(EI48))),"")</f>
        <v/>
      </c>
      <c r="EK49" s="51" t="str">
        <f t="array" aca="1" ref="EK49" ca="1">IFERROR(INDEX(Leccion[selectorLeccion],SMALL(IF(EK$1=Leccion[SubSección],MATCH(ROW(Leccion[SubSección]),ROW(Leccion[SubSección]))),ROW(EJ48))),"")</f>
        <v/>
      </c>
      <c r="EL49" s="51" t="str">
        <f t="array" aca="1" ref="EL49" ca="1">IFERROR(INDEX(Leccion[selectorLeccion],SMALL(IF(EL$1=Leccion[SubSección],MATCH(ROW(Leccion[SubSección]),ROW(Leccion[SubSección]))),ROW(EK48))),"")</f>
        <v/>
      </c>
      <c r="EM49" s="51" t="str">
        <f t="array" aca="1" ref="EM49" ca="1">IFERROR(INDEX(Leccion[selectorLeccion],SMALL(IF(EM$1=Leccion[SubSección],MATCH(ROW(Leccion[SubSección]),ROW(Leccion[SubSección]))),ROW(EL48))),"")</f>
        <v/>
      </c>
      <c r="EN49" s="51" t="str">
        <f t="array" aca="1" ref="EN49" ca="1">IFERROR(INDEX(Leccion[selectorLeccion],SMALL(IF(EN$1=Leccion[SubSección],MATCH(ROW(Leccion[SubSección]),ROW(Leccion[SubSección]))),ROW(EM48))),"")</f>
        <v/>
      </c>
      <c r="EO49" s="51" t="str">
        <f t="array" aca="1" ref="EO49" ca="1">IFERROR(INDEX(Leccion[selectorLeccion],SMALL(IF(EO$1=Leccion[SubSección],MATCH(ROW(Leccion[SubSección]),ROW(Leccion[SubSección]))),ROW(EN48))),"")</f>
        <v/>
      </c>
      <c r="EP49" s="51" t="str">
        <f t="array" aca="1" ref="EP49" ca="1">IFERROR(INDEX(Leccion[selectorLeccion],SMALL(IF(EP$1=Leccion[SubSección],MATCH(ROW(Leccion[SubSección]),ROW(Leccion[SubSección]))),ROW(EO48))),"")</f>
        <v/>
      </c>
      <c r="EQ49" s="51" t="str">
        <f t="array" aca="1" ref="EQ49" ca="1">IFERROR(INDEX(Leccion[selectorLeccion],SMALL(IF(EQ$1=Leccion[SubSección],MATCH(ROW(Leccion[SubSección]),ROW(Leccion[SubSección]))),ROW(EP48))),"")</f>
        <v/>
      </c>
      <c r="ER49" s="51" t="str">
        <f t="array" aca="1" ref="ER49" ca="1">IFERROR(INDEX(Leccion[selectorLeccion],SMALL(IF(ER$1=Leccion[SubSección],MATCH(ROW(Leccion[SubSección]),ROW(Leccion[SubSección]))),ROW(EQ48))),"")</f>
        <v/>
      </c>
      <c r="ES49" s="51" t="str">
        <f t="array" aca="1" ref="ES49" ca="1">IFERROR(INDEX(Leccion[selectorLeccion],SMALL(IF(ES$1=Leccion[SubSección],MATCH(ROW(Leccion[SubSección]),ROW(Leccion[SubSección]))),ROW(ER48))),"")</f>
        <v/>
      </c>
      <c r="ET49" s="51" t="str">
        <f t="array" aca="1" ref="ET49" ca="1">IFERROR(INDEX(Leccion[selectorLeccion],SMALL(IF(ET$1=Leccion[SubSección],MATCH(ROW(Leccion[SubSección]),ROW(Leccion[SubSección]))),ROW(ES48))),"")</f>
        <v/>
      </c>
      <c r="EU49" s="51" t="str">
        <f t="array" aca="1" ref="EU49" ca="1">IFERROR(INDEX(Leccion[selectorLeccion],SMALL(IF(EU$1=Leccion[SubSección],MATCH(ROW(Leccion[SubSección]),ROW(Leccion[SubSección]))),ROW(ET48))),"")</f>
        <v/>
      </c>
      <c r="EV49" s="51" t="str">
        <f t="array" aca="1" ref="EV49" ca="1">IFERROR(INDEX(Leccion[selectorLeccion],SMALL(IF(EV$1=Leccion[SubSección],MATCH(ROW(Leccion[SubSección]),ROW(Leccion[SubSección]))),ROW(EU48))),"")</f>
        <v/>
      </c>
      <c r="EW49" s="51" t="str">
        <f t="array" aca="1" ref="EW49" ca="1">IFERROR(INDEX(Leccion[selectorLeccion],SMALL(IF(EW$1=Leccion[SubSección],MATCH(ROW(Leccion[SubSección]),ROW(Leccion[SubSección]))),ROW(EV48))),"")</f>
        <v/>
      </c>
      <c r="EX49" s="51" t="str">
        <f t="array" aca="1" ref="EX49" ca="1">IFERROR(INDEX(Leccion[selectorLeccion],SMALL(IF(EX$1=Leccion[SubSección],MATCH(ROW(Leccion[SubSección]),ROW(Leccion[SubSección]))),ROW(EW48))),"")</f>
        <v/>
      </c>
      <c r="EY49" s="51" t="str">
        <f t="array" aca="1" ref="EY49" ca="1">IFERROR(INDEX(Leccion[selectorLeccion],SMALL(IF(EY$1=Leccion[SubSección],MATCH(ROW(Leccion[SubSección]),ROW(Leccion[SubSección]))),ROW(EX48))),"")</f>
        <v/>
      </c>
      <c r="EZ49" s="51" t="str">
        <f t="array" aca="1" ref="EZ49" ca="1">IFERROR(INDEX(Leccion[selectorLeccion],SMALL(IF(EZ$1=Leccion[SubSección],MATCH(ROW(Leccion[SubSección]),ROW(Leccion[SubSección]))),ROW(EY48))),"")</f>
        <v/>
      </c>
    </row>
    <row r="50" spans="2:156" x14ac:dyDescent="0.3">
      <c r="B50" s="51" t="str">
        <f t="array" aca="1" ref="B50" ca="1">IFERROR(INDEX(Leccion[selectorLeccion],SMALL(IF(B$1=Leccion[SubSección],MATCH(ROW(Leccion[SubSección]),ROW(Leccion[SubSección]))),ROW(A49))),"")</f>
        <v/>
      </c>
      <c r="C50" s="51" t="str">
        <f t="array" aca="1" ref="C50" ca="1">IFERROR(INDEX(Leccion[selectorLeccion],SMALL(IF(C$1=Leccion[SubSección],MATCH(ROW(Leccion[SubSección]),ROW(Leccion[SubSección]))),ROW(B49))),"")</f>
        <v/>
      </c>
      <c r="D50" s="51" t="str">
        <f t="array" aca="1" ref="D50" ca="1">IFERROR(INDEX(Leccion[selectorLeccion],SMALL(IF(D$1=Leccion[SubSección],MATCH(ROW(Leccion[SubSección]),ROW(Leccion[SubSección]))),ROW(C49))),"")</f>
        <v/>
      </c>
      <c r="E50" s="51" t="str">
        <f t="array" aca="1" ref="E50" ca="1">IFERROR(INDEX(Leccion[selectorLeccion],SMALL(IF(E$1=Leccion[SubSección],MATCH(ROW(Leccion[SubSección]),ROW(Leccion[SubSección]))),ROW(D49))),"")</f>
        <v/>
      </c>
      <c r="F50" s="51" t="str">
        <f t="array" aca="1" ref="F50" ca="1">IFERROR(INDEX(Leccion[selectorLeccion],SMALL(IF(F$1=Leccion[SubSección],MATCH(ROW(Leccion[SubSección]),ROW(Leccion[SubSección]))),ROW(E49))),"")</f>
        <v/>
      </c>
      <c r="G50" s="51" t="str">
        <f t="array" aca="1" ref="G50" ca="1">IFERROR(INDEX(Leccion[selectorLeccion],SMALL(IF(G$1=Leccion[SubSección],MATCH(ROW(Leccion[SubSección]),ROW(Leccion[SubSección]))),ROW(F49))),"")</f>
        <v/>
      </c>
      <c r="H50" s="51" t="str">
        <f t="array" aca="1" ref="H50" ca="1">IFERROR(INDEX(Leccion[selectorLeccion],SMALL(IF(H$1=Leccion[SubSección],MATCH(ROW(Leccion[SubSección]),ROW(Leccion[SubSección]))),ROW(G49))),"")</f>
        <v/>
      </c>
      <c r="I50" s="51" t="str">
        <f t="array" aca="1" ref="I50" ca="1">IFERROR(INDEX(Leccion[selectorLeccion],SMALL(IF(I$1=Leccion[SubSección],MATCH(ROW(Leccion[SubSección]),ROW(Leccion[SubSección]))),ROW(H49))),"")</f>
        <v/>
      </c>
      <c r="J50" s="51" t="str">
        <f t="array" aca="1" ref="J50" ca="1">IFERROR(INDEX(Leccion[selectorLeccion],SMALL(IF(J$1=Leccion[SubSección],MATCH(ROW(Leccion[SubSección]),ROW(Leccion[SubSección]))),ROW(I49))),"")</f>
        <v/>
      </c>
      <c r="K50" s="51" t="str">
        <f t="array" aca="1" ref="K50" ca="1">IFERROR(INDEX(Leccion[selectorLeccion],SMALL(IF(K$1=Leccion[SubSección],MATCH(ROW(Leccion[SubSección]),ROW(Leccion[SubSección]))),ROW(J49))),"")</f>
        <v/>
      </c>
      <c r="L50" s="51" t="str">
        <f t="array" aca="1" ref="L50" ca="1">IFERROR(INDEX(Leccion[selectorLeccion],SMALL(IF(L$1=Leccion[SubSección],MATCH(ROW(Leccion[SubSección]),ROW(Leccion[SubSección]))),ROW(K49))),"")</f>
        <v/>
      </c>
      <c r="M50" s="51" t="str">
        <f t="array" aca="1" ref="M50" ca="1">IFERROR(INDEX(Leccion[selectorLeccion],SMALL(IF(M$1=Leccion[SubSección],MATCH(ROW(Leccion[SubSección]),ROW(Leccion[SubSección]))),ROW(L49))),"")</f>
        <v/>
      </c>
      <c r="N50" s="51" t="str">
        <f t="array" aca="1" ref="N50" ca="1">IFERROR(INDEX(Leccion[selectorLeccion],SMALL(IF(N$1=Leccion[SubSección],MATCH(ROW(Leccion[SubSección]),ROW(Leccion[SubSección]))),ROW(M49))),"")</f>
        <v/>
      </c>
      <c r="O50" s="51" t="str">
        <f t="array" aca="1" ref="O50" ca="1">IFERROR(INDEX(Leccion[selectorLeccion],SMALL(IF(O$1=Leccion[SubSección],MATCH(ROW(Leccion[SubSección]),ROW(Leccion[SubSección]))),ROW(N49))),"")</f>
        <v/>
      </c>
      <c r="P50" s="51" t="str">
        <f t="array" aca="1" ref="P50" ca="1">IFERROR(INDEX(Leccion[selectorLeccion],SMALL(IF(P$1=Leccion[SubSección],MATCH(ROW(Leccion[SubSección]),ROW(Leccion[SubSección]))),ROW(O49))),"")</f>
        <v/>
      </c>
      <c r="Q50" s="51" t="str">
        <f t="array" aca="1" ref="Q50" ca="1">IFERROR(INDEX(Leccion[selectorLeccion],SMALL(IF(Q$1=Leccion[SubSección],MATCH(ROW(Leccion[SubSección]),ROW(Leccion[SubSección]))),ROW(P49))),"")</f>
        <v/>
      </c>
      <c r="R50" s="51" t="str">
        <f t="array" aca="1" ref="R50" ca="1">IFERROR(INDEX(Leccion[selectorLeccion],SMALL(IF(R$1=Leccion[SubSección],MATCH(ROW(Leccion[SubSección]),ROW(Leccion[SubSección]))),ROW(Q49))),"")</f>
        <v/>
      </c>
      <c r="S50" s="51" t="str">
        <f t="array" aca="1" ref="S50" ca="1">IFERROR(INDEX(Leccion[selectorLeccion],SMALL(IF(S$1=Leccion[SubSección],MATCH(ROW(Leccion[SubSección]),ROW(Leccion[SubSección]))),ROW(R49))),"")</f>
        <v/>
      </c>
      <c r="T50" s="51" t="str">
        <f t="array" aca="1" ref="T50" ca="1">IFERROR(INDEX(Leccion[selectorLeccion],SMALL(IF(T$1=Leccion[SubSección],MATCH(ROW(Leccion[SubSección]),ROW(Leccion[SubSección]))),ROW(S49))),"")</f>
        <v/>
      </c>
      <c r="U50" s="51" t="str">
        <f t="array" aca="1" ref="U50" ca="1">IFERROR(INDEX(Leccion[selectorLeccion],SMALL(IF(U$1=Leccion[SubSección],MATCH(ROW(Leccion[SubSección]),ROW(Leccion[SubSección]))),ROW(T49))),"")</f>
        <v/>
      </c>
      <c r="V50" s="51" t="str">
        <f t="array" aca="1" ref="V50" ca="1">IFERROR(INDEX(Leccion[selectorLeccion],SMALL(IF(V$1=Leccion[SubSección],MATCH(ROW(Leccion[SubSección]),ROW(Leccion[SubSección]))),ROW(U49))),"")</f>
        <v/>
      </c>
      <c r="W50" s="51" t="str">
        <f t="array" aca="1" ref="W50" ca="1">IFERROR(INDEX(Leccion[selectorLeccion],SMALL(IF(W$1=Leccion[SubSección],MATCH(ROW(Leccion[SubSección]),ROW(Leccion[SubSección]))),ROW(V49))),"")</f>
        <v/>
      </c>
      <c r="X50" s="51" t="str">
        <f t="array" aca="1" ref="X50" ca="1">IFERROR(INDEX(Leccion[selectorLeccion],SMALL(IF(X$1=Leccion[SubSección],MATCH(ROW(Leccion[SubSección]),ROW(Leccion[SubSección]))),ROW(W49))),"")</f>
        <v/>
      </c>
      <c r="Y50" s="51" t="str">
        <f t="array" aca="1" ref="Y50" ca="1">IFERROR(INDEX(Leccion[selectorLeccion],SMALL(IF(Y$1=Leccion[SubSección],MATCH(ROW(Leccion[SubSección]),ROW(Leccion[SubSección]))),ROW(X49))),"")</f>
        <v/>
      </c>
      <c r="Z50" s="51" t="str">
        <f t="array" aca="1" ref="Z50" ca="1">IFERROR(INDEX(Leccion[selectorLeccion],SMALL(IF(Z$1=Leccion[SubSección],MATCH(ROW(Leccion[SubSección]),ROW(Leccion[SubSección]))),ROW(Y49))),"")</f>
        <v/>
      </c>
      <c r="AA50" s="51" t="str">
        <f t="array" aca="1" ref="AA50" ca="1">IFERROR(INDEX(Leccion[selectorLeccion],SMALL(IF(AA$1=Leccion[SubSección],MATCH(ROW(Leccion[SubSección]),ROW(Leccion[SubSección]))),ROW(Z49))),"")</f>
        <v/>
      </c>
      <c r="AB50" s="51" t="str">
        <f t="array" aca="1" ref="AB50" ca="1">IFERROR(INDEX(Leccion[selectorLeccion],SMALL(IF(AB$1=Leccion[SubSección],MATCH(ROW(Leccion[SubSección]),ROW(Leccion[SubSección]))),ROW(AA49))),"")</f>
        <v/>
      </c>
      <c r="AC50" s="51" t="str">
        <f t="array" aca="1" ref="AC50" ca="1">IFERROR(INDEX(Leccion[selectorLeccion],SMALL(IF(AC$1=Leccion[SubSección],MATCH(ROW(Leccion[SubSección]),ROW(Leccion[SubSección]))),ROW(AB49))),"")</f>
        <v/>
      </c>
      <c r="AD50" s="51" t="str">
        <f t="array" aca="1" ref="AD50" ca="1">IFERROR(INDEX(Leccion[selectorLeccion],SMALL(IF(AD$1=Leccion[SubSección],MATCH(ROW(Leccion[SubSección]),ROW(Leccion[SubSección]))),ROW(AC49))),"")</f>
        <v/>
      </c>
      <c r="AE50" s="51" t="str">
        <f t="array" aca="1" ref="AE50" ca="1">IFERROR(INDEX(Leccion[selectorLeccion],SMALL(IF(AE$1=Leccion[SubSección],MATCH(ROW(Leccion[SubSección]),ROW(Leccion[SubSección]))),ROW(AD49))),"")</f>
        <v/>
      </c>
      <c r="AF50" s="51" t="str">
        <f t="array" aca="1" ref="AF50" ca="1">IFERROR(INDEX(Leccion[selectorLeccion],SMALL(IF(AF$1=Leccion[SubSección],MATCH(ROW(Leccion[SubSección]),ROW(Leccion[SubSección]))),ROW(AE49))),"")</f>
        <v/>
      </c>
      <c r="AG50" s="51" t="str">
        <f t="array" aca="1" ref="AG50" ca="1">IFERROR(INDEX(Leccion[selectorLeccion],SMALL(IF(AG$1=Leccion[SubSección],MATCH(ROW(Leccion[SubSección]),ROW(Leccion[SubSección]))),ROW(AF49))),"")</f>
        <v/>
      </c>
      <c r="AH50" s="51" t="str">
        <f t="array" aca="1" ref="AH50" ca="1">IFERROR(INDEX(Leccion[selectorLeccion],SMALL(IF(AH$1=Leccion[SubSección],MATCH(ROW(Leccion[SubSección]),ROW(Leccion[SubSección]))),ROW(AG49))),"")</f>
        <v/>
      </c>
      <c r="AI50" s="51" t="str">
        <f t="array" aca="1" ref="AI50" ca="1">IFERROR(INDEX(Leccion[selectorLeccion],SMALL(IF(AI$1=Leccion[SubSección],MATCH(ROW(Leccion[SubSección]),ROW(Leccion[SubSección]))),ROW(AH49))),"")</f>
        <v/>
      </c>
      <c r="AJ50" s="51" t="str">
        <f t="array" aca="1" ref="AJ50" ca="1">IFERROR(INDEX(Leccion[selectorLeccion],SMALL(IF(AJ$1=Leccion[SubSección],MATCH(ROW(Leccion[SubSección]),ROW(Leccion[SubSección]))),ROW(AI49))),"")</f>
        <v/>
      </c>
      <c r="AK50" s="51" t="str">
        <f t="array" aca="1" ref="AK50" ca="1">IFERROR(INDEX(Leccion[selectorLeccion],SMALL(IF(AK$1=Leccion[SubSección],MATCH(ROW(Leccion[SubSección]),ROW(Leccion[SubSección]))),ROW(AJ49))),"")</f>
        <v/>
      </c>
      <c r="AL50" s="51" t="str">
        <f t="array" aca="1" ref="AL50" ca="1">IFERROR(INDEX(Leccion[selectorLeccion],SMALL(IF(AL$1=Leccion[SubSección],MATCH(ROW(Leccion[SubSección]),ROW(Leccion[SubSección]))),ROW(AK49))),"")</f>
        <v/>
      </c>
      <c r="AM50" s="51" t="str">
        <f t="array" aca="1" ref="AM50" ca="1">IFERROR(INDEX(Leccion[selectorLeccion],SMALL(IF(AM$1=Leccion[SubSección],MATCH(ROW(Leccion[SubSección]),ROW(Leccion[SubSección]))),ROW(AL49))),"")</f>
        <v/>
      </c>
      <c r="AN50" s="51" t="str">
        <f t="array" aca="1" ref="AN50" ca="1">IFERROR(INDEX(Leccion[selectorLeccion],SMALL(IF(AN$1=Leccion[SubSección],MATCH(ROW(Leccion[SubSección]),ROW(Leccion[SubSección]))),ROW(AM49))),"")</f>
        <v/>
      </c>
      <c r="AO50" s="51" t="str">
        <f t="array" aca="1" ref="AO50" ca="1">IFERROR(INDEX(Leccion[selectorLeccion],SMALL(IF(AO$1=Leccion[SubSección],MATCH(ROW(Leccion[SubSección]),ROW(Leccion[SubSección]))),ROW(AN49))),"")</f>
        <v/>
      </c>
      <c r="AP50" s="51" t="str">
        <f t="array" aca="1" ref="AP50" ca="1">IFERROR(INDEX(Leccion[selectorLeccion],SMALL(IF(AP$1=Leccion[SubSección],MATCH(ROW(Leccion[SubSección]),ROW(Leccion[SubSección]))),ROW(AO49))),"")</f>
        <v/>
      </c>
      <c r="AQ50" s="51" t="str">
        <f t="array" aca="1" ref="AQ50" ca="1">IFERROR(INDEX(Leccion[selectorLeccion],SMALL(IF(AQ$1=Leccion[SubSección],MATCH(ROW(Leccion[SubSección]),ROW(Leccion[SubSección]))),ROW(AP49))),"")</f>
        <v/>
      </c>
      <c r="AR50" s="51" t="str">
        <f t="array" aca="1" ref="AR50" ca="1">IFERROR(INDEX(Leccion[selectorLeccion],SMALL(IF(AR$1=Leccion[SubSección],MATCH(ROW(Leccion[SubSección]),ROW(Leccion[SubSección]))),ROW(AQ49))),"")</f>
        <v/>
      </c>
      <c r="AS50" s="51" t="str">
        <f t="array" aca="1" ref="AS50" ca="1">IFERROR(INDEX(Leccion[selectorLeccion],SMALL(IF(AS$1=Leccion[SubSección],MATCH(ROW(Leccion[SubSección]),ROW(Leccion[SubSección]))),ROW(AR49))),"")</f>
        <v/>
      </c>
      <c r="AT50" s="51" t="str">
        <f t="array" aca="1" ref="AT50" ca="1">IFERROR(INDEX(Leccion[selectorLeccion],SMALL(IF(AT$1=Leccion[SubSección],MATCH(ROW(Leccion[SubSección]),ROW(Leccion[SubSección]))),ROW(AS49))),"")</f>
        <v/>
      </c>
      <c r="AU50" s="51" t="str">
        <f t="array" aca="1" ref="AU50" ca="1">IFERROR(INDEX(Leccion[selectorLeccion],SMALL(IF(AU$1=Leccion[SubSección],MATCH(ROW(Leccion[SubSección]),ROW(Leccion[SubSección]))),ROW(AT49))),"")</f>
        <v/>
      </c>
      <c r="AV50" s="51" t="str">
        <f t="array" aca="1" ref="AV50" ca="1">IFERROR(INDEX(Leccion[selectorLeccion],SMALL(IF(AV$1=Leccion[SubSección],MATCH(ROW(Leccion[SubSección]),ROW(Leccion[SubSección]))),ROW(AU49))),"")</f>
        <v/>
      </c>
      <c r="AW50" s="51" t="str">
        <f t="array" aca="1" ref="AW50" ca="1">IFERROR(INDEX(Leccion[selectorLeccion],SMALL(IF(AW$1=Leccion[SubSección],MATCH(ROW(Leccion[SubSección]),ROW(Leccion[SubSección]))),ROW(AV49))),"")</f>
        <v/>
      </c>
      <c r="AX50" s="51" t="str">
        <f t="array" aca="1" ref="AX50" ca="1">IFERROR(INDEX(Leccion[selectorLeccion],SMALL(IF(AX$1=Leccion[SubSección],MATCH(ROW(Leccion[SubSección]),ROW(Leccion[SubSección]))),ROW(AW49))),"")</f>
        <v/>
      </c>
      <c r="AY50" s="51" t="str">
        <f t="array" aca="1" ref="AY50" ca="1">IFERROR(INDEX(Leccion[selectorLeccion],SMALL(IF(AY$1=Leccion[SubSección],MATCH(ROW(Leccion[SubSección]),ROW(Leccion[SubSección]))),ROW(AX49))),"")</f>
        <v/>
      </c>
      <c r="AZ50" s="51" t="str">
        <f t="array" aca="1" ref="AZ50" ca="1">IFERROR(INDEX(Leccion[selectorLeccion],SMALL(IF(AZ$1=Leccion[SubSección],MATCH(ROW(Leccion[SubSección]),ROW(Leccion[SubSección]))),ROW(AY49))),"")</f>
        <v/>
      </c>
      <c r="BA50" s="51" t="str">
        <f t="array" aca="1" ref="BA50" ca="1">IFERROR(INDEX(Leccion[selectorLeccion],SMALL(IF(BA$1=Leccion[SubSección],MATCH(ROW(Leccion[SubSección]),ROW(Leccion[SubSección]))),ROW(AZ49))),"")</f>
        <v/>
      </c>
      <c r="BB50" s="51" t="str">
        <f t="array" aca="1" ref="BB50" ca="1">IFERROR(INDEX(Leccion[selectorLeccion],SMALL(IF(BB$1=Leccion[SubSección],MATCH(ROW(Leccion[SubSección]),ROW(Leccion[SubSección]))),ROW(BA49))),"")</f>
        <v/>
      </c>
      <c r="BC50" s="51" t="str">
        <f t="array" aca="1" ref="BC50" ca="1">IFERROR(INDEX(Leccion[selectorLeccion],SMALL(IF(BC$1=Leccion[SubSección],MATCH(ROW(Leccion[SubSección]),ROW(Leccion[SubSección]))),ROW(BB49))),"")</f>
        <v/>
      </c>
      <c r="BD50" s="51" t="str">
        <f t="array" aca="1" ref="BD50" ca="1">IFERROR(INDEX(Leccion[selectorLeccion],SMALL(IF(BD$1=Leccion[SubSección],MATCH(ROW(Leccion[SubSección]),ROW(Leccion[SubSección]))),ROW(BC49))),"")</f>
        <v/>
      </c>
      <c r="BE50" s="51" t="str">
        <f t="array" aca="1" ref="BE50" ca="1">IFERROR(INDEX(Leccion[selectorLeccion],SMALL(IF(BE$1=Leccion[SubSección],MATCH(ROW(Leccion[SubSección]),ROW(Leccion[SubSección]))),ROW(BD49))),"")</f>
        <v/>
      </c>
      <c r="BF50" s="51" t="str">
        <f t="array" aca="1" ref="BF50" ca="1">IFERROR(INDEX(Leccion[selectorLeccion],SMALL(IF(BF$1=Leccion[SubSección],MATCH(ROW(Leccion[SubSección]),ROW(Leccion[SubSección]))),ROW(BE49))),"")</f>
        <v/>
      </c>
      <c r="BG50" s="51" t="str">
        <f t="array" aca="1" ref="BG50" ca="1">IFERROR(INDEX(Leccion[selectorLeccion],SMALL(IF(BG$1=Leccion[SubSección],MATCH(ROW(Leccion[SubSección]),ROW(Leccion[SubSección]))),ROW(BF49))),"")</f>
        <v/>
      </c>
      <c r="BH50" s="51" t="str">
        <f t="array" aca="1" ref="BH50" ca="1">IFERROR(INDEX(Leccion[selectorLeccion],SMALL(IF(BH$1=Leccion[SubSección],MATCH(ROW(Leccion[SubSección]),ROW(Leccion[SubSección]))),ROW(BG49))),"")</f>
        <v/>
      </c>
      <c r="BI50" s="51" t="str">
        <f t="array" aca="1" ref="BI50" ca="1">IFERROR(INDEX(Leccion[selectorLeccion],SMALL(IF(BI$1=Leccion[SubSección],MATCH(ROW(Leccion[SubSección]),ROW(Leccion[SubSección]))),ROW(BH49))),"")</f>
        <v/>
      </c>
      <c r="BJ50" s="51" t="str">
        <f t="array" aca="1" ref="BJ50" ca="1">IFERROR(INDEX(Leccion[selectorLeccion],SMALL(IF(BJ$1=Leccion[SubSección],MATCH(ROW(Leccion[SubSección]),ROW(Leccion[SubSección]))),ROW(BI49))),"")</f>
        <v/>
      </c>
      <c r="BK50" s="51" t="str">
        <f t="array" aca="1" ref="BK50" ca="1">IFERROR(INDEX(Leccion[selectorLeccion],SMALL(IF(BK$1=Leccion[SubSección],MATCH(ROW(Leccion[SubSección]),ROW(Leccion[SubSección]))),ROW(BJ49))),"")</f>
        <v/>
      </c>
      <c r="BL50" s="51" t="str">
        <f t="array" aca="1" ref="BL50" ca="1">IFERROR(INDEX(Leccion[selectorLeccion],SMALL(IF(BL$1=Leccion[SubSección],MATCH(ROW(Leccion[SubSección]),ROW(Leccion[SubSección]))),ROW(BK49))),"")</f>
        <v/>
      </c>
      <c r="BM50" s="51" t="str">
        <f t="array" aca="1" ref="BM50" ca="1">IFERROR(INDEX(Leccion[selectorLeccion],SMALL(IF(BM$1=Leccion[SubSección],MATCH(ROW(Leccion[SubSección]),ROW(Leccion[SubSección]))),ROW(BL49))),"")</f>
        <v/>
      </c>
      <c r="BN50" s="51" t="str">
        <f t="array" aca="1" ref="BN50" ca="1">IFERROR(INDEX(Leccion[selectorLeccion],SMALL(IF(BN$1=Leccion[SubSección],MATCH(ROW(Leccion[SubSección]),ROW(Leccion[SubSección]))),ROW(BM49))),"")</f>
        <v/>
      </c>
      <c r="BO50" s="51" t="str">
        <f t="array" aca="1" ref="BO50" ca="1">IFERROR(INDEX(Leccion[selectorLeccion],SMALL(IF(BO$1=Leccion[SubSección],MATCH(ROW(Leccion[SubSección]),ROW(Leccion[SubSección]))),ROW(BN49))),"")</f>
        <v/>
      </c>
      <c r="BP50" s="51" t="str">
        <f t="array" aca="1" ref="BP50" ca="1">IFERROR(INDEX(Leccion[selectorLeccion],SMALL(IF(BP$1=Leccion[SubSección],MATCH(ROW(Leccion[SubSección]),ROW(Leccion[SubSección]))),ROW(BO49))),"")</f>
        <v/>
      </c>
      <c r="BQ50" s="51" t="str">
        <f t="array" aca="1" ref="BQ50" ca="1">IFERROR(INDEX(Leccion[selectorLeccion],SMALL(IF(BQ$1=Leccion[SubSección],MATCH(ROW(Leccion[SubSección]),ROW(Leccion[SubSección]))),ROW(BP49))),"")</f>
        <v/>
      </c>
      <c r="BR50" s="51" t="str">
        <f t="array" aca="1" ref="BR50" ca="1">IFERROR(INDEX(Leccion[selectorLeccion],SMALL(IF(BR$1=Leccion[SubSección],MATCH(ROW(Leccion[SubSección]),ROW(Leccion[SubSección]))),ROW(BQ49))),"")</f>
        <v/>
      </c>
      <c r="BS50" s="51" t="str">
        <f t="array" aca="1" ref="BS50" ca="1">IFERROR(INDEX(Leccion[selectorLeccion],SMALL(IF(BS$1=Leccion[SubSección],MATCH(ROW(Leccion[SubSección]),ROW(Leccion[SubSección]))),ROW(BR49))),"")</f>
        <v/>
      </c>
      <c r="BT50" s="51" t="str">
        <f t="array" aca="1" ref="BT50" ca="1">IFERROR(INDEX(Leccion[selectorLeccion],SMALL(IF(BT$1=Leccion[SubSección],MATCH(ROW(Leccion[SubSección]),ROW(Leccion[SubSección]))),ROW(BS49))),"")</f>
        <v/>
      </c>
      <c r="BU50" s="51" t="str">
        <f t="array" aca="1" ref="BU50" ca="1">IFERROR(INDEX(Leccion[selectorLeccion],SMALL(IF(BU$1=Leccion[SubSección],MATCH(ROW(Leccion[SubSección]),ROW(Leccion[SubSección]))),ROW(BT49))),"")</f>
        <v/>
      </c>
      <c r="BV50" s="51" t="str">
        <f t="array" aca="1" ref="BV50" ca="1">IFERROR(INDEX(Leccion[selectorLeccion],SMALL(IF(BV$1=Leccion[SubSección],MATCH(ROW(Leccion[SubSección]),ROW(Leccion[SubSección]))),ROW(BU49))),"")</f>
        <v/>
      </c>
      <c r="BW50" s="51" t="str">
        <f t="array" aca="1" ref="BW50" ca="1">IFERROR(INDEX(Leccion[selectorLeccion],SMALL(IF(BW$1=Leccion[SubSección],MATCH(ROW(Leccion[SubSección]),ROW(Leccion[SubSección]))),ROW(BV49))),"")</f>
        <v/>
      </c>
      <c r="BX50" s="51" t="str">
        <f t="array" aca="1" ref="BX50" ca="1">IFERROR(INDEX(Leccion[selectorLeccion],SMALL(IF(BX$1=Leccion[SubSección],MATCH(ROW(Leccion[SubSección]),ROW(Leccion[SubSección]))),ROW(BW49))),"")</f>
        <v/>
      </c>
      <c r="BY50" s="51" t="str">
        <f t="array" aca="1" ref="BY50" ca="1">IFERROR(INDEX(Leccion[selectorLeccion],SMALL(IF(BY$1=Leccion[SubSección],MATCH(ROW(Leccion[SubSección]),ROW(Leccion[SubSección]))),ROW(BX49))),"")</f>
        <v/>
      </c>
      <c r="BZ50" s="51" t="str">
        <f t="array" aca="1" ref="BZ50" ca="1">IFERROR(INDEX(Leccion[selectorLeccion],SMALL(IF(BZ$1=Leccion[SubSección],MATCH(ROW(Leccion[SubSección]),ROW(Leccion[SubSección]))),ROW(BY49))),"")</f>
        <v/>
      </c>
      <c r="CA50" s="51" t="str">
        <f t="array" aca="1" ref="CA50" ca="1">IFERROR(INDEX(Leccion[selectorLeccion],SMALL(IF(CA$1=Leccion[SubSección],MATCH(ROW(Leccion[SubSección]),ROW(Leccion[SubSección]))),ROW(BZ49))),"")</f>
        <v/>
      </c>
      <c r="CB50" s="51" t="str">
        <f t="array" aca="1" ref="CB50" ca="1">IFERROR(INDEX(Leccion[selectorLeccion],SMALL(IF(CB$1=Leccion[SubSección],MATCH(ROW(Leccion[SubSección]),ROW(Leccion[SubSección]))),ROW(CA49))),"")</f>
        <v/>
      </c>
      <c r="CC50" s="51" t="str">
        <f t="array" aca="1" ref="CC50" ca="1">IFERROR(INDEX(Leccion[selectorLeccion],SMALL(IF(CC$1=Leccion[SubSección],MATCH(ROW(Leccion[SubSección]),ROW(Leccion[SubSección]))),ROW(CB49))),"")</f>
        <v/>
      </c>
      <c r="CD50" s="51" t="str">
        <f t="array" aca="1" ref="CD50" ca="1">IFERROR(INDEX(Leccion[selectorLeccion],SMALL(IF(CD$1=Leccion[SubSección],MATCH(ROW(Leccion[SubSección]),ROW(Leccion[SubSección]))),ROW(CC49))),"")</f>
        <v/>
      </c>
      <c r="CE50" s="51" t="str">
        <f t="array" aca="1" ref="CE50" ca="1">IFERROR(INDEX(Leccion[selectorLeccion],SMALL(IF(CE$1=Leccion[SubSección],MATCH(ROW(Leccion[SubSección]),ROW(Leccion[SubSección]))),ROW(CD49))),"")</f>
        <v/>
      </c>
      <c r="CF50" s="51" t="str">
        <f t="array" aca="1" ref="CF50" ca="1">IFERROR(INDEX(Leccion[selectorLeccion],SMALL(IF(CF$1=Leccion[SubSección],MATCH(ROW(Leccion[SubSección]),ROW(Leccion[SubSección]))),ROW(CE49))),"")</f>
        <v/>
      </c>
      <c r="CG50" s="51" t="str">
        <f t="array" aca="1" ref="CG50" ca="1">IFERROR(INDEX(Leccion[selectorLeccion],SMALL(IF(CG$1=Leccion[SubSección],MATCH(ROW(Leccion[SubSección]),ROW(Leccion[SubSección]))),ROW(CF49))),"")</f>
        <v/>
      </c>
      <c r="CH50" s="51" t="str">
        <f t="array" aca="1" ref="CH50" ca="1">IFERROR(INDEX(Leccion[selectorLeccion],SMALL(IF(CH$1=Leccion[SubSección],MATCH(ROW(Leccion[SubSección]),ROW(Leccion[SubSección]))),ROW(CG49))),"")</f>
        <v/>
      </c>
      <c r="CI50" s="51" t="str">
        <f t="array" aca="1" ref="CI50" ca="1">IFERROR(INDEX(Leccion[selectorLeccion],SMALL(IF(CI$1=Leccion[SubSección],MATCH(ROW(Leccion[SubSección]),ROW(Leccion[SubSección]))),ROW(CH49))),"")</f>
        <v/>
      </c>
      <c r="CJ50" s="51" t="str">
        <f t="array" aca="1" ref="CJ50" ca="1">IFERROR(INDEX(Leccion[selectorLeccion],SMALL(IF(CJ$1=Leccion[SubSección],MATCH(ROW(Leccion[SubSección]),ROW(Leccion[SubSección]))),ROW(CI49))),"")</f>
        <v/>
      </c>
      <c r="CK50" s="51" t="str">
        <f t="array" aca="1" ref="CK50" ca="1">IFERROR(INDEX(Leccion[selectorLeccion],SMALL(IF(CK$1=Leccion[SubSección],MATCH(ROW(Leccion[SubSección]),ROW(Leccion[SubSección]))),ROW(CJ49))),"")</f>
        <v/>
      </c>
      <c r="CL50" s="51" t="str">
        <f t="array" aca="1" ref="CL50" ca="1">IFERROR(INDEX(Leccion[selectorLeccion],SMALL(IF(CL$1=Leccion[SubSección],MATCH(ROW(Leccion[SubSección]),ROW(Leccion[SubSección]))),ROW(CK49))),"")</f>
        <v/>
      </c>
      <c r="CM50" s="51" t="str">
        <f t="array" aca="1" ref="CM50" ca="1">IFERROR(INDEX(Leccion[selectorLeccion],SMALL(IF(CM$1=Leccion[SubSección],MATCH(ROW(Leccion[SubSección]),ROW(Leccion[SubSección]))),ROW(CL49))),"")</f>
        <v/>
      </c>
      <c r="CN50" s="51" t="str">
        <f t="array" aca="1" ref="CN50" ca="1">IFERROR(INDEX(Leccion[selectorLeccion],SMALL(IF(CN$1=Leccion[SubSección],MATCH(ROW(Leccion[SubSección]),ROW(Leccion[SubSección]))),ROW(CM49))),"")</f>
        <v/>
      </c>
      <c r="CO50" s="51" t="str">
        <f t="array" aca="1" ref="CO50" ca="1">IFERROR(INDEX(Leccion[selectorLeccion],SMALL(IF(CO$1=Leccion[SubSección],MATCH(ROW(Leccion[SubSección]),ROW(Leccion[SubSección]))),ROW(CN49))),"")</f>
        <v/>
      </c>
      <c r="CP50" s="51" t="str">
        <f t="array" aca="1" ref="CP50" ca="1">IFERROR(INDEX(Leccion[selectorLeccion],SMALL(IF(CP$1=Leccion[SubSección],MATCH(ROW(Leccion[SubSección]),ROW(Leccion[SubSección]))),ROW(CO49))),"")</f>
        <v/>
      </c>
      <c r="CQ50" s="51" t="str">
        <f t="array" aca="1" ref="CQ50" ca="1">IFERROR(INDEX(Leccion[selectorLeccion],SMALL(IF(CQ$1=Leccion[SubSección],MATCH(ROW(Leccion[SubSección]),ROW(Leccion[SubSección]))),ROW(CP49))),"")</f>
        <v/>
      </c>
      <c r="CR50" s="51" t="str">
        <f t="array" aca="1" ref="CR50" ca="1">IFERROR(INDEX(Leccion[selectorLeccion],SMALL(IF(CR$1=Leccion[SubSección],MATCH(ROW(Leccion[SubSección]),ROW(Leccion[SubSección]))),ROW(CQ49))),"")</f>
        <v/>
      </c>
      <c r="CS50" s="51" t="str">
        <f t="array" aca="1" ref="CS50" ca="1">IFERROR(INDEX(Leccion[selectorLeccion],SMALL(IF(CS$1=Leccion[SubSección],MATCH(ROW(Leccion[SubSección]),ROW(Leccion[SubSección]))),ROW(CR49))),"")</f>
        <v/>
      </c>
      <c r="CT50" s="51" t="str">
        <f t="array" aca="1" ref="CT50" ca="1">IFERROR(INDEX(Leccion[selectorLeccion],SMALL(IF(CT$1=Leccion[SubSección],MATCH(ROW(Leccion[SubSección]),ROW(Leccion[SubSección]))),ROW(CS49))),"")</f>
        <v/>
      </c>
      <c r="CU50" s="51" t="str">
        <f t="array" aca="1" ref="CU50" ca="1">IFERROR(INDEX(Leccion[selectorLeccion],SMALL(IF(CU$1=Leccion[SubSección],MATCH(ROW(Leccion[SubSección]),ROW(Leccion[SubSección]))),ROW(CT49))),"")</f>
        <v/>
      </c>
      <c r="CV50" s="51" t="str">
        <f t="array" aca="1" ref="CV50" ca="1">IFERROR(INDEX(Leccion[selectorLeccion],SMALL(IF(CV$1=Leccion[SubSección],MATCH(ROW(Leccion[SubSección]),ROW(Leccion[SubSección]))),ROW(CU49))),"")</f>
        <v/>
      </c>
      <c r="CW50" s="51" t="str">
        <f t="array" aca="1" ref="CW50" ca="1">IFERROR(INDEX(Leccion[selectorLeccion],SMALL(IF(CW$1=Leccion[SubSección],MATCH(ROW(Leccion[SubSección]),ROW(Leccion[SubSección]))),ROW(CV49))),"")</f>
        <v/>
      </c>
      <c r="CX50" s="51" t="str">
        <f t="array" aca="1" ref="CX50" ca="1">IFERROR(INDEX(Leccion[selectorLeccion],SMALL(IF(CX$1=Leccion[SubSección],MATCH(ROW(Leccion[SubSección]),ROW(Leccion[SubSección]))),ROW(CW49))),"")</f>
        <v/>
      </c>
      <c r="CY50" s="51" t="str">
        <f t="array" aca="1" ref="CY50" ca="1">IFERROR(INDEX(Leccion[selectorLeccion],SMALL(IF(CY$1=Leccion[SubSección],MATCH(ROW(Leccion[SubSección]),ROW(Leccion[SubSección]))),ROW(CX49))),"")</f>
        <v/>
      </c>
      <c r="CZ50" s="51" t="str">
        <f t="array" aca="1" ref="CZ50" ca="1">IFERROR(INDEX(Leccion[selectorLeccion],SMALL(IF(CZ$1=Leccion[SubSección],MATCH(ROW(Leccion[SubSección]),ROW(Leccion[SubSección]))),ROW(CY49))),"")</f>
        <v/>
      </c>
      <c r="DA50" s="51" t="str">
        <f t="array" aca="1" ref="DA50" ca="1">IFERROR(INDEX(Leccion[selectorLeccion],SMALL(IF(DA$1=Leccion[SubSección],MATCH(ROW(Leccion[SubSección]),ROW(Leccion[SubSección]))),ROW(CZ49))),"")</f>
        <v/>
      </c>
      <c r="DB50" s="51" t="str">
        <f t="array" aca="1" ref="DB50" ca="1">IFERROR(INDEX(Leccion[selectorLeccion],SMALL(IF(DB$1=Leccion[SubSección],MATCH(ROW(Leccion[SubSección]),ROW(Leccion[SubSección]))),ROW(DA49))),"")</f>
        <v/>
      </c>
      <c r="DC50" s="51" t="str">
        <f t="array" aca="1" ref="DC50" ca="1">IFERROR(INDEX(Leccion[selectorLeccion],SMALL(IF(DC$1=Leccion[SubSección],MATCH(ROW(Leccion[SubSección]),ROW(Leccion[SubSección]))),ROW(DB49))),"")</f>
        <v/>
      </c>
      <c r="DD50" s="51" t="str">
        <f t="array" aca="1" ref="DD50" ca="1">IFERROR(INDEX(Leccion[selectorLeccion],SMALL(IF(DD$1=Leccion[SubSección],MATCH(ROW(Leccion[SubSección]),ROW(Leccion[SubSección]))),ROW(DC49))),"")</f>
        <v/>
      </c>
      <c r="DE50" s="51" t="str">
        <f t="array" aca="1" ref="DE50" ca="1">IFERROR(INDEX(Leccion[selectorLeccion],SMALL(IF(DE$1=Leccion[SubSección],MATCH(ROW(Leccion[SubSección]),ROW(Leccion[SubSección]))),ROW(DD49))),"")</f>
        <v/>
      </c>
      <c r="DF50" s="51" t="str">
        <f t="array" aca="1" ref="DF50" ca="1">IFERROR(INDEX(Leccion[selectorLeccion],SMALL(IF(DF$1=Leccion[SubSección],MATCH(ROW(Leccion[SubSección]),ROW(Leccion[SubSección]))),ROW(DE49))),"")</f>
        <v/>
      </c>
      <c r="DG50" s="51" t="str">
        <f t="array" aca="1" ref="DG50" ca="1">IFERROR(INDEX(Leccion[selectorLeccion],SMALL(IF(DG$1=Leccion[SubSección],MATCH(ROW(Leccion[SubSección]),ROW(Leccion[SubSección]))),ROW(DF49))),"")</f>
        <v/>
      </c>
      <c r="DH50" s="51" t="str">
        <f t="array" aca="1" ref="DH50" ca="1">IFERROR(INDEX(Leccion[selectorLeccion],SMALL(IF(DH$1=Leccion[SubSección],MATCH(ROW(Leccion[SubSección]),ROW(Leccion[SubSección]))),ROW(DG49))),"")</f>
        <v/>
      </c>
      <c r="DI50" s="51" t="str">
        <f t="array" aca="1" ref="DI50" ca="1">IFERROR(INDEX(Leccion[selectorLeccion],SMALL(IF(DI$1=Leccion[SubSección],MATCH(ROW(Leccion[SubSección]),ROW(Leccion[SubSección]))),ROW(DH49))),"")</f>
        <v/>
      </c>
      <c r="DJ50" s="51" t="str">
        <f t="array" aca="1" ref="DJ50" ca="1">IFERROR(INDEX(Leccion[selectorLeccion],SMALL(IF(DJ$1=Leccion[SubSección],MATCH(ROW(Leccion[SubSección]),ROW(Leccion[SubSección]))),ROW(DI49))),"")</f>
        <v/>
      </c>
      <c r="DK50" s="51" t="str">
        <f t="array" aca="1" ref="DK50" ca="1">IFERROR(INDEX(Leccion[selectorLeccion],SMALL(IF(DK$1=Leccion[SubSección],MATCH(ROW(Leccion[SubSección]),ROW(Leccion[SubSección]))),ROW(DJ49))),"")</f>
        <v/>
      </c>
      <c r="DL50" s="51" t="str">
        <f t="array" aca="1" ref="DL50" ca="1">IFERROR(INDEX(Leccion[selectorLeccion],SMALL(IF(DL$1=Leccion[SubSección],MATCH(ROW(Leccion[SubSección]),ROW(Leccion[SubSección]))),ROW(DK49))),"")</f>
        <v/>
      </c>
      <c r="DM50" s="51" t="str">
        <f t="array" aca="1" ref="DM50" ca="1">IFERROR(INDEX(Leccion[selectorLeccion],SMALL(IF(DM$1=Leccion[SubSección],MATCH(ROW(Leccion[SubSección]),ROW(Leccion[SubSección]))),ROW(DL49))),"")</f>
        <v/>
      </c>
      <c r="DN50" s="51" t="str">
        <f t="array" aca="1" ref="DN50" ca="1">IFERROR(INDEX(Leccion[selectorLeccion],SMALL(IF(DN$1=Leccion[SubSección],MATCH(ROW(Leccion[SubSección]),ROW(Leccion[SubSección]))),ROW(DM49))),"")</f>
        <v/>
      </c>
      <c r="DO50" s="51" t="str">
        <f t="array" aca="1" ref="DO50" ca="1">IFERROR(INDEX(Leccion[selectorLeccion],SMALL(IF(DO$1=Leccion[SubSección],MATCH(ROW(Leccion[SubSección]),ROW(Leccion[SubSección]))),ROW(DN49))),"")</f>
        <v/>
      </c>
      <c r="DP50" s="51" t="str">
        <f t="array" aca="1" ref="DP50" ca="1">IFERROR(INDEX(Leccion[selectorLeccion],SMALL(IF(DP$1=Leccion[SubSección],MATCH(ROW(Leccion[SubSección]),ROW(Leccion[SubSección]))),ROW(DO49))),"")</f>
        <v/>
      </c>
      <c r="DQ50" s="51" t="str">
        <f t="array" aca="1" ref="DQ50" ca="1">IFERROR(INDEX(Leccion[selectorLeccion],SMALL(IF(DQ$1=Leccion[SubSección],MATCH(ROW(Leccion[SubSección]),ROW(Leccion[SubSección]))),ROW(DP49))),"")</f>
        <v/>
      </c>
      <c r="DR50" s="51" t="str">
        <f t="array" aca="1" ref="DR50" ca="1">IFERROR(INDEX(Leccion[selectorLeccion],SMALL(IF(DR$1=Leccion[SubSección],MATCH(ROW(Leccion[SubSección]),ROW(Leccion[SubSección]))),ROW(DQ49))),"")</f>
        <v/>
      </c>
      <c r="DS50" s="51" t="str">
        <f t="array" aca="1" ref="DS50" ca="1">IFERROR(INDEX(Leccion[selectorLeccion],SMALL(IF(DS$1=Leccion[SubSección],MATCH(ROW(Leccion[SubSección]),ROW(Leccion[SubSección]))),ROW(DR49))),"")</f>
        <v/>
      </c>
      <c r="DT50" s="51" t="str">
        <f t="array" aca="1" ref="DT50" ca="1">IFERROR(INDEX(Leccion[selectorLeccion],SMALL(IF(DT$1=Leccion[SubSección],MATCH(ROW(Leccion[SubSección]),ROW(Leccion[SubSección]))),ROW(DS49))),"")</f>
        <v/>
      </c>
      <c r="DU50" s="51" t="str">
        <f t="array" aca="1" ref="DU50" ca="1">IFERROR(INDEX(Leccion[selectorLeccion],SMALL(IF(DU$1=Leccion[SubSección],MATCH(ROW(Leccion[SubSección]),ROW(Leccion[SubSección]))),ROW(DT49))),"")</f>
        <v/>
      </c>
      <c r="DV50" s="51" t="str">
        <f t="array" aca="1" ref="DV50" ca="1">IFERROR(INDEX(Leccion[selectorLeccion],SMALL(IF(DV$1=Leccion[SubSección],MATCH(ROW(Leccion[SubSección]),ROW(Leccion[SubSección]))),ROW(DU49))),"")</f>
        <v/>
      </c>
      <c r="DW50" s="51" t="str">
        <f t="array" aca="1" ref="DW50" ca="1">IFERROR(INDEX(Leccion[selectorLeccion],SMALL(IF(DW$1=Leccion[SubSección],MATCH(ROW(Leccion[SubSección]),ROW(Leccion[SubSección]))),ROW(DV49))),"")</f>
        <v/>
      </c>
      <c r="DX50" s="51" t="str">
        <f t="array" aca="1" ref="DX50" ca="1">IFERROR(INDEX(Leccion[selectorLeccion],SMALL(IF(DX$1=Leccion[SubSección],MATCH(ROW(Leccion[SubSección]),ROW(Leccion[SubSección]))),ROW(DW49))),"")</f>
        <v/>
      </c>
      <c r="DY50" s="51" t="str">
        <f t="array" aca="1" ref="DY50" ca="1">IFERROR(INDEX(Leccion[selectorLeccion],SMALL(IF(DY$1=Leccion[SubSección],MATCH(ROW(Leccion[SubSección]),ROW(Leccion[SubSección]))),ROW(DX49))),"")</f>
        <v/>
      </c>
      <c r="DZ50" s="51" t="str">
        <f t="array" aca="1" ref="DZ50" ca="1">IFERROR(INDEX(Leccion[selectorLeccion],SMALL(IF(DZ$1=Leccion[SubSección],MATCH(ROW(Leccion[SubSección]),ROW(Leccion[SubSección]))),ROW(DY49))),"")</f>
        <v/>
      </c>
      <c r="EA50" s="51" t="str">
        <f t="array" aca="1" ref="EA50" ca="1">IFERROR(INDEX(Leccion[selectorLeccion],SMALL(IF(EA$1=Leccion[SubSección],MATCH(ROW(Leccion[SubSección]),ROW(Leccion[SubSección]))),ROW(DZ49))),"")</f>
        <v/>
      </c>
      <c r="EB50" s="51" t="str">
        <f t="array" aca="1" ref="EB50" ca="1">IFERROR(INDEX(Leccion[selectorLeccion],SMALL(IF(EB$1=Leccion[SubSección],MATCH(ROW(Leccion[SubSección]),ROW(Leccion[SubSección]))),ROW(EA49))),"")</f>
        <v/>
      </c>
      <c r="EC50" s="51" t="str">
        <f t="array" aca="1" ref="EC50" ca="1">IFERROR(INDEX(Leccion[selectorLeccion],SMALL(IF(EC$1=Leccion[SubSección],MATCH(ROW(Leccion[SubSección]),ROW(Leccion[SubSección]))),ROW(EB49))),"")</f>
        <v/>
      </c>
      <c r="ED50" s="51" t="str">
        <f t="array" aca="1" ref="ED50" ca="1">IFERROR(INDEX(Leccion[selectorLeccion],SMALL(IF(ED$1=Leccion[SubSección],MATCH(ROW(Leccion[SubSección]),ROW(Leccion[SubSección]))),ROW(EC49))),"")</f>
        <v/>
      </c>
      <c r="EE50" s="51" t="str">
        <f t="array" aca="1" ref="EE50" ca="1">IFERROR(INDEX(Leccion[selectorLeccion],SMALL(IF(EE$1=Leccion[SubSección],MATCH(ROW(Leccion[SubSección]),ROW(Leccion[SubSección]))),ROW(ED49))),"")</f>
        <v/>
      </c>
      <c r="EF50" s="51" t="str">
        <f t="array" aca="1" ref="EF50" ca="1">IFERROR(INDEX(Leccion[selectorLeccion],SMALL(IF(EF$1=Leccion[SubSección],MATCH(ROW(Leccion[SubSección]),ROW(Leccion[SubSección]))),ROW(EE49))),"")</f>
        <v/>
      </c>
      <c r="EG50" s="51" t="str">
        <f t="array" aca="1" ref="EG50" ca="1">IFERROR(INDEX(Leccion[selectorLeccion],SMALL(IF(EG$1=Leccion[SubSección],MATCH(ROW(Leccion[SubSección]),ROW(Leccion[SubSección]))),ROW(EF49))),"")</f>
        <v/>
      </c>
      <c r="EH50" s="51" t="str">
        <f t="array" aca="1" ref="EH50" ca="1">IFERROR(INDEX(Leccion[selectorLeccion],SMALL(IF(EH$1=Leccion[SubSección],MATCH(ROW(Leccion[SubSección]),ROW(Leccion[SubSección]))),ROW(EG49))),"")</f>
        <v/>
      </c>
      <c r="EI50" s="51" t="str">
        <f t="array" aca="1" ref="EI50" ca="1">IFERROR(INDEX(Leccion[selectorLeccion],SMALL(IF(EI$1=Leccion[SubSección],MATCH(ROW(Leccion[SubSección]),ROW(Leccion[SubSección]))),ROW(EH49))),"")</f>
        <v/>
      </c>
      <c r="EJ50" s="51" t="str">
        <f t="array" aca="1" ref="EJ50" ca="1">IFERROR(INDEX(Leccion[selectorLeccion],SMALL(IF(EJ$1=Leccion[SubSección],MATCH(ROW(Leccion[SubSección]),ROW(Leccion[SubSección]))),ROW(EI49))),"")</f>
        <v/>
      </c>
      <c r="EK50" s="51" t="str">
        <f t="array" aca="1" ref="EK50" ca="1">IFERROR(INDEX(Leccion[selectorLeccion],SMALL(IF(EK$1=Leccion[SubSección],MATCH(ROW(Leccion[SubSección]),ROW(Leccion[SubSección]))),ROW(EJ49))),"")</f>
        <v/>
      </c>
      <c r="EL50" s="51" t="str">
        <f t="array" aca="1" ref="EL50" ca="1">IFERROR(INDEX(Leccion[selectorLeccion],SMALL(IF(EL$1=Leccion[SubSección],MATCH(ROW(Leccion[SubSección]),ROW(Leccion[SubSección]))),ROW(EK49))),"")</f>
        <v/>
      </c>
      <c r="EM50" s="51" t="str">
        <f t="array" aca="1" ref="EM50" ca="1">IFERROR(INDEX(Leccion[selectorLeccion],SMALL(IF(EM$1=Leccion[SubSección],MATCH(ROW(Leccion[SubSección]),ROW(Leccion[SubSección]))),ROW(EL49))),"")</f>
        <v/>
      </c>
      <c r="EN50" s="51" t="str">
        <f t="array" aca="1" ref="EN50" ca="1">IFERROR(INDEX(Leccion[selectorLeccion],SMALL(IF(EN$1=Leccion[SubSección],MATCH(ROW(Leccion[SubSección]),ROW(Leccion[SubSección]))),ROW(EM49))),"")</f>
        <v/>
      </c>
      <c r="EO50" s="51" t="str">
        <f t="array" aca="1" ref="EO50" ca="1">IFERROR(INDEX(Leccion[selectorLeccion],SMALL(IF(EO$1=Leccion[SubSección],MATCH(ROW(Leccion[SubSección]),ROW(Leccion[SubSección]))),ROW(EN49))),"")</f>
        <v/>
      </c>
      <c r="EP50" s="51" t="str">
        <f t="array" aca="1" ref="EP50" ca="1">IFERROR(INDEX(Leccion[selectorLeccion],SMALL(IF(EP$1=Leccion[SubSección],MATCH(ROW(Leccion[SubSección]),ROW(Leccion[SubSección]))),ROW(EO49))),"")</f>
        <v/>
      </c>
      <c r="EQ50" s="51" t="str">
        <f t="array" aca="1" ref="EQ50" ca="1">IFERROR(INDEX(Leccion[selectorLeccion],SMALL(IF(EQ$1=Leccion[SubSección],MATCH(ROW(Leccion[SubSección]),ROW(Leccion[SubSección]))),ROW(EP49))),"")</f>
        <v/>
      </c>
      <c r="ER50" s="51" t="str">
        <f t="array" aca="1" ref="ER50" ca="1">IFERROR(INDEX(Leccion[selectorLeccion],SMALL(IF(ER$1=Leccion[SubSección],MATCH(ROW(Leccion[SubSección]),ROW(Leccion[SubSección]))),ROW(EQ49))),"")</f>
        <v/>
      </c>
      <c r="ES50" s="51" t="str">
        <f t="array" aca="1" ref="ES50" ca="1">IFERROR(INDEX(Leccion[selectorLeccion],SMALL(IF(ES$1=Leccion[SubSección],MATCH(ROW(Leccion[SubSección]),ROW(Leccion[SubSección]))),ROW(ER49))),"")</f>
        <v/>
      </c>
      <c r="ET50" s="51" t="str">
        <f t="array" aca="1" ref="ET50" ca="1">IFERROR(INDEX(Leccion[selectorLeccion],SMALL(IF(ET$1=Leccion[SubSección],MATCH(ROW(Leccion[SubSección]),ROW(Leccion[SubSección]))),ROW(ES49))),"")</f>
        <v/>
      </c>
      <c r="EU50" s="51" t="str">
        <f t="array" aca="1" ref="EU50" ca="1">IFERROR(INDEX(Leccion[selectorLeccion],SMALL(IF(EU$1=Leccion[SubSección],MATCH(ROW(Leccion[SubSección]),ROW(Leccion[SubSección]))),ROW(ET49))),"")</f>
        <v/>
      </c>
      <c r="EV50" s="51" t="str">
        <f t="array" aca="1" ref="EV50" ca="1">IFERROR(INDEX(Leccion[selectorLeccion],SMALL(IF(EV$1=Leccion[SubSección],MATCH(ROW(Leccion[SubSección]),ROW(Leccion[SubSección]))),ROW(EU49))),"")</f>
        <v/>
      </c>
      <c r="EW50" s="51" t="str">
        <f t="array" aca="1" ref="EW50" ca="1">IFERROR(INDEX(Leccion[selectorLeccion],SMALL(IF(EW$1=Leccion[SubSección],MATCH(ROW(Leccion[SubSección]),ROW(Leccion[SubSección]))),ROW(EV49))),"")</f>
        <v/>
      </c>
      <c r="EX50" s="51" t="str">
        <f t="array" aca="1" ref="EX50" ca="1">IFERROR(INDEX(Leccion[selectorLeccion],SMALL(IF(EX$1=Leccion[SubSección],MATCH(ROW(Leccion[SubSección]),ROW(Leccion[SubSección]))),ROW(EW49))),"")</f>
        <v/>
      </c>
      <c r="EY50" s="51" t="str">
        <f t="array" aca="1" ref="EY50" ca="1">IFERROR(INDEX(Leccion[selectorLeccion],SMALL(IF(EY$1=Leccion[SubSección],MATCH(ROW(Leccion[SubSección]),ROW(Leccion[SubSección]))),ROW(EX49))),"")</f>
        <v/>
      </c>
      <c r="EZ50" s="51" t="str">
        <f t="array" aca="1" ref="EZ50" ca="1">IFERROR(INDEX(Leccion[selectorLeccion],SMALL(IF(EZ$1=Leccion[SubSección],MATCH(ROW(Leccion[SubSección]),ROW(Leccion[SubSección]))),ROW(EY49))),"")</f>
        <v/>
      </c>
    </row>
    <row r="51" spans="2:156" x14ac:dyDescent="0.3">
      <c r="B51" s="51" t="str">
        <f t="array" aca="1" ref="B51" ca="1">IFERROR(INDEX(Leccion[selectorLeccion],SMALL(IF(B$1=Leccion[SubSección],MATCH(ROW(Leccion[SubSección]),ROW(Leccion[SubSección]))),ROW(A50))),"")</f>
        <v/>
      </c>
      <c r="C51" s="51" t="str">
        <f t="array" aca="1" ref="C51" ca="1">IFERROR(INDEX(Leccion[selectorLeccion],SMALL(IF(C$1=Leccion[SubSección],MATCH(ROW(Leccion[SubSección]),ROW(Leccion[SubSección]))),ROW(B50))),"")</f>
        <v/>
      </c>
      <c r="D51" s="51" t="str">
        <f t="array" aca="1" ref="D51" ca="1">IFERROR(INDEX(Leccion[selectorLeccion],SMALL(IF(D$1=Leccion[SubSección],MATCH(ROW(Leccion[SubSección]),ROW(Leccion[SubSección]))),ROW(C50))),"")</f>
        <v/>
      </c>
      <c r="E51" s="51" t="str">
        <f t="array" aca="1" ref="E51" ca="1">IFERROR(INDEX(Leccion[selectorLeccion],SMALL(IF(E$1=Leccion[SubSección],MATCH(ROW(Leccion[SubSección]),ROW(Leccion[SubSección]))),ROW(D50))),"")</f>
        <v/>
      </c>
      <c r="F51" s="51" t="str">
        <f t="array" aca="1" ref="F51" ca="1">IFERROR(INDEX(Leccion[selectorLeccion],SMALL(IF(F$1=Leccion[SubSección],MATCH(ROW(Leccion[SubSección]),ROW(Leccion[SubSección]))),ROW(E50))),"")</f>
        <v/>
      </c>
      <c r="G51" s="51" t="str">
        <f t="array" aca="1" ref="G51" ca="1">IFERROR(INDEX(Leccion[selectorLeccion],SMALL(IF(G$1=Leccion[SubSección],MATCH(ROW(Leccion[SubSección]),ROW(Leccion[SubSección]))),ROW(F50))),"")</f>
        <v/>
      </c>
      <c r="H51" s="51" t="str">
        <f t="array" aca="1" ref="H51" ca="1">IFERROR(INDEX(Leccion[selectorLeccion],SMALL(IF(H$1=Leccion[SubSección],MATCH(ROW(Leccion[SubSección]),ROW(Leccion[SubSección]))),ROW(G50))),"")</f>
        <v/>
      </c>
      <c r="I51" s="51" t="str">
        <f t="array" aca="1" ref="I51" ca="1">IFERROR(INDEX(Leccion[selectorLeccion],SMALL(IF(I$1=Leccion[SubSección],MATCH(ROW(Leccion[SubSección]),ROW(Leccion[SubSección]))),ROW(H50))),"")</f>
        <v/>
      </c>
      <c r="J51" s="51" t="str">
        <f t="array" aca="1" ref="J51" ca="1">IFERROR(INDEX(Leccion[selectorLeccion],SMALL(IF(J$1=Leccion[SubSección],MATCH(ROW(Leccion[SubSección]),ROW(Leccion[SubSección]))),ROW(I50))),"")</f>
        <v/>
      </c>
      <c r="K51" s="51" t="str">
        <f t="array" aca="1" ref="K51" ca="1">IFERROR(INDEX(Leccion[selectorLeccion],SMALL(IF(K$1=Leccion[SubSección],MATCH(ROW(Leccion[SubSección]),ROW(Leccion[SubSección]))),ROW(J50))),"")</f>
        <v/>
      </c>
      <c r="L51" s="51" t="str">
        <f t="array" aca="1" ref="L51" ca="1">IFERROR(INDEX(Leccion[selectorLeccion],SMALL(IF(L$1=Leccion[SubSección],MATCH(ROW(Leccion[SubSección]),ROW(Leccion[SubSección]))),ROW(K50))),"")</f>
        <v/>
      </c>
      <c r="M51" s="51" t="str">
        <f t="array" aca="1" ref="M51" ca="1">IFERROR(INDEX(Leccion[selectorLeccion],SMALL(IF(M$1=Leccion[SubSección],MATCH(ROW(Leccion[SubSección]),ROW(Leccion[SubSección]))),ROW(L50))),"")</f>
        <v/>
      </c>
      <c r="N51" s="51" t="str">
        <f t="array" aca="1" ref="N51" ca="1">IFERROR(INDEX(Leccion[selectorLeccion],SMALL(IF(N$1=Leccion[SubSección],MATCH(ROW(Leccion[SubSección]),ROW(Leccion[SubSección]))),ROW(M50))),"")</f>
        <v/>
      </c>
      <c r="O51" s="51" t="str">
        <f t="array" aca="1" ref="O51" ca="1">IFERROR(INDEX(Leccion[selectorLeccion],SMALL(IF(O$1=Leccion[SubSección],MATCH(ROW(Leccion[SubSección]),ROW(Leccion[SubSección]))),ROW(N50))),"")</f>
        <v/>
      </c>
      <c r="P51" s="51" t="str">
        <f t="array" aca="1" ref="P51" ca="1">IFERROR(INDEX(Leccion[selectorLeccion],SMALL(IF(P$1=Leccion[SubSección],MATCH(ROW(Leccion[SubSección]),ROW(Leccion[SubSección]))),ROW(O50))),"")</f>
        <v/>
      </c>
      <c r="Q51" s="51" t="str">
        <f t="array" aca="1" ref="Q51" ca="1">IFERROR(INDEX(Leccion[selectorLeccion],SMALL(IF(Q$1=Leccion[SubSección],MATCH(ROW(Leccion[SubSección]),ROW(Leccion[SubSección]))),ROW(P50))),"")</f>
        <v/>
      </c>
      <c r="R51" s="51" t="str">
        <f t="array" aca="1" ref="R51" ca="1">IFERROR(INDEX(Leccion[selectorLeccion],SMALL(IF(R$1=Leccion[SubSección],MATCH(ROW(Leccion[SubSección]),ROW(Leccion[SubSección]))),ROW(Q50))),"")</f>
        <v/>
      </c>
      <c r="S51" s="51" t="str">
        <f t="array" aca="1" ref="S51" ca="1">IFERROR(INDEX(Leccion[selectorLeccion],SMALL(IF(S$1=Leccion[SubSección],MATCH(ROW(Leccion[SubSección]),ROW(Leccion[SubSección]))),ROW(R50))),"")</f>
        <v/>
      </c>
      <c r="T51" s="51" t="str">
        <f t="array" aca="1" ref="T51" ca="1">IFERROR(INDEX(Leccion[selectorLeccion],SMALL(IF(T$1=Leccion[SubSección],MATCH(ROW(Leccion[SubSección]),ROW(Leccion[SubSección]))),ROW(S50))),"")</f>
        <v/>
      </c>
      <c r="U51" s="51" t="str">
        <f t="array" aca="1" ref="U51" ca="1">IFERROR(INDEX(Leccion[selectorLeccion],SMALL(IF(U$1=Leccion[SubSección],MATCH(ROW(Leccion[SubSección]),ROW(Leccion[SubSección]))),ROW(T50))),"")</f>
        <v/>
      </c>
      <c r="V51" s="51" t="str">
        <f t="array" aca="1" ref="V51" ca="1">IFERROR(INDEX(Leccion[selectorLeccion],SMALL(IF(V$1=Leccion[SubSección],MATCH(ROW(Leccion[SubSección]),ROW(Leccion[SubSección]))),ROW(U50))),"")</f>
        <v/>
      </c>
      <c r="W51" s="51" t="str">
        <f t="array" aca="1" ref="W51" ca="1">IFERROR(INDEX(Leccion[selectorLeccion],SMALL(IF(W$1=Leccion[SubSección],MATCH(ROW(Leccion[SubSección]),ROW(Leccion[SubSección]))),ROW(V50))),"")</f>
        <v/>
      </c>
      <c r="X51" s="51" t="str">
        <f t="array" aca="1" ref="X51" ca="1">IFERROR(INDEX(Leccion[selectorLeccion],SMALL(IF(X$1=Leccion[SubSección],MATCH(ROW(Leccion[SubSección]),ROW(Leccion[SubSección]))),ROW(W50))),"")</f>
        <v/>
      </c>
      <c r="Y51" s="51" t="str">
        <f t="array" aca="1" ref="Y51" ca="1">IFERROR(INDEX(Leccion[selectorLeccion],SMALL(IF(Y$1=Leccion[SubSección],MATCH(ROW(Leccion[SubSección]),ROW(Leccion[SubSección]))),ROW(X50))),"")</f>
        <v/>
      </c>
      <c r="Z51" s="51" t="str">
        <f t="array" aca="1" ref="Z51" ca="1">IFERROR(INDEX(Leccion[selectorLeccion],SMALL(IF(Z$1=Leccion[SubSección],MATCH(ROW(Leccion[SubSección]),ROW(Leccion[SubSección]))),ROW(Y50))),"")</f>
        <v/>
      </c>
      <c r="AA51" s="51" t="str">
        <f t="array" aca="1" ref="AA51" ca="1">IFERROR(INDEX(Leccion[selectorLeccion],SMALL(IF(AA$1=Leccion[SubSección],MATCH(ROW(Leccion[SubSección]),ROW(Leccion[SubSección]))),ROW(Z50))),"")</f>
        <v/>
      </c>
      <c r="AB51" s="51" t="str">
        <f t="array" aca="1" ref="AB51" ca="1">IFERROR(INDEX(Leccion[selectorLeccion],SMALL(IF(AB$1=Leccion[SubSección],MATCH(ROW(Leccion[SubSección]),ROW(Leccion[SubSección]))),ROW(AA50))),"")</f>
        <v/>
      </c>
      <c r="AC51" s="51" t="str">
        <f t="array" aca="1" ref="AC51" ca="1">IFERROR(INDEX(Leccion[selectorLeccion],SMALL(IF(AC$1=Leccion[SubSección],MATCH(ROW(Leccion[SubSección]),ROW(Leccion[SubSección]))),ROW(AB50))),"")</f>
        <v/>
      </c>
      <c r="AD51" s="51" t="str">
        <f t="array" aca="1" ref="AD51" ca="1">IFERROR(INDEX(Leccion[selectorLeccion],SMALL(IF(AD$1=Leccion[SubSección],MATCH(ROW(Leccion[SubSección]),ROW(Leccion[SubSección]))),ROW(AC50))),"")</f>
        <v/>
      </c>
      <c r="AE51" s="51" t="str">
        <f t="array" aca="1" ref="AE51" ca="1">IFERROR(INDEX(Leccion[selectorLeccion],SMALL(IF(AE$1=Leccion[SubSección],MATCH(ROW(Leccion[SubSección]),ROW(Leccion[SubSección]))),ROW(AD50))),"")</f>
        <v/>
      </c>
      <c r="AF51" s="51" t="str">
        <f t="array" aca="1" ref="AF51" ca="1">IFERROR(INDEX(Leccion[selectorLeccion],SMALL(IF(AF$1=Leccion[SubSección],MATCH(ROW(Leccion[SubSección]),ROW(Leccion[SubSección]))),ROW(AE50))),"")</f>
        <v/>
      </c>
      <c r="AG51" s="51" t="str">
        <f t="array" aca="1" ref="AG51" ca="1">IFERROR(INDEX(Leccion[selectorLeccion],SMALL(IF(AG$1=Leccion[SubSección],MATCH(ROW(Leccion[SubSección]),ROW(Leccion[SubSección]))),ROW(AF50))),"")</f>
        <v/>
      </c>
      <c r="AH51" s="51" t="str">
        <f t="array" aca="1" ref="AH51" ca="1">IFERROR(INDEX(Leccion[selectorLeccion],SMALL(IF(AH$1=Leccion[SubSección],MATCH(ROW(Leccion[SubSección]),ROW(Leccion[SubSección]))),ROW(AG50))),"")</f>
        <v/>
      </c>
      <c r="AI51" s="51" t="str">
        <f t="array" aca="1" ref="AI51" ca="1">IFERROR(INDEX(Leccion[selectorLeccion],SMALL(IF(AI$1=Leccion[SubSección],MATCH(ROW(Leccion[SubSección]),ROW(Leccion[SubSección]))),ROW(AH50))),"")</f>
        <v/>
      </c>
      <c r="AJ51" s="51" t="str">
        <f t="array" aca="1" ref="AJ51" ca="1">IFERROR(INDEX(Leccion[selectorLeccion],SMALL(IF(AJ$1=Leccion[SubSección],MATCH(ROW(Leccion[SubSección]),ROW(Leccion[SubSección]))),ROW(AI50))),"")</f>
        <v/>
      </c>
      <c r="AK51" s="51" t="str">
        <f t="array" aca="1" ref="AK51" ca="1">IFERROR(INDEX(Leccion[selectorLeccion],SMALL(IF(AK$1=Leccion[SubSección],MATCH(ROW(Leccion[SubSección]),ROW(Leccion[SubSección]))),ROW(AJ50))),"")</f>
        <v/>
      </c>
      <c r="AL51" s="51" t="str">
        <f t="array" aca="1" ref="AL51" ca="1">IFERROR(INDEX(Leccion[selectorLeccion],SMALL(IF(AL$1=Leccion[SubSección],MATCH(ROW(Leccion[SubSección]),ROW(Leccion[SubSección]))),ROW(AK50))),"")</f>
        <v/>
      </c>
      <c r="AM51" s="51" t="str">
        <f t="array" aca="1" ref="AM51" ca="1">IFERROR(INDEX(Leccion[selectorLeccion],SMALL(IF(AM$1=Leccion[SubSección],MATCH(ROW(Leccion[SubSección]),ROW(Leccion[SubSección]))),ROW(AL50))),"")</f>
        <v/>
      </c>
      <c r="AN51" s="51" t="str">
        <f t="array" aca="1" ref="AN51" ca="1">IFERROR(INDEX(Leccion[selectorLeccion],SMALL(IF(AN$1=Leccion[SubSección],MATCH(ROW(Leccion[SubSección]),ROW(Leccion[SubSección]))),ROW(AM50))),"")</f>
        <v/>
      </c>
      <c r="AO51" s="51" t="str">
        <f t="array" aca="1" ref="AO51" ca="1">IFERROR(INDEX(Leccion[selectorLeccion],SMALL(IF(AO$1=Leccion[SubSección],MATCH(ROW(Leccion[SubSección]),ROW(Leccion[SubSección]))),ROW(AN50))),"")</f>
        <v/>
      </c>
      <c r="AP51" s="51" t="str">
        <f t="array" aca="1" ref="AP51" ca="1">IFERROR(INDEX(Leccion[selectorLeccion],SMALL(IF(AP$1=Leccion[SubSección],MATCH(ROW(Leccion[SubSección]),ROW(Leccion[SubSección]))),ROW(AO50))),"")</f>
        <v/>
      </c>
      <c r="AQ51" s="51" t="str">
        <f t="array" aca="1" ref="AQ51" ca="1">IFERROR(INDEX(Leccion[selectorLeccion],SMALL(IF(AQ$1=Leccion[SubSección],MATCH(ROW(Leccion[SubSección]),ROW(Leccion[SubSección]))),ROW(AP50))),"")</f>
        <v/>
      </c>
      <c r="AR51" s="51" t="str">
        <f t="array" aca="1" ref="AR51" ca="1">IFERROR(INDEX(Leccion[selectorLeccion],SMALL(IF(AR$1=Leccion[SubSección],MATCH(ROW(Leccion[SubSección]),ROW(Leccion[SubSección]))),ROW(AQ50))),"")</f>
        <v/>
      </c>
      <c r="AS51" s="51" t="str">
        <f t="array" aca="1" ref="AS51" ca="1">IFERROR(INDEX(Leccion[selectorLeccion],SMALL(IF(AS$1=Leccion[SubSección],MATCH(ROW(Leccion[SubSección]),ROW(Leccion[SubSección]))),ROW(AR50))),"")</f>
        <v/>
      </c>
      <c r="AT51" s="51" t="str">
        <f t="array" aca="1" ref="AT51" ca="1">IFERROR(INDEX(Leccion[selectorLeccion],SMALL(IF(AT$1=Leccion[SubSección],MATCH(ROW(Leccion[SubSección]),ROW(Leccion[SubSección]))),ROW(AS50))),"")</f>
        <v/>
      </c>
      <c r="AU51" s="51" t="str">
        <f t="array" aca="1" ref="AU51" ca="1">IFERROR(INDEX(Leccion[selectorLeccion],SMALL(IF(AU$1=Leccion[SubSección],MATCH(ROW(Leccion[SubSección]),ROW(Leccion[SubSección]))),ROW(AT50))),"")</f>
        <v/>
      </c>
      <c r="AV51" s="51" t="str">
        <f t="array" aca="1" ref="AV51" ca="1">IFERROR(INDEX(Leccion[selectorLeccion],SMALL(IF(AV$1=Leccion[SubSección],MATCH(ROW(Leccion[SubSección]),ROW(Leccion[SubSección]))),ROW(AU50))),"")</f>
        <v/>
      </c>
      <c r="AW51" s="51" t="str">
        <f t="array" aca="1" ref="AW51" ca="1">IFERROR(INDEX(Leccion[selectorLeccion],SMALL(IF(AW$1=Leccion[SubSección],MATCH(ROW(Leccion[SubSección]),ROW(Leccion[SubSección]))),ROW(AV50))),"")</f>
        <v/>
      </c>
      <c r="AX51" s="51" t="str">
        <f t="array" aca="1" ref="AX51" ca="1">IFERROR(INDEX(Leccion[selectorLeccion],SMALL(IF(AX$1=Leccion[SubSección],MATCH(ROW(Leccion[SubSección]),ROW(Leccion[SubSección]))),ROW(AW50))),"")</f>
        <v/>
      </c>
      <c r="AY51" s="51" t="str">
        <f t="array" aca="1" ref="AY51" ca="1">IFERROR(INDEX(Leccion[selectorLeccion],SMALL(IF(AY$1=Leccion[SubSección],MATCH(ROW(Leccion[SubSección]),ROW(Leccion[SubSección]))),ROW(AX50))),"")</f>
        <v/>
      </c>
      <c r="AZ51" s="51" t="str">
        <f t="array" aca="1" ref="AZ51" ca="1">IFERROR(INDEX(Leccion[selectorLeccion],SMALL(IF(AZ$1=Leccion[SubSección],MATCH(ROW(Leccion[SubSección]),ROW(Leccion[SubSección]))),ROW(AY50))),"")</f>
        <v/>
      </c>
      <c r="BA51" s="51" t="str">
        <f t="array" aca="1" ref="BA51" ca="1">IFERROR(INDEX(Leccion[selectorLeccion],SMALL(IF(BA$1=Leccion[SubSección],MATCH(ROW(Leccion[SubSección]),ROW(Leccion[SubSección]))),ROW(AZ50))),"")</f>
        <v/>
      </c>
      <c r="BB51" s="51" t="str">
        <f t="array" aca="1" ref="BB51" ca="1">IFERROR(INDEX(Leccion[selectorLeccion],SMALL(IF(BB$1=Leccion[SubSección],MATCH(ROW(Leccion[SubSección]),ROW(Leccion[SubSección]))),ROW(BA50))),"")</f>
        <v/>
      </c>
      <c r="BC51" s="51" t="str">
        <f t="array" aca="1" ref="BC51" ca="1">IFERROR(INDEX(Leccion[selectorLeccion],SMALL(IF(BC$1=Leccion[SubSección],MATCH(ROW(Leccion[SubSección]),ROW(Leccion[SubSección]))),ROW(BB50))),"")</f>
        <v/>
      </c>
      <c r="BD51" s="51" t="str">
        <f t="array" aca="1" ref="BD51" ca="1">IFERROR(INDEX(Leccion[selectorLeccion],SMALL(IF(BD$1=Leccion[SubSección],MATCH(ROW(Leccion[SubSección]),ROW(Leccion[SubSección]))),ROW(BC50))),"")</f>
        <v/>
      </c>
      <c r="BE51" s="51" t="str">
        <f t="array" aca="1" ref="BE51" ca="1">IFERROR(INDEX(Leccion[selectorLeccion],SMALL(IF(BE$1=Leccion[SubSección],MATCH(ROW(Leccion[SubSección]),ROW(Leccion[SubSección]))),ROW(BD50))),"")</f>
        <v/>
      </c>
      <c r="BF51" s="51" t="str">
        <f t="array" aca="1" ref="BF51" ca="1">IFERROR(INDEX(Leccion[selectorLeccion],SMALL(IF(BF$1=Leccion[SubSección],MATCH(ROW(Leccion[SubSección]),ROW(Leccion[SubSección]))),ROW(BE50))),"")</f>
        <v/>
      </c>
      <c r="BG51" s="51" t="str">
        <f t="array" aca="1" ref="BG51" ca="1">IFERROR(INDEX(Leccion[selectorLeccion],SMALL(IF(BG$1=Leccion[SubSección],MATCH(ROW(Leccion[SubSección]),ROW(Leccion[SubSección]))),ROW(BF50))),"")</f>
        <v/>
      </c>
      <c r="BH51" s="51" t="str">
        <f t="array" aca="1" ref="BH51" ca="1">IFERROR(INDEX(Leccion[selectorLeccion],SMALL(IF(BH$1=Leccion[SubSección],MATCH(ROW(Leccion[SubSección]),ROW(Leccion[SubSección]))),ROW(BG50))),"")</f>
        <v/>
      </c>
      <c r="BI51" s="51" t="str">
        <f t="array" aca="1" ref="BI51" ca="1">IFERROR(INDEX(Leccion[selectorLeccion],SMALL(IF(BI$1=Leccion[SubSección],MATCH(ROW(Leccion[SubSección]),ROW(Leccion[SubSección]))),ROW(BH50))),"")</f>
        <v/>
      </c>
      <c r="BJ51" s="51" t="str">
        <f t="array" aca="1" ref="BJ51" ca="1">IFERROR(INDEX(Leccion[selectorLeccion],SMALL(IF(BJ$1=Leccion[SubSección],MATCH(ROW(Leccion[SubSección]),ROW(Leccion[SubSección]))),ROW(BI50))),"")</f>
        <v/>
      </c>
      <c r="BK51" s="51" t="str">
        <f t="array" aca="1" ref="BK51" ca="1">IFERROR(INDEX(Leccion[selectorLeccion],SMALL(IF(BK$1=Leccion[SubSección],MATCH(ROW(Leccion[SubSección]),ROW(Leccion[SubSección]))),ROW(BJ50))),"")</f>
        <v/>
      </c>
      <c r="BL51" s="51" t="str">
        <f t="array" aca="1" ref="BL51" ca="1">IFERROR(INDEX(Leccion[selectorLeccion],SMALL(IF(BL$1=Leccion[SubSección],MATCH(ROW(Leccion[SubSección]),ROW(Leccion[SubSección]))),ROW(BK50))),"")</f>
        <v/>
      </c>
      <c r="BM51" s="51" t="str">
        <f t="array" aca="1" ref="BM51" ca="1">IFERROR(INDEX(Leccion[selectorLeccion],SMALL(IF(BM$1=Leccion[SubSección],MATCH(ROW(Leccion[SubSección]),ROW(Leccion[SubSección]))),ROW(BL50))),"")</f>
        <v/>
      </c>
      <c r="BN51" s="51" t="str">
        <f t="array" aca="1" ref="BN51" ca="1">IFERROR(INDEX(Leccion[selectorLeccion],SMALL(IF(BN$1=Leccion[SubSección],MATCH(ROW(Leccion[SubSección]),ROW(Leccion[SubSección]))),ROW(BM50))),"")</f>
        <v/>
      </c>
      <c r="BO51" s="51" t="str">
        <f t="array" aca="1" ref="BO51" ca="1">IFERROR(INDEX(Leccion[selectorLeccion],SMALL(IF(BO$1=Leccion[SubSección],MATCH(ROW(Leccion[SubSección]),ROW(Leccion[SubSección]))),ROW(BN50))),"")</f>
        <v/>
      </c>
      <c r="BP51" s="51" t="str">
        <f t="array" aca="1" ref="BP51" ca="1">IFERROR(INDEX(Leccion[selectorLeccion],SMALL(IF(BP$1=Leccion[SubSección],MATCH(ROW(Leccion[SubSección]),ROW(Leccion[SubSección]))),ROW(BO50))),"")</f>
        <v/>
      </c>
      <c r="BQ51" s="51" t="str">
        <f t="array" aca="1" ref="BQ51" ca="1">IFERROR(INDEX(Leccion[selectorLeccion],SMALL(IF(BQ$1=Leccion[SubSección],MATCH(ROW(Leccion[SubSección]),ROW(Leccion[SubSección]))),ROW(BP50))),"")</f>
        <v/>
      </c>
      <c r="BR51" s="51" t="str">
        <f t="array" aca="1" ref="BR51" ca="1">IFERROR(INDEX(Leccion[selectorLeccion],SMALL(IF(BR$1=Leccion[SubSección],MATCH(ROW(Leccion[SubSección]),ROW(Leccion[SubSección]))),ROW(BQ50))),"")</f>
        <v/>
      </c>
      <c r="BS51" s="51" t="str">
        <f t="array" aca="1" ref="BS51" ca="1">IFERROR(INDEX(Leccion[selectorLeccion],SMALL(IF(BS$1=Leccion[SubSección],MATCH(ROW(Leccion[SubSección]),ROW(Leccion[SubSección]))),ROW(BR50))),"")</f>
        <v/>
      </c>
      <c r="BT51" s="51" t="str">
        <f t="array" aca="1" ref="BT51" ca="1">IFERROR(INDEX(Leccion[selectorLeccion],SMALL(IF(BT$1=Leccion[SubSección],MATCH(ROW(Leccion[SubSección]),ROW(Leccion[SubSección]))),ROW(BS50))),"")</f>
        <v/>
      </c>
      <c r="BU51" s="51" t="str">
        <f t="array" aca="1" ref="BU51" ca="1">IFERROR(INDEX(Leccion[selectorLeccion],SMALL(IF(BU$1=Leccion[SubSección],MATCH(ROW(Leccion[SubSección]),ROW(Leccion[SubSección]))),ROW(BT50))),"")</f>
        <v/>
      </c>
      <c r="BV51" s="51" t="str">
        <f t="array" aca="1" ref="BV51" ca="1">IFERROR(INDEX(Leccion[selectorLeccion],SMALL(IF(BV$1=Leccion[SubSección],MATCH(ROW(Leccion[SubSección]),ROW(Leccion[SubSección]))),ROW(BU50))),"")</f>
        <v/>
      </c>
      <c r="BW51" s="51" t="str">
        <f t="array" aca="1" ref="BW51" ca="1">IFERROR(INDEX(Leccion[selectorLeccion],SMALL(IF(BW$1=Leccion[SubSección],MATCH(ROW(Leccion[SubSección]),ROW(Leccion[SubSección]))),ROW(BV50))),"")</f>
        <v/>
      </c>
      <c r="BX51" s="51" t="str">
        <f t="array" aca="1" ref="BX51" ca="1">IFERROR(INDEX(Leccion[selectorLeccion],SMALL(IF(BX$1=Leccion[SubSección],MATCH(ROW(Leccion[SubSección]),ROW(Leccion[SubSección]))),ROW(BW50))),"")</f>
        <v/>
      </c>
      <c r="BY51" s="51" t="str">
        <f t="array" aca="1" ref="BY51" ca="1">IFERROR(INDEX(Leccion[selectorLeccion],SMALL(IF(BY$1=Leccion[SubSección],MATCH(ROW(Leccion[SubSección]),ROW(Leccion[SubSección]))),ROW(BX50))),"")</f>
        <v/>
      </c>
      <c r="BZ51" s="51" t="str">
        <f t="array" aca="1" ref="BZ51" ca="1">IFERROR(INDEX(Leccion[selectorLeccion],SMALL(IF(BZ$1=Leccion[SubSección],MATCH(ROW(Leccion[SubSección]),ROW(Leccion[SubSección]))),ROW(BY50))),"")</f>
        <v/>
      </c>
      <c r="CA51" s="51" t="str">
        <f t="array" aca="1" ref="CA51" ca="1">IFERROR(INDEX(Leccion[selectorLeccion],SMALL(IF(CA$1=Leccion[SubSección],MATCH(ROW(Leccion[SubSección]),ROW(Leccion[SubSección]))),ROW(BZ50))),"")</f>
        <v/>
      </c>
      <c r="CB51" s="51" t="str">
        <f t="array" aca="1" ref="CB51" ca="1">IFERROR(INDEX(Leccion[selectorLeccion],SMALL(IF(CB$1=Leccion[SubSección],MATCH(ROW(Leccion[SubSección]),ROW(Leccion[SubSección]))),ROW(CA50))),"")</f>
        <v/>
      </c>
      <c r="CC51" s="51" t="str">
        <f t="array" aca="1" ref="CC51" ca="1">IFERROR(INDEX(Leccion[selectorLeccion],SMALL(IF(CC$1=Leccion[SubSección],MATCH(ROW(Leccion[SubSección]),ROW(Leccion[SubSección]))),ROW(CB50))),"")</f>
        <v/>
      </c>
      <c r="CD51" s="51" t="str">
        <f t="array" aca="1" ref="CD51" ca="1">IFERROR(INDEX(Leccion[selectorLeccion],SMALL(IF(CD$1=Leccion[SubSección],MATCH(ROW(Leccion[SubSección]),ROW(Leccion[SubSección]))),ROW(CC50))),"")</f>
        <v/>
      </c>
      <c r="CE51" s="51" t="str">
        <f t="array" aca="1" ref="CE51" ca="1">IFERROR(INDEX(Leccion[selectorLeccion],SMALL(IF(CE$1=Leccion[SubSección],MATCH(ROW(Leccion[SubSección]),ROW(Leccion[SubSección]))),ROW(CD50))),"")</f>
        <v/>
      </c>
      <c r="CF51" s="51" t="str">
        <f t="array" aca="1" ref="CF51" ca="1">IFERROR(INDEX(Leccion[selectorLeccion],SMALL(IF(CF$1=Leccion[SubSección],MATCH(ROW(Leccion[SubSección]),ROW(Leccion[SubSección]))),ROW(CE50))),"")</f>
        <v/>
      </c>
      <c r="CG51" s="51" t="str">
        <f t="array" aca="1" ref="CG51" ca="1">IFERROR(INDEX(Leccion[selectorLeccion],SMALL(IF(CG$1=Leccion[SubSección],MATCH(ROW(Leccion[SubSección]),ROW(Leccion[SubSección]))),ROW(CF50))),"")</f>
        <v/>
      </c>
      <c r="CH51" s="51" t="str">
        <f t="array" aca="1" ref="CH51" ca="1">IFERROR(INDEX(Leccion[selectorLeccion],SMALL(IF(CH$1=Leccion[SubSección],MATCH(ROW(Leccion[SubSección]),ROW(Leccion[SubSección]))),ROW(CG50))),"")</f>
        <v/>
      </c>
      <c r="CI51" s="51" t="str">
        <f t="array" aca="1" ref="CI51" ca="1">IFERROR(INDEX(Leccion[selectorLeccion],SMALL(IF(CI$1=Leccion[SubSección],MATCH(ROW(Leccion[SubSección]),ROW(Leccion[SubSección]))),ROW(CH50))),"")</f>
        <v/>
      </c>
      <c r="CJ51" s="51" t="str">
        <f t="array" aca="1" ref="CJ51" ca="1">IFERROR(INDEX(Leccion[selectorLeccion],SMALL(IF(CJ$1=Leccion[SubSección],MATCH(ROW(Leccion[SubSección]),ROW(Leccion[SubSección]))),ROW(CI50))),"")</f>
        <v/>
      </c>
      <c r="CK51" s="51" t="str">
        <f t="array" aca="1" ref="CK51" ca="1">IFERROR(INDEX(Leccion[selectorLeccion],SMALL(IF(CK$1=Leccion[SubSección],MATCH(ROW(Leccion[SubSección]),ROW(Leccion[SubSección]))),ROW(CJ50))),"")</f>
        <v/>
      </c>
      <c r="CL51" s="51" t="str">
        <f t="array" aca="1" ref="CL51" ca="1">IFERROR(INDEX(Leccion[selectorLeccion],SMALL(IF(CL$1=Leccion[SubSección],MATCH(ROW(Leccion[SubSección]),ROW(Leccion[SubSección]))),ROW(CK50))),"")</f>
        <v/>
      </c>
      <c r="CM51" s="51" t="str">
        <f t="array" aca="1" ref="CM51" ca="1">IFERROR(INDEX(Leccion[selectorLeccion],SMALL(IF(CM$1=Leccion[SubSección],MATCH(ROW(Leccion[SubSección]),ROW(Leccion[SubSección]))),ROW(CL50))),"")</f>
        <v/>
      </c>
      <c r="CN51" s="51" t="str">
        <f t="array" aca="1" ref="CN51" ca="1">IFERROR(INDEX(Leccion[selectorLeccion],SMALL(IF(CN$1=Leccion[SubSección],MATCH(ROW(Leccion[SubSección]),ROW(Leccion[SubSección]))),ROW(CM50))),"")</f>
        <v/>
      </c>
      <c r="CO51" s="51" t="str">
        <f t="array" aca="1" ref="CO51" ca="1">IFERROR(INDEX(Leccion[selectorLeccion],SMALL(IF(CO$1=Leccion[SubSección],MATCH(ROW(Leccion[SubSección]),ROW(Leccion[SubSección]))),ROW(CN50))),"")</f>
        <v/>
      </c>
      <c r="CP51" s="51" t="str">
        <f t="array" aca="1" ref="CP51" ca="1">IFERROR(INDEX(Leccion[selectorLeccion],SMALL(IF(CP$1=Leccion[SubSección],MATCH(ROW(Leccion[SubSección]),ROW(Leccion[SubSección]))),ROW(CO50))),"")</f>
        <v/>
      </c>
      <c r="CQ51" s="51" t="str">
        <f t="array" aca="1" ref="CQ51" ca="1">IFERROR(INDEX(Leccion[selectorLeccion],SMALL(IF(CQ$1=Leccion[SubSección],MATCH(ROW(Leccion[SubSección]),ROW(Leccion[SubSección]))),ROW(CP50))),"")</f>
        <v/>
      </c>
      <c r="CR51" s="51" t="str">
        <f t="array" aca="1" ref="CR51" ca="1">IFERROR(INDEX(Leccion[selectorLeccion],SMALL(IF(CR$1=Leccion[SubSección],MATCH(ROW(Leccion[SubSección]),ROW(Leccion[SubSección]))),ROW(CQ50))),"")</f>
        <v/>
      </c>
      <c r="CS51" s="51" t="str">
        <f t="array" aca="1" ref="CS51" ca="1">IFERROR(INDEX(Leccion[selectorLeccion],SMALL(IF(CS$1=Leccion[SubSección],MATCH(ROW(Leccion[SubSección]),ROW(Leccion[SubSección]))),ROW(CR50))),"")</f>
        <v/>
      </c>
      <c r="CT51" s="51" t="str">
        <f t="array" aca="1" ref="CT51" ca="1">IFERROR(INDEX(Leccion[selectorLeccion],SMALL(IF(CT$1=Leccion[SubSección],MATCH(ROW(Leccion[SubSección]),ROW(Leccion[SubSección]))),ROW(CS50))),"")</f>
        <v/>
      </c>
      <c r="CU51" s="51" t="str">
        <f t="array" aca="1" ref="CU51" ca="1">IFERROR(INDEX(Leccion[selectorLeccion],SMALL(IF(CU$1=Leccion[SubSección],MATCH(ROW(Leccion[SubSección]),ROW(Leccion[SubSección]))),ROW(CT50))),"")</f>
        <v/>
      </c>
      <c r="CV51" s="51" t="str">
        <f t="array" aca="1" ref="CV51" ca="1">IFERROR(INDEX(Leccion[selectorLeccion],SMALL(IF(CV$1=Leccion[SubSección],MATCH(ROW(Leccion[SubSección]),ROW(Leccion[SubSección]))),ROW(CU50))),"")</f>
        <v/>
      </c>
      <c r="CW51" s="51" t="str">
        <f t="array" aca="1" ref="CW51" ca="1">IFERROR(INDEX(Leccion[selectorLeccion],SMALL(IF(CW$1=Leccion[SubSección],MATCH(ROW(Leccion[SubSección]),ROW(Leccion[SubSección]))),ROW(CV50))),"")</f>
        <v/>
      </c>
      <c r="CX51" s="51" t="str">
        <f t="array" aca="1" ref="CX51" ca="1">IFERROR(INDEX(Leccion[selectorLeccion],SMALL(IF(CX$1=Leccion[SubSección],MATCH(ROW(Leccion[SubSección]),ROW(Leccion[SubSección]))),ROW(CW50))),"")</f>
        <v/>
      </c>
      <c r="CY51" s="51" t="str">
        <f t="array" aca="1" ref="CY51" ca="1">IFERROR(INDEX(Leccion[selectorLeccion],SMALL(IF(CY$1=Leccion[SubSección],MATCH(ROW(Leccion[SubSección]),ROW(Leccion[SubSección]))),ROW(CX50))),"")</f>
        <v/>
      </c>
      <c r="CZ51" s="51" t="str">
        <f t="array" aca="1" ref="CZ51" ca="1">IFERROR(INDEX(Leccion[selectorLeccion],SMALL(IF(CZ$1=Leccion[SubSección],MATCH(ROW(Leccion[SubSección]),ROW(Leccion[SubSección]))),ROW(CY50))),"")</f>
        <v/>
      </c>
      <c r="DA51" s="51" t="str">
        <f t="array" aca="1" ref="DA51" ca="1">IFERROR(INDEX(Leccion[selectorLeccion],SMALL(IF(DA$1=Leccion[SubSección],MATCH(ROW(Leccion[SubSección]),ROW(Leccion[SubSección]))),ROW(CZ50))),"")</f>
        <v/>
      </c>
      <c r="DB51" s="51" t="str">
        <f t="array" aca="1" ref="DB51" ca="1">IFERROR(INDEX(Leccion[selectorLeccion],SMALL(IF(DB$1=Leccion[SubSección],MATCH(ROW(Leccion[SubSección]),ROW(Leccion[SubSección]))),ROW(DA50))),"")</f>
        <v/>
      </c>
      <c r="DC51" s="51" t="str">
        <f t="array" aca="1" ref="DC51" ca="1">IFERROR(INDEX(Leccion[selectorLeccion],SMALL(IF(DC$1=Leccion[SubSección],MATCH(ROW(Leccion[SubSección]),ROW(Leccion[SubSección]))),ROW(DB50))),"")</f>
        <v/>
      </c>
      <c r="DD51" s="51" t="str">
        <f t="array" aca="1" ref="DD51" ca="1">IFERROR(INDEX(Leccion[selectorLeccion],SMALL(IF(DD$1=Leccion[SubSección],MATCH(ROW(Leccion[SubSección]),ROW(Leccion[SubSección]))),ROW(DC50))),"")</f>
        <v/>
      </c>
      <c r="DE51" s="51" t="str">
        <f t="array" aca="1" ref="DE51" ca="1">IFERROR(INDEX(Leccion[selectorLeccion],SMALL(IF(DE$1=Leccion[SubSección],MATCH(ROW(Leccion[SubSección]),ROW(Leccion[SubSección]))),ROW(DD50))),"")</f>
        <v/>
      </c>
      <c r="DF51" s="51" t="str">
        <f t="array" aca="1" ref="DF51" ca="1">IFERROR(INDEX(Leccion[selectorLeccion],SMALL(IF(DF$1=Leccion[SubSección],MATCH(ROW(Leccion[SubSección]),ROW(Leccion[SubSección]))),ROW(DE50))),"")</f>
        <v/>
      </c>
      <c r="DG51" s="51" t="str">
        <f t="array" aca="1" ref="DG51" ca="1">IFERROR(INDEX(Leccion[selectorLeccion],SMALL(IF(DG$1=Leccion[SubSección],MATCH(ROW(Leccion[SubSección]),ROW(Leccion[SubSección]))),ROW(DF50))),"")</f>
        <v/>
      </c>
      <c r="DH51" s="51" t="str">
        <f t="array" aca="1" ref="DH51" ca="1">IFERROR(INDEX(Leccion[selectorLeccion],SMALL(IF(DH$1=Leccion[SubSección],MATCH(ROW(Leccion[SubSección]),ROW(Leccion[SubSección]))),ROW(DG50))),"")</f>
        <v/>
      </c>
      <c r="DI51" s="51" t="str">
        <f t="array" aca="1" ref="DI51" ca="1">IFERROR(INDEX(Leccion[selectorLeccion],SMALL(IF(DI$1=Leccion[SubSección],MATCH(ROW(Leccion[SubSección]),ROW(Leccion[SubSección]))),ROW(DH50))),"")</f>
        <v/>
      </c>
      <c r="DJ51" s="51" t="str">
        <f t="array" aca="1" ref="DJ51" ca="1">IFERROR(INDEX(Leccion[selectorLeccion],SMALL(IF(DJ$1=Leccion[SubSección],MATCH(ROW(Leccion[SubSección]),ROW(Leccion[SubSección]))),ROW(DI50))),"")</f>
        <v/>
      </c>
      <c r="DK51" s="51" t="str">
        <f t="array" aca="1" ref="DK51" ca="1">IFERROR(INDEX(Leccion[selectorLeccion],SMALL(IF(DK$1=Leccion[SubSección],MATCH(ROW(Leccion[SubSección]),ROW(Leccion[SubSección]))),ROW(DJ50))),"")</f>
        <v/>
      </c>
      <c r="DL51" s="51" t="str">
        <f t="array" aca="1" ref="DL51" ca="1">IFERROR(INDEX(Leccion[selectorLeccion],SMALL(IF(DL$1=Leccion[SubSección],MATCH(ROW(Leccion[SubSección]),ROW(Leccion[SubSección]))),ROW(DK50))),"")</f>
        <v/>
      </c>
      <c r="DM51" s="51" t="str">
        <f t="array" aca="1" ref="DM51" ca="1">IFERROR(INDEX(Leccion[selectorLeccion],SMALL(IF(DM$1=Leccion[SubSección],MATCH(ROW(Leccion[SubSección]),ROW(Leccion[SubSección]))),ROW(DL50))),"")</f>
        <v/>
      </c>
      <c r="DN51" s="51" t="str">
        <f t="array" aca="1" ref="DN51" ca="1">IFERROR(INDEX(Leccion[selectorLeccion],SMALL(IF(DN$1=Leccion[SubSección],MATCH(ROW(Leccion[SubSección]),ROW(Leccion[SubSección]))),ROW(DM50))),"")</f>
        <v/>
      </c>
      <c r="DO51" s="51" t="str">
        <f t="array" aca="1" ref="DO51" ca="1">IFERROR(INDEX(Leccion[selectorLeccion],SMALL(IF(DO$1=Leccion[SubSección],MATCH(ROW(Leccion[SubSección]),ROW(Leccion[SubSección]))),ROW(DN50))),"")</f>
        <v/>
      </c>
      <c r="DP51" s="51" t="str">
        <f t="array" aca="1" ref="DP51" ca="1">IFERROR(INDEX(Leccion[selectorLeccion],SMALL(IF(DP$1=Leccion[SubSección],MATCH(ROW(Leccion[SubSección]),ROW(Leccion[SubSección]))),ROW(DO50))),"")</f>
        <v/>
      </c>
      <c r="DQ51" s="51" t="str">
        <f t="array" aca="1" ref="DQ51" ca="1">IFERROR(INDEX(Leccion[selectorLeccion],SMALL(IF(DQ$1=Leccion[SubSección],MATCH(ROW(Leccion[SubSección]),ROW(Leccion[SubSección]))),ROW(DP50))),"")</f>
        <v/>
      </c>
      <c r="DR51" s="51" t="str">
        <f t="array" aca="1" ref="DR51" ca="1">IFERROR(INDEX(Leccion[selectorLeccion],SMALL(IF(DR$1=Leccion[SubSección],MATCH(ROW(Leccion[SubSección]),ROW(Leccion[SubSección]))),ROW(DQ50))),"")</f>
        <v/>
      </c>
      <c r="DS51" s="51" t="str">
        <f t="array" aca="1" ref="DS51" ca="1">IFERROR(INDEX(Leccion[selectorLeccion],SMALL(IF(DS$1=Leccion[SubSección],MATCH(ROW(Leccion[SubSección]),ROW(Leccion[SubSección]))),ROW(DR50))),"")</f>
        <v/>
      </c>
      <c r="DT51" s="51" t="str">
        <f t="array" aca="1" ref="DT51" ca="1">IFERROR(INDEX(Leccion[selectorLeccion],SMALL(IF(DT$1=Leccion[SubSección],MATCH(ROW(Leccion[SubSección]),ROW(Leccion[SubSección]))),ROW(DS50))),"")</f>
        <v/>
      </c>
      <c r="DU51" s="51" t="str">
        <f t="array" aca="1" ref="DU51" ca="1">IFERROR(INDEX(Leccion[selectorLeccion],SMALL(IF(DU$1=Leccion[SubSección],MATCH(ROW(Leccion[SubSección]),ROW(Leccion[SubSección]))),ROW(DT50))),"")</f>
        <v/>
      </c>
      <c r="DV51" s="51" t="str">
        <f t="array" aca="1" ref="DV51" ca="1">IFERROR(INDEX(Leccion[selectorLeccion],SMALL(IF(DV$1=Leccion[SubSección],MATCH(ROW(Leccion[SubSección]),ROW(Leccion[SubSección]))),ROW(DU50))),"")</f>
        <v/>
      </c>
      <c r="DW51" s="51" t="str">
        <f t="array" aca="1" ref="DW51" ca="1">IFERROR(INDEX(Leccion[selectorLeccion],SMALL(IF(DW$1=Leccion[SubSección],MATCH(ROW(Leccion[SubSección]),ROW(Leccion[SubSección]))),ROW(DV50))),"")</f>
        <v/>
      </c>
      <c r="DX51" s="51" t="str">
        <f t="array" aca="1" ref="DX51" ca="1">IFERROR(INDEX(Leccion[selectorLeccion],SMALL(IF(DX$1=Leccion[SubSección],MATCH(ROW(Leccion[SubSección]),ROW(Leccion[SubSección]))),ROW(DW50))),"")</f>
        <v/>
      </c>
      <c r="DY51" s="51" t="str">
        <f t="array" aca="1" ref="DY51" ca="1">IFERROR(INDEX(Leccion[selectorLeccion],SMALL(IF(DY$1=Leccion[SubSección],MATCH(ROW(Leccion[SubSección]),ROW(Leccion[SubSección]))),ROW(DX50))),"")</f>
        <v/>
      </c>
      <c r="DZ51" s="51" t="str">
        <f t="array" aca="1" ref="DZ51" ca="1">IFERROR(INDEX(Leccion[selectorLeccion],SMALL(IF(DZ$1=Leccion[SubSección],MATCH(ROW(Leccion[SubSección]),ROW(Leccion[SubSección]))),ROW(DY50))),"")</f>
        <v/>
      </c>
      <c r="EA51" s="51" t="str">
        <f t="array" aca="1" ref="EA51" ca="1">IFERROR(INDEX(Leccion[selectorLeccion],SMALL(IF(EA$1=Leccion[SubSección],MATCH(ROW(Leccion[SubSección]),ROW(Leccion[SubSección]))),ROW(DZ50))),"")</f>
        <v/>
      </c>
      <c r="EB51" s="51" t="str">
        <f t="array" aca="1" ref="EB51" ca="1">IFERROR(INDEX(Leccion[selectorLeccion],SMALL(IF(EB$1=Leccion[SubSección],MATCH(ROW(Leccion[SubSección]),ROW(Leccion[SubSección]))),ROW(EA50))),"")</f>
        <v/>
      </c>
      <c r="EC51" s="51" t="str">
        <f t="array" aca="1" ref="EC51" ca="1">IFERROR(INDEX(Leccion[selectorLeccion],SMALL(IF(EC$1=Leccion[SubSección],MATCH(ROW(Leccion[SubSección]),ROW(Leccion[SubSección]))),ROW(EB50))),"")</f>
        <v/>
      </c>
      <c r="ED51" s="51" t="str">
        <f t="array" aca="1" ref="ED51" ca="1">IFERROR(INDEX(Leccion[selectorLeccion],SMALL(IF(ED$1=Leccion[SubSección],MATCH(ROW(Leccion[SubSección]),ROW(Leccion[SubSección]))),ROW(EC50))),"")</f>
        <v/>
      </c>
      <c r="EE51" s="51" t="str">
        <f t="array" aca="1" ref="EE51" ca="1">IFERROR(INDEX(Leccion[selectorLeccion],SMALL(IF(EE$1=Leccion[SubSección],MATCH(ROW(Leccion[SubSección]),ROW(Leccion[SubSección]))),ROW(ED50))),"")</f>
        <v/>
      </c>
      <c r="EF51" s="51" t="str">
        <f t="array" aca="1" ref="EF51" ca="1">IFERROR(INDEX(Leccion[selectorLeccion],SMALL(IF(EF$1=Leccion[SubSección],MATCH(ROW(Leccion[SubSección]),ROW(Leccion[SubSección]))),ROW(EE50))),"")</f>
        <v/>
      </c>
      <c r="EG51" s="51" t="str">
        <f t="array" aca="1" ref="EG51" ca="1">IFERROR(INDEX(Leccion[selectorLeccion],SMALL(IF(EG$1=Leccion[SubSección],MATCH(ROW(Leccion[SubSección]),ROW(Leccion[SubSección]))),ROW(EF50))),"")</f>
        <v/>
      </c>
      <c r="EH51" s="51" t="str">
        <f t="array" aca="1" ref="EH51" ca="1">IFERROR(INDEX(Leccion[selectorLeccion],SMALL(IF(EH$1=Leccion[SubSección],MATCH(ROW(Leccion[SubSección]),ROW(Leccion[SubSección]))),ROW(EG50))),"")</f>
        <v/>
      </c>
      <c r="EI51" s="51" t="str">
        <f t="array" aca="1" ref="EI51" ca="1">IFERROR(INDEX(Leccion[selectorLeccion],SMALL(IF(EI$1=Leccion[SubSección],MATCH(ROW(Leccion[SubSección]),ROW(Leccion[SubSección]))),ROW(EH50))),"")</f>
        <v/>
      </c>
      <c r="EJ51" s="51" t="str">
        <f t="array" aca="1" ref="EJ51" ca="1">IFERROR(INDEX(Leccion[selectorLeccion],SMALL(IF(EJ$1=Leccion[SubSección],MATCH(ROW(Leccion[SubSección]),ROW(Leccion[SubSección]))),ROW(EI50))),"")</f>
        <v/>
      </c>
      <c r="EK51" s="51" t="str">
        <f t="array" aca="1" ref="EK51" ca="1">IFERROR(INDEX(Leccion[selectorLeccion],SMALL(IF(EK$1=Leccion[SubSección],MATCH(ROW(Leccion[SubSección]),ROW(Leccion[SubSección]))),ROW(EJ50))),"")</f>
        <v/>
      </c>
      <c r="EL51" s="51" t="str">
        <f t="array" aca="1" ref="EL51" ca="1">IFERROR(INDEX(Leccion[selectorLeccion],SMALL(IF(EL$1=Leccion[SubSección],MATCH(ROW(Leccion[SubSección]),ROW(Leccion[SubSección]))),ROW(EK50))),"")</f>
        <v/>
      </c>
      <c r="EM51" s="51" t="str">
        <f t="array" aca="1" ref="EM51" ca="1">IFERROR(INDEX(Leccion[selectorLeccion],SMALL(IF(EM$1=Leccion[SubSección],MATCH(ROW(Leccion[SubSección]),ROW(Leccion[SubSección]))),ROW(EL50))),"")</f>
        <v/>
      </c>
      <c r="EN51" s="51" t="str">
        <f t="array" aca="1" ref="EN51" ca="1">IFERROR(INDEX(Leccion[selectorLeccion],SMALL(IF(EN$1=Leccion[SubSección],MATCH(ROW(Leccion[SubSección]),ROW(Leccion[SubSección]))),ROW(EM50))),"")</f>
        <v/>
      </c>
      <c r="EO51" s="51" t="str">
        <f t="array" aca="1" ref="EO51" ca="1">IFERROR(INDEX(Leccion[selectorLeccion],SMALL(IF(EO$1=Leccion[SubSección],MATCH(ROW(Leccion[SubSección]),ROW(Leccion[SubSección]))),ROW(EN50))),"")</f>
        <v/>
      </c>
      <c r="EP51" s="51" t="str">
        <f t="array" aca="1" ref="EP51" ca="1">IFERROR(INDEX(Leccion[selectorLeccion],SMALL(IF(EP$1=Leccion[SubSección],MATCH(ROW(Leccion[SubSección]),ROW(Leccion[SubSección]))),ROW(EO50))),"")</f>
        <v/>
      </c>
      <c r="EQ51" s="51" t="str">
        <f t="array" aca="1" ref="EQ51" ca="1">IFERROR(INDEX(Leccion[selectorLeccion],SMALL(IF(EQ$1=Leccion[SubSección],MATCH(ROW(Leccion[SubSección]),ROW(Leccion[SubSección]))),ROW(EP50))),"")</f>
        <v/>
      </c>
      <c r="ER51" s="51" t="str">
        <f t="array" aca="1" ref="ER51" ca="1">IFERROR(INDEX(Leccion[selectorLeccion],SMALL(IF(ER$1=Leccion[SubSección],MATCH(ROW(Leccion[SubSección]),ROW(Leccion[SubSección]))),ROW(EQ50))),"")</f>
        <v/>
      </c>
      <c r="ES51" s="51" t="str">
        <f t="array" aca="1" ref="ES51" ca="1">IFERROR(INDEX(Leccion[selectorLeccion],SMALL(IF(ES$1=Leccion[SubSección],MATCH(ROW(Leccion[SubSección]),ROW(Leccion[SubSección]))),ROW(ER50))),"")</f>
        <v/>
      </c>
      <c r="ET51" s="51" t="str">
        <f t="array" aca="1" ref="ET51" ca="1">IFERROR(INDEX(Leccion[selectorLeccion],SMALL(IF(ET$1=Leccion[SubSección],MATCH(ROW(Leccion[SubSección]),ROW(Leccion[SubSección]))),ROW(ES50))),"")</f>
        <v/>
      </c>
      <c r="EU51" s="51" t="str">
        <f t="array" aca="1" ref="EU51" ca="1">IFERROR(INDEX(Leccion[selectorLeccion],SMALL(IF(EU$1=Leccion[SubSección],MATCH(ROW(Leccion[SubSección]),ROW(Leccion[SubSección]))),ROW(ET50))),"")</f>
        <v/>
      </c>
      <c r="EV51" s="51" t="str">
        <f t="array" aca="1" ref="EV51" ca="1">IFERROR(INDEX(Leccion[selectorLeccion],SMALL(IF(EV$1=Leccion[SubSección],MATCH(ROW(Leccion[SubSección]),ROW(Leccion[SubSección]))),ROW(EU50))),"")</f>
        <v/>
      </c>
      <c r="EW51" s="51" t="str">
        <f t="array" aca="1" ref="EW51" ca="1">IFERROR(INDEX(Leccion[selectorLeccion],SMALL(IF(EW$1=Leccion[SubSección],MATCH(ROW(Leccion[SubSección]),ROW(Leccion[SubSección]))),ROW(EV50))),"")</f>
        <v/>
      </c>
      <c r="EX51" s="51" t="str">
        <f t="array" aca="1" ref="EX51" ca="1">IFERROR(INDEX(Leccion[selectorLeccion],SMALL(IF(EX$1=Leccion[SubSección],MATCH(ROW(Leccion[SubSección]),ROW(Leccion[SubSección]))),ROW(EW50))),"")</f>
        <v/>
      </c>
      <c r="EY51" s="51" t="str">
        <f t="array" aca="1" ref="EY51" ca="1">IFERROR(INDEX(Leccion[selectorLeccion],SMALL(IF(EY$1=Leccion[SubSección],MATCH(ROW(Leccion[SubSección]),ROW(Leccion[SubSección]))),ROW(EX50))),"")</f>
        <v/>
      </c>
      <c r="EZ51" s="51" t="str">
        <f t="array" aca="1" ref="EZ51" ca="1">IFERROR(INDEX(Leccion[selectorLeccion],SMALL(IF(EZ$1=Leccion[SubSección],MATCH(ROW(Leccion[SubSección]),ROW(Leccion[SubSección]))),ROW(EY50))),"")</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0"/>
  <dimension ref="A1:D13"/>
  <sheetViews>
    <sheetView workbookViewId="0">
      <pane ySplit="1" topLeftCell="A2" activePane="bottomLeft" state="frozen"/>
      <selection pane="bottomLeft" activeCell="A13" sqref="A13"/>
    </sheetView>
  </sheetViews>
  <sheetFormatPr baseColWidth="10" defaultColWidth="0" defaultRowHeight="14.4" x14ac:dyDescent="0.3"/>
  <cols>
    <col min="1" max="1" width="20.77734375" style="33" customWidth="1"/>
    <col min="2" max="4" width="0" hidden="1" customWidth="1"/>
    <col min="5" max="16384" width="11.44140625" hidden="1"/>
  </cols>
  <sheetData>
    <row r="1" spans="1:1" x14ac:dyDescent="0.3">
      <c r="A1" s="31" t="s">
        <v>1437</v>
      </c>
    </row>
    <row r="2" spans="1:1" x14ac:dyDescent="0.3">
      <c r="A2" s="32"/>
    </row>
    <row r="3" spans="1:1" x14ac:dyDescent="0.3">
      <c r="A3" s="32" t="s">
        <v>1440</v>
      </c>
    </row>
    <row r="4" spans="1:1" x14ac:dyDescent="0.3">
      <c r="A4" s="32" t="s">
        <v>1444</v>
      </c>
    </row>
    <row r="5" spans="1:1" x14ac:dyDescent="0.3">
      <c r="A5" s="32" t="s">
        <v>1445</v>
      </c>
    </row>
    <row r="6" spans="1:1" x14ac:dyDescent="0.3">
      <c r="A6" s="32" t="s">
        <v>1446</v>
      </c>
    </row>
    <row r="7" spans="1:1" x14ac:dyDescent="0.3">
      <c r="A7" s="32" t="s">
        <v>1447</v>
      </c>
    </row>
    <row r="8" spans="1:1" x14ac:dyDescent="0.3">
      <c r="A8" s="32" t="s">
        <v>1448</v>
      </c>
    </row>
    <row r="9" spans="1:1" x14ac:dyDescent="0.3">
      <c r="A9" s="32" t="s">
        <v>1442</v>
      </c>
    </row>
    <row r="13" spans="1:1" ht="14.25" customHeight="1" x14ac:dyDescent="0.3"/>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1"/>
  <dimension ref="A1:B724"/>
  <sheetViews>
    <sheetView workbookViewId="0">
      <selection activeCell="A3" sqref="A3"/>
    </sheetView>
  </sheetViews>
  <sheetFormatPr baseColWidth="10" defaultColWidth="0" defaultRowHeight="14.4" x14ac:dyDescent="0.3"/>
  <cols>
    <col min="1" max="1" width="16.6640625" customWidth="1"/>
    <col min="2" max="2" width="0" hidden="1" customWidth="1"/>
    <col min="3" max="16384" width="11.44140625" hidden="1"/>
  </cols>
  <sheetData>
    <row r="1" spans="1:1" ht="15" thickBot="1" x14ac:dyDescent="0.35">
      <c r="A1" s="36" t="s">
        <v>1439</v>
      </c>
    </row>
    <row r="2" spans="1:1" ht="15" thickTop="1" x14ac:dyDescent="0.3">
      <c r="A2" s="34"/>
    </row>
    <row r="3" spans="1:1" x14ac:dyDescent="0.3">
      <c r="A3" s="35" t="s">
        <v>1440</v>
      </c>
    </row>
    <row r="4" spans="1:1" x14ac:dyDescent="0.3">
      <c r="A4" s="35" t="s">
        <v>1441</v>
      </c>
    </row>
    <row r="5" spans="1:1" x14ac:dyDescent="0.3">
      <c r="A5" s="35" t="s">
        <v>1442</v>
      </c>
    </row>
    <row r="6" spans="1:1" x14ac:dyDescent="0.3">
      <c r="A6" s="35" t="s">
        <v>1443</v>
      </c>
    </row>
    <row r="8" spans="1:1" x14ac:dyDescent="0.3">
      <c r="A8" s="35"/>
    </row>
    <row r="9" spans="1:1" x14ac:dyDescent="0.3">
      <c r="A9" s="35"/>
    </row>
    <row r="10" spans="1:1" x14ac:dyDescent="0.3">
      <c r="A10" s="35"/>
    </row>
    <row r="11" spans="1:1" x14ac:dyDescent="0.3">
      <c r="A11" s="35"/>
    </row>
    <row r="12" spans="1:1" x14ac:dyDescent="0.3">
      <c r="A12" s="35"/>
    </row>
    <row r="13" spans="1:1" x14ac:dyDescent="0.3">
      <c r="A13" s="35"/>
    </row>
    <row r="14" spans="1:1" x14ac:dyDescent="0.3">
      <c r="A14" s="35"/>
    </row>
    <row r="15" spans="1:1" x14ac:dyDescent="0.3">
      <c r="A15" s="35"/>
    </row>
    <row r="16" spans="1:1" x14ac:dyDescent="0.3">
      <c r="A16" s="35"/>
    </row>
    <row r="17" spans="1:1" x14ac:dyDescent="0.3">
      <c r="A17" s="35"/>
    </row>
    <row r="18" spans="1:1" x14ac:dyDescent="0.3">
      <c r="A18" s="35"/>
    </row>
    <row r="19" spans="1:1" x14ac:dyDescent="0.3">
      <c r="A19" s="35"/>
    </row>
    <row r="20" spans="1:1" x14ac:dyDescent="0.3">
      <c r="A20" s="35"/>
    </row>
    <row r="21" spans="1:1" x14ac:dyDescent="0.3">
      <c r="A21" s="35"/>
    </row>
    <row r="22" spans="1:1" x14ac:dyDescent="0.3">
      <c r="A22" s="35"/>
    </row>
    <row r="23" spans="1:1" x14ac:dyDescent="0.3">
      <c r="A23" s="35"/>
    </row>
    <row r="24" spans="1:1" x14ac:dyDescent="0.3">
      <c r="A24" s="35"/>
    </row>
    <row r="25" spans="1:1" x14ac:dyDescent="0.3">
      <c r="A25" s="35"/>
    </row>
    <row r="26" spans="1:1" x14ac:dyDescent="0.3">
      <c r="A26" s="35"/>
    </row>
    <row r="27" spans="1:1" x14ac:dyDescent="0.3">
      <c r="A27" s="35"/>
    </row>
    <row r="28" spans="1:1" x14ac:dyDescent="0.3">
      <c r="A28" s="35"/>
    </row>
    <row r="29" spans="1:1" x14ac:dyDescent="0.3">
      <c r="A29" s="35"/>
    </row>
    <row r="30" spans="1:1" x14ac:dyDescent="0.3">
      <c r="A30" s="35"/>
    </row>
    <row r="31" spans="1:1" x14ac:dyDescent="0.3">
      <c r="A31" s="35"/>
    </row>
    <row r="32" spans="1:1" x14ac:dyDescent="0.3">
      <c r="A32" s="35"/>
    </row>
    <row r="33" spans="1:1" x14ac:dyDescent="0.3">
      <c r="A33" s="35"/>
    </row>
    <row r="34" spans="1:1" x14ac:dyDescent="0.3">
      <c r="A34" s="35"/>
    </row>
    <row r="35" spans="1:1" x14ac:dyDescent="0.3">
      <c r="A35" s="35"/>
    </row>
    <row r="36" spans="1:1" x14ac:dyDescent="0.3">
      <c r="A36" s="35"/>
    </row>
    <row r="37" spans="1:1" x14ac:dyDescent="0.3">
      <c r="A37" s="35"/>
    </row>
    <row r="38" spans="1:1" x14ac:dyDescent="0.3">
      <c r="A38" s="35"/>
    </row>
    <row r="39" spans="1:1" x14ac:dyDescent="0.3">
      <c r="A39" s="35"/>
    </row>
    <row r="40" spans="1:1" x14ac:dyDescent="0.3">
      <c r="A40" s="35"/>
    </row>
    <row r="41" spans="1:1" x14ac:dyDescent="0.3">
      <c r="A41" s="35"/>
    </row>
    <row r="42" spans="1:1" x14ac:dyDescent="0.3">
      <c r="A42" s="35"/>
    </row>
    <row r="43" spans="1:1" x14ac:dyDescent="0.3">
      <c r="A43" s="35"/>
    </row>
    <row r="44" spans="1:1" x14ac:dyDescent="0.3">
      <c r="A44" s="35"/>
    </row>
    <row r="45" spans="1:1" x14ac:dyDescent="0.3">
      <c r="A45" s="35"/>
    </row>
    <row r="46" spans="1:1" x14ac:dyDescent="0.3">
      <c r="A46" s="35"/>
    </row>
    <row r="47" spans="1:1" x14ac:dyDescent="0.3">
      <c r="A47" s="35"/>
    </row>
    <row r="48" spans="1:1" x14ac:dyDescent="0.3">
      <c r="A48" s="35"/>
    </row>
    <row r="49" spans="1:1" x14ac:dyDescent="0.3">
      <c r="A49" s="35"/>
    </row>
    <row r="50" spans="1:1" x14ac:dyDescent="0.3">
      <c r="A50" s="35"/>
    </row>
    <row r="51" spans="1:1" x14ac:dyDescent="0.3">
      <c r="A51" s="35"/>
    </row>
    <row r="52" spans="1:1" x14ac:dyDescent="0.3">
      <c r="A52" s="35"/>
    </row>
    <row r="53" spans="1:1" x14ac:dyDescent="0.3">
      <c r="A53" s="35"/>
    </row>
    <row r="54" spans="1:1" x14ac:dyDescent="0.3">
      <c r="A54" s="35"/>
    </row>
    <row r="55" spans="1:1" x14ac:dyDescent="0.3">
      <c r="A55" s="35"/>
    </row>
    <row r="56" spans="1:1" x14ac:dyDescent="0.3">
      <c r="A56" s="35"/>
    </row>
    <row r="57" spans="1:1" x14ac:dyDescent="0.3">
      <c r="A57" s="35"/>
    </row>
    <row r="58" spans="1:1" x14ac:dyDescent="0.3">
      <c r="A58" s="35"/>
    </row>
    <row r="59" spans="1:1" x14ac:dyDescent="0.3">
      <c r="A59" s="35"/>
    </row>
    <row r="60" spans="1:1" x14ac:dyDescent="0.3">
      <c r="A60" s="35"/>
    </row>
    <row r="61" spans="1:1" x14ac:dyDescent="0.3">
      <c r="A61" s="35"/>
    </row>
    <row r="62" spans="1:1" x14ac:dyDescent="0.3">
      <c r="A62" s="35"/>
    </row>
    <row r="63" spans="1:1" x14ac:dyDescent="0.3">
      <c r="A63" s="35"/>
    </row>
    <row r="64" spans="1:1" x14ac:dyDescent="0.3">
      <c r="A64" s="35"/>
    </row>
    <row r="65" spans="1:1" x14ac:dyDescent="0.3">
      <c r="A65" s="35"/>
    </row>
    <row r="66" spans="1:1" x14ac:dyDescent="0.3">
      <c r="A66" s="35"/>
    </row>
    <row r="67" spans="1:1" x14ac:dyDescent="0.3">
      <c r="A67" s="35"/>
    </row>
    <row r="68" spans="1:1" x14ac:dyDescent="0.3">
      <c r="A68" s="35"/>
    </row>
    <row r="69" spans="1:1" x14ac:dyDescent="0.3">
      <c r="A69" s="35"/>
    </row>
    <row r="70" spans="1:1" x14ac:dyDescent="0.3">
      <c r="A70" s="35"/>
    </row>
    <row r="71" spans="1:1" x14ac:dyDescent="0.3">
      <c r="A71" s="35"/>
    </row>
    <row r="72" spans="1:1" x14ac:dyDescent="0.3">
      <c r="A72" s="35"/>
    </row>
    <row r="73" spans="1:1" x14ac:dyDescent="0.3">
      <c r="A73" s="35"/>
    </row>
    <row r="74" spans="1:1" x14ac:dyDescent="0.3">
      <c r="A74" s="35"/>
    </row>
    <row r="75" spans="1:1" x14ac:dyDescent="0.3">
      <c r="A75" s="35"/>
    </row>
    <row r="76" spans="1:1" x14ac:dyDescent="0.3">
      <c r="A76" s="35"/>
    </row>
    <row r="77" spans="1:1" x14ac:dyDescent="0.3">
      <c r="A77" s="35"/>
    </row>
    <row r="78" spans="1:1" x14ac:dyDescent="0.3">
      <c r="A78" s="35"/>
    </row>
    <row r="79" spans="1:1" x14ac:dyDescent="0.3">
      <c r="A79" s="35"/>
    </row>
    <row r="80" spans="1:1" x14ac:dyDescent="0.3">
      <c r="A80" s="35"/>
    </row>
    <row r="81" spans="1:1" x14ac:dyDescent="0.3">
      <c r="A81" s="35"/>
    </row>
    <row r="82" spans="1:1" x14ac:dyDescent="0.3">
      <c r="A82" s="35"/>
    </row>
    <row r="83" spans="1:1" x14ac:dyDescent="0.3">
      <c r="A83" s="35"/>
    </row>
    <row r="84" spans="1:1" x14ac:dyDescent="0.3">
      <c r="A84" s="35"/>
    </row>
    <row r="85" spans="1:1" x14ac:dyDescent="0.3">
      <c r="A85" s="35"/>
    </row>
    <row r="86" spans="1:1" x14ac:dyDescent="0.3">
      <c r="A86" s="35"/>
    </row>
    <row r="87" spans="1:1" x14ac:dyDescent="0.3">
      <c r="A87" s="35"/>
    </row>
    <row r="88" spans="1:1" x14ac:dyDescent="0.3">
      <c r="A88" s="35"/>
    </row>
    <row r="89" spans="1:1" x14ac:dyDescent="0.3">
      <c r="A89" s="35"/>
    </row>
    <row r="90" spans="1:1" x14ac:dyDescent="0.3">
      <c r="A90" s="35"/>
    </row>
    <row r="91" spans="1:1" x14ac:dyDescent="0.3">
      <c r="A91" s="35"/>
    </row>
    <row r="92" spans="1:1" x14ac:dyDescent="0.3">
      <c r="A92" s="35"/>
    </row>
    <row r="93" spans="1:1" x14ac:dyDescent="0.3">
      <c r="A93" s="35"/>
    </row>
    <row r="94" spans="1:1" x14ac:dyDescent="0.3">
      <c r="A94" s="35"/>
    </row>
    <row r="95" spans="1:1" x14ac:dyDescent="0.3">
      <c r="A95" s="35"/>
    </row>
    <row r="96" spans="1:1" x14ac:dyDescent="0.3">
      <c r="A96" s="35"/>
    </row>
    <row r="97" spans="1:1" x14ac:dyDescent="0.3">
      <c r="A97" s="35"/>
    </row>
    <row r="98" spans="1:1" x14ac:dyDescent="0.3">
      <c r="A98" s="35"/>
    </row>
    <row r="99" spans="1:1" x14ac:dyDescent="0.3">
      <c r="A99" s="35"/>
    </row>
    <row r="100" spans="1:1" x14ac:dyDescent="0.3">
      <c r="A100" s="35"/>
    </row>
    <row r="101" spans="1:1" x14ac:dyDescent="0.3">
      <c r="A101" s="35"/>
    </row>
    <row r="102" spans="1:1" x14ac:dyDescent="0.3">
      <c r="A102" s="35"/>
    </row>
    <row r="103" spans="1:1" x14ac:dyDescent="0.3">
      <c r="A103" s="35"/>
    </row>
    <row r="104" spans="1:1" x14ac:dyDescent="0.3">
      <c r="A104" s="35"/>
    </row>
    <row r="105" spans="1:1" x14ac:dyDescent="0.3">
      <c r="A105" s="35"/>
    </row>
    <row r="106" spans="1:1" x14ac:dyDescent="0.3">
      <c r="A106" s="35"/>
    </row>
    <row r="107" spans="1:1" x14ac:dyDescent="0.3">
      <c r="A107" s="35"/>
    </row>
    <row r="108" spans="1:1" x14ac:dyDescent="0.3">
      <c r="A108" s="35"/>
    </row>
    <row r="109" spans="1:1" x14ac:dyDescent="0.3">
      <c r="A109" s="35"/>
    </row>
    <row r="110" spans="1:1" x14ac:dyDescent="0.3">
      <c r="A110" s="35"/>
    </row>
    <row r="111" spans="1:1" x14ac:dyDescent="0.3">
      <c r="A111" s="35"/>
    </row>
    <row r="112" spans="1:1" x14ac:dyDescent="0.3">
      <c r="A112" s="35"/>
    </row>
    <row r="113" spans="1:1" x14ac:dyDescent="0.3">
      <c r="A113" s="35"/>
    </row>
    <row r="114" spans="1:1" x14ac:dyDescent="0.3">
      <c r="A114" s="35"/>
    </row>
    <row r="115" spans="1:1" x14ac:dyDescent="0.3">
      <c r="A115" s="35"/>
    </row>
    <row r="116" spans="1:1" x14ac:dyDescent="0.3">
      <c r="A116" s="35"/>
    </row>
    <row r="117" spans="1:1" x14ac:dyDescent="0.3">
      <c r="A117" s="35"/>
    </row>
    <row r="118" spans="1:1" x14ac:dyDescent="0.3">
      <c r="A118" s="35"/>
    </row>
    <row r="119" spans="1:1" x14ac:dyDescent="0.3">
      <c r="A119" s="35"/>
    </row>
    <row r="120" spans="1:1" x14ac:dyDescent="0.3">
      <c r="A120" s="35"/>
    </row>
    <row r="121" spans="1:1" x14ac:dyDescent="0.3">
      <c r="A121" s="35"/>
    </row>
    <row r="122" spans="1:1" x14ac:dyDescent="0.3">
      <c r="A122" s="35"/>
    </row>
    <row r="123" spans="1:1" x14ac:dyDescent="0.3">
      <c r="A123" s="35"/>
    </row>
    <row r="124" spans="1:1" x14ac:dyDescent="0.3">
      <c r="A124" s="35"/>
    </row>
    <row r="125" spans="1:1" x14ac:dyDescent="0.3">
      <c r="A125" s="35"/>
    </row>
    <row r="126" spans="1:1" x14ac:dyDescent="0.3">
      <c r="A126" s="35"/>
    </row>
    <row r="127" spans="1:1" x14ac:dyDescent="0.3">
      <c r="A127" s="35"/>
    </row>
    <row r="128" spans="1:1" x14ac:dyDescent="0.3">
      <c r="A128" s="35"/>
    </row>
    <row r="129" spans="1:1" x14ac:dyDescent="0.3">
      <c r="A129" s="35"/>
    </row>
    <row r="130" spans="1:1" x14ac:dyDescent="0.3">
      <c r="A130" s="35"/>
    </row>
    <row r="131" spans="1:1" x14ac:dyDescent="0.3">
      <c r="A131" s="35"/>
    </row>
    <row r="132" spans="1:1" x14ac:dyDescent="0.3">
      <c r="A132" s="35"/>
    </row>
    <row r="133" spans="1:1" x14ac:dyDescent="0.3">
      <c r="A133" s="35"/>
    </row>
    <row r="134" spans="1:1" x14ac:dyDescent="0.3">
      <c r="A134" s="35"/>
    </row>
    <row r="135" spans="1:1" x14ac:dyDescent="0.3">
      <c r="A135" s="35"/>
    </row>
    <row r="136" spans="1:1" x14ac:dyDescent="0.3">
      <c r="A136" s="35"/>
    </row>
    <row r="137" spans="1:1" x14ac:dyDescent="0.3">
      <c r="A137" s="35"/>
    </row>
    <row r="138" spans="1:1" x14ac:dyDescent="0.3">
      <c r="A138" s="35"/>
    </row>
    <row r="139" spans="1:1" x14ac:dyDescent="0.3">
      <c r="A139" s="35"/>
    </row>
    <row r="140" spans="1:1" x14ac:dyDescent="0.3">
      <c r="A140" s="35"/>
    </row>
    <row r="141" spans="1:1" x14ac:dyDescent="0.3">
      <c r="A141" s="35"/>
    </row>
    <row r="142" spans="1:1" x14ac:dyDescent="0.3">
      <c r="A142" s="35"/>
    </row>
    <row r="143" spans="1:1" x14ac:dyDescent="0.3">
      <c r="A143" s="35"/>
    </row>
    <row r="144" spans="1:1" x14ac:dyDescent="0.3">
      <c r="A144" s="35"/>
    </row>
    <row r="145" spans="1:1" x14ac:dyDescent="0.3">
      <c r="A145" s="35"/>
    </row>
    <row r="146" spans="1:1" x14ac:dyDescent="0.3">
      <c r="A146" s="35"/>
    </row>
    <row r="147" spans="1:1" x14ac:dyDescent="0.3">
      <c r="A147" s="35"/>
    </row>
    <row r="148" spans="1:1" x14ac:dyDescent="0.3">
      <c r="A148" s="35"/>
    </row>
    <row r="149" spans="1:1" x14ac:dyDescent="0.3">
      <c r="A149" s="35"/>
    </row>
    <row r="150" spans="1:1" x14ac:dyDescent="0.3">
      <c r="A150" s="35"/>
    </row>
    <row r="151" spans="1:1" x14ac:dyDescent="0.3">
      <c r="A151" s="35"/>
    </row>
    <row r="152" spans="1:1" x14ac:dyDescent="0.3">
      <c r="A152" s="35"/>
    </row>
    <row r="153" spans="1:1" x14ac:dyDescent="0.3">
      <c r="A153" s="35"/>
    </row>
    <row r="154" spans="1:1" x14ac:dyDescent="0.3">
      <c r="A154" s="35"/>
    </row>
    <row r="155" spans="1:1" x14ac:dyDescent="0.3">
      <c r="A155" s="35"/>
    </row>
    <row r="156" spans="1:1" x14ac:dyDescent="0.3">
      <c r="A156" s="35"/>
    </row>
    <row r="157" spans="1:1" x14ac:dyDescent="0.3">
      <c r="A157" s="35"/>
    </row>
    <row r="158" spans="1:1" x14ac:dyDescent="0.3">
      <c r="A158" s="35"/>
    </row>
    <row r="159" spans="1:1" x14ac:dyDescent="0.3">
      <c r="A159" s="35"/>
    </row>
    <row r="160" spans="1:1" x14ac:dyDescent="0.3">
      <c r="A160" s="35"/>
    </row>
    <row r="161" spans="1:1" x14ac:dyDescent="0.3">
      <c r="A161" s="35"/>
    </row>
    <row r="162" spans="1:1" x14ac:dyDescent="0.3">
      <c r="A162" s="35"/>
    </row>
    <row r="163" spans="1:1" x14ac:dyDescent="0.3">
      <c r="A163" s="35"/>
    </row>
    <row r="164" spans="1:1" x14ac:dyDescent="0.3">
      <c r="A164" s="35"/>
    </row>
    <row r="165" spans="1:1" x14ac:dyDescent="0.3">
      <c r="A165" s="35"/>
    </row>
    <row r="166" spans="1:1" x14ac:dyDescent="0.3">
      <c r="A166" s="35"/>
    </row>
    <row r="167" spans="1:1" x14ac:dyDescent="0.3">
      <c r="A167" s="35"/>
    </row>
    <row r="168" spans="1:1" x14ac:dyDescent="0.3">
      <c r="A168" s="35"/>
    </row>
    <row r="169" spans="1:1" x14ac:dyDescent="0.3">
      <c r="A169" s="35"/>
    </row>
    <row r="170" spans="1:1" x14ac:dyDescent="0.3">
      <c r="A170" s="35"/>
    </row>
    <row r="171" spans="1:1" x14ac:dyDescent="0.3">
      <c r="A171" s="35"/>
    </row>
    <row r="172" spans="1:1" x14ac:dyDescent="0.3">
      <c r="A172" s="35"/>
    </row>
    <row r="173" spans="1:1" x14ac:dyDescent="0.3">
      <c r="A173" s="35"/>
    </row>
    <row r="174" spans="1:1" x14ac:dyDescent="0.3">
      <c r="A174" s="35"/>
    </row>
    <row r="175" spans="1:1" x14ac:dyDescent="0.3">
      <c r="A175" s="35"/>
    </row>
    <row r="176" spans="1:1" x14ac:dyDescent="0.3">
      <c r="A176" s="35"/>
    </row>
    <row r="177" spans="1:1" x14ac:dyDescent="0.3">
      <c r="A177" s="35"/>
    </row>
    <row r="178" spans="1:1" x14ac:dyDescent="0.3">
      <c r="A178" s="35"/>
    </row>
    <row r="179" spans="1:1" x14ac:dyDescent="0.3">
      <c r="A179" s="35"/>
    </row>
    <row r="180" spans="1:1" x14ac:dyDescent="0.3">
      <c r="A180" s="35"/>
    </row>
    <row r="181" spans="1:1" x14ac:dyDescent="0.3">
      <c r="A181" s="35"/>
    </row>
    <row r="182" spans="1:1" x14ac:dyDescent="0.3">
      <c r="A182" s="35"/>
    </row>
    <row r="183" spans="1:1" x14ac:dyDescent="0.3">
      <c r="A183" s="35"/>
    </row>
    <row r="184" spans="1:1" x14ac:dyDescent="0.3">
      <c r="A184" s="35"/>
    </row>
    <row r="185" spans="1:1" x14ac:dyDescent="0.3">
      <c r="A185" s="35"/>
    </row>
    <row r="186" spans="1:1" x14ac:dyDescent="0.3">
      <c r="A186" s="35"/>
    </row>
    <row r="187" spans="1:1" x14ac:dyDescent="0.3">
      <c r="A187" s="35"/>
    </row>
    <row r="188" spans="1:1" x14ac:dyDescent="0.3">
      <c r="A188" s="35"/>
    </row>
    <row r="189" spans="1:1" x14ac:dyDescent="0.3">
      <c r="A189" s="35"/>
    </row>
    <row r="190" spans="1:1" x14ac:dyDescent="0.3">
      <c r="A190" s="35"/>
    </row>
    <row r="191" spans="1:1" x14ac:dyDescent="0.3">
      <c r="A191" s="35"/>
    </row>
    <row r="192" spans="1:1" x14ac:dyDescent="0.3">
      <c r="A192" s="35"/>
    </row>
    <row r="193" spans="1:1" x14ac:dyDescent="0.3">
      <c r="A193" s="35"/>
    </row>
    <row r="194" spans="1:1" x14ac:dyDescent="0.3">
      <c r="A194" s="35"/>
    </row>
    <row r="195" spans="1:1" x14ac:dyDescent="0.3">
      <c r="A195" s="35"/>
    </row>
    <row r="196" spans="1:1" x14ac:dyDescent="0.3">
      <c r="A196" s="35"/>
    </row>
    <row r="197" spans="1:1" x14ac:dyDescent="0.3">
      <c r="A197" s="35"/>
    </row>
    <row r="198" spans="1:1" x14ac:dyDescent="0.3">
      <c r="A198" s="35"/>
    </row>
    <row r="199" spans="1:1" x14ac:dyDescent="0.3">
      <c r="A199" s="35"/>
    </row>
    <row r="200" spans="1:1" x14ac:dyDescent="0.3">
      <c r="A200" s="35"/>
    </row>
    <row r="201" spans="1:1" x14ac:dyDescent="0.3">
      <c r="A201" s="35"/>
    </row>
    <row r="202" spans="1:1" x14ac:dyDescent="0.3">
      <c r="A202" s="35"/>
    </row>
    <row r="203" spans="1:1" x14ac:dyDescent="0.3">
      <c r="A203" s="35"/>
    </row>
    <row r="204" spans="1:1" x14ac:dyDescent="0.3">
      <c r="A204" s="35"/>
    </row>
    <row r="205" spans="1:1" x14ac:dyDescent="0.3">
      <c r="A205" s="35"/>
    </row>
    <row r="206" spans="1:1" x14ac:dyDescent="0.3">
      <c r="A206" s="35"/>
    </row>
    <row r="207" spans="1:1" x14ac:dyDescent="0.3">
      <c r="A207" s="35"/>
    </row>
    <row r="208" spans="1:1" x14ac:dyDescent="0.3">
      <c r="A208" s="35"/>
    </row>
    <row r="209" spans="1:1" x14ac:dyDescent="0.3">
      <c r="A209" s="35"/>
    </row>
    <row r="210" spans="1:1" x14ac:dyDescent="0.3">
      <c r="A210" s="35"/>
    </row>
    <row r="211" spans="1:1" x14ac:dyDescent="0.3">
      <c r="A211" s="35"/>
    </row>
    <row r="212" spans="1:1" x14ac:dyDescent="0.3">
      <c r="A212" s="35"/>
    </row>
    <row r="213" spans="1:1" x14ac:dyDescent="0.3">
      <c r="A213" s="35"/>
    </row>
    <row r="214" spans="1:1" x14ac:dyDescent="0.3">
      <c r="A214" s="35"/>
    </row>
    <row r="215" spans="1:1" x14ac:dyDescent="0.3">
      <c r="A215" s="35"/>
    </row>
    <row r="216" spans="1:1" x14ac:dyDescent="0.3">
      <c r="A216" s="35"/>
    </row>
    <row r="217" spans="1:1" x14ac:dyDescent="0.3">
      <c r="A217" s="35"/>
    </row>
    <row r="218" spans="1:1" x14ac:dyDescent="0.3">
      <c r="A218" s="35"/>
    </row>
    <row r="219" spans="1:1" x14ac:dyDescent="0.3">
      <c r="A219" s="35"/>
    </row>
    <row r="220" spans="1:1" x14ac:dyDescent="0.3">
      <c r="A220" s="35"/>
    </row>
    <row r="221" spans="1:1" x14ac:dyDescent="0.3">
      <c r="A221" s="35"/>
    </row>
    <row r="222" spans="1:1" x14ac:dyDescent="0.3">
      <c r="A222" s="35"/>
    </row>
    <row r="223" spans="1:1" x14ac:dyDescent="0.3">
      <c r="A223" s="35"/>
    </row>
    <row r="224" spans="1:1" x14ac:dyDescent="0.3">
      <c r="A224" s="35"/>
    </row>
    <row r="225" spans="1:1" x14ac:dyDescent="0.3">
      <c r="A225" s="35"/>
    </row>
    <row r="226" spans="1:1" x14ac:dyDescent="0.3">
      <c r="A226" s="35"/>
    </row>
    <row r="227" spans="1:1" x14ac:dyDescent="0.3">
      <c r="A227" s="35"/>
    </row>
    <row r="228" spans="1:1" x14ac:dyDescent="0.3">
      <c r="A228" s="35"/>
    </row>
    <row r="229" spans="1:1" x14ac:dyDescent="0.3">
      <c r="A229" s="35"/>
    </row>
    <row r="230" spans="1:1" x14ac:dyDescent="0.3">
      <c r="A230" s="35"/>
    </row>
    <row r="231" spans="1:1" x14ac:dyDescent="0.3">
      <c r="A231" s="35"/>
    </row>
    <row r="232" spans="1:1" x14ac:dyDescent="0.3">
      <c r="A232" s="35"/>
    </row>
    <row r="233" spans="1:1" x14ac:dyDescent="0.3">
      <c r="A233" s="35"/>
    </row>
    <row r="234" spans="1:1" x14ac:dyDescent="0.3">
      <c r="A234" s="35"/>
    </row>
    <row r="235" spans="1:1" x14ac:dyDescent="0.3">
      <c r="A235" s="35"/>
    </row>
    <row r="236" spans="1:1" x14ac:dyDescent="0.3">
      <c r="A236" s="35"/>
    </row>
    <row r="237" spans="1:1" x14ac:dyDescent="0.3">
      <c r="A237" s="35"/>
    </row>
    <row r="238" spans="1:1" x14ac:dyDescent="0.3">
      <c r="A238" s="35"/>
    </row>
    <row r="239" spans="1:1" x14ac:dyDescent="0.3">
      <c r="A239" s="35"/>
    </row>
    <row r="240" spans="1:1" x14ac:dyDescent="0.3">
      <c r="A240" s="35"/>
    </row>
    <row r="241" spans="1:1" x14ac:dyDescent="0.3">
      <c r="A241" s="35"/>
    </row>
    <row r="242" spans="1:1" x14ac:dyDescent="0.3">
      <c r="A242" s="35"/>
    </row>
    <row r="243" spans="1:1" x14ac:dyDescent="0.3">
      <c r="A243" s="35"/>
    </row>
    <row r="244" spans="1:1" x14ac:dyDescent="0.3">
      <c r="A244" s="35"/>
    </row>
    <row r="245" spans="1:1" x14ac:dyDescent="0.3">
      <c r="A245" s="35"/>
    </row>
    <row r="246" spans="1:1" x14ac:dyDescent="0.3">
      <c r="A246" s="35"/>
    </row>
    <row r="247" spans="1:1" x14ac:dyDescent="0.3">
      <c r="A247" s="35"/>
    </row>
    <row r="248" spans="1:1" x14ac:dyDescent="0.3">
      <c r="A248" s="35"/>
    </row>
    <row r="249" spans="1:1" x14ac:dyDescent="0.3">
      <c r="A249" s="35"/>
    </row>
    <row r="250" spans="1:1" x14ac:dyDescent="0.3">
      <c r="A250" s="35"/>
    </row>
    <row r="251" spans="1:1" x14ac:dyDescent="0.3">
      <c r="A251" s="35"/>
    </row>
    <row r="252" spans="1:1" x14ac:dyDescent="0.3">
      <c r="A252" s="35"/>
    </row>
    <row r="253" spans="1:1" x14ac:dyDescent="0.3">
      <c r="A253" s="35"/>
    </row>
    <row r="254" spans="1:1" x14ac:dyDescent="0.3">
      <c r="A254" s="35"/>
    </row>
    <row r="255" spans="1:1" x14ac:dyDescent="0.3">
      <c r="A255" s="35"/>
    </row>
    <row r="256" spans="1:1" x14ac:dyDescent="0.3">
      <c r="A256" s="35"/>
    </row>
    <row r="257" spans="1:1" x14ac:dyDescent="0.3">
      <c r="A257" s="35"/>
    </row>
    <row r="258" spans="1:1" x14ac:dyDescent="0.3">
      <c r="A258" s="35"/>
    </row>
    <row r="259" spans="1:1" x14ac:dyDescent="0.3">
      <c r="A259" s="35"/>
    </row>
    <row r="260" spans="1:1" x14ac:dyDescent="0.3">
      <c r="A260" s="35"/>
    </row>
    <row r="261" spans="1:1" x14ac:dyDescent="0.3">
      <c r="A261" s="35"/>
    </row>
    <row r="262" spans="1:1" x14ac:dyDescent="0.3">
      <c r="A262" s="35"/>
    </row>
    <row r="263" spans="1:1" x14ac:dyDescent="0.3">
      <c r="A263" s="35"/>
    </row>
    <row r="264" spans="1:1" x14ac:dyDescent="0.3">
      <c r="A264" s="35"/>
    </row>
    <row r="265" spans="1:1" x14ac:dyDescent="0.3">
      <c r="A265" s="35"/>
    </row>
    <row r="266" spans="1:1" x14ac:dyDescent="0.3">
      <c r="A266" s="35"/>
    </row>
    <row r="267" spans="1:1" x14ac:dyDescent="0.3">
      <c r="A267" s="35"/>
    </row>
    <row r="268" spans="1:1" x14ac:dyDescent="0.3">
      <c r="A268" s="35"/>
    </row>
    <row r="269" spans="1:1" x14ac:dyDescent="0.3">
      <c r="A269" s="35"/>
    </row>
    <row r="270" spans="1:1" x14ac:dyDescent="0.3">
      <c r="A270" s="35"/>
    </row>
    <row r="271" spans="1:1" x14ac:dyDescent="0.3">
      <c r="A271" s="35"/>
    </row>
    <row r="272" spans="1:1" x14ac:dyDescent="0.3">
      <c r="A272" s="35"/>
    </row>
    <row r="273" spans="1:1" x14ac:dyDescent="0.3">
      <c r="A273" s="35"/>
    </row>
    <row r="274" spans="1:1" x14ac:dyDescent="0.3">
      <c r="A274" s="35"/>
    </row>
    <row r="275" spans="1:1" x14ac:dyDescent="0.3">
      <c r="A275" s="35"/>
    </row>
    <row r="276" spans="1:1" x14ac:dyDescent="0.3">
      <c r="A276" s="35"/>
    </row>
    <row r="277" spans="1:1" x14ac:dyDescent="0.3">
      <c r="A277" s="35"/>
    </row>
    <row r="278" spans="1:1" x14ac:dyDescent="0.3">
      <c r="A278" s="35"/>
    </row>
    <row r="279" spans="1:1" x14ac:dyDescent="0.3">
      <c r="A279" s="35"/>
    </row>
    <row r="280" spans="1:1" x14ac:dyDescent="0.3">
      <c r="A280" s="35"/>
    </row>
    <row r="281" spans="1:1" x14ac:dyDescent="0.3">
      <c r="A281" s="35"/>
    </row>
    <row r="282" spans="1:1" x14ac:dyDescent="0.3">
      <c r="A282" s="35"/>
    </row>
    <row r="283" spans="1:1" x14ac:dyDescent="0.3">
      <c r="A283" s="35"/>
    </row>
    <row r="284" spans="1:1" x14ac:dyDescent="0.3">
      <c r="A284" s="35"/>
    </row>
    <row r="285" spans="1:1" x14ac:dyDescent="0.3">
      <c r="A285" s="35"/>
    </row>
    <row r="286" spans="1:1" x14ac:dyDescent="0.3">
      <c r="A286" s="35"/>
    </row>
    <row r="287" spans="1:1" x14ac:dyDescent="0.3">
      <c r="A287" s="35"/>
    </row>
    <row r="288" spans="1:1" x14ac:dyDescent="0.3">
      <c r="A288" s="35"/>
    </row>
    <row r="289" spans="1:1" x14ac:dyDescent="0.3">
      <c r="A289" s="35"/>
    </row>
    <row r="290" spans="1:1" x14ac:dyDescent="0.3">
      <c r="A290" s="35"/>
    </row>
    <row r="291" spans="1:1" x14ac:dyDescent="0.3">
      <c r="A291" s="35"/>
    </row>
    <row r="292" spans="1:1" x14ac:dyDescent="0.3">
      <c r="A292" s="35"/>
    </row>
    <row r="293" spans="1:1" x14ac:dyDescent="0.3">
      <c r="A293" s="35"/>
    </row>
    <row r="294" spans="1:1" x14ac:dyDescent="0.3">
      <c r="A294" s="35"/>
    </row>
    <row r="295" spans="1:1" x14ac:dyDescent="0.3">
      <c r="A295" s="35"/>
    </row>
    <row r="296" spans="1:1" x14ac:dyDescent="0.3">
      <c r="A296" s="35"/>
    </row>
    <row r="297" spans="1:1" x14ac:dyDescent="0.3">
      <c r="A297" s="35"/>
    </row>
    <row r="298" spans="1:1" x14ac:dyDescent="0.3">
      <c r="A298" s="35"/>
    </row>
    <row r="299" spans="1:1" x14ac:dyDescent="0.3">
      <c r="A299" s="35"/>
    </row>
    <row r="300" spans="1:1" x14ac:dyDescent="0.3">
      <c r="A300" s="35"/>
    </row>
    <row r="301" spans="1:1" x14ac:dyDescent="0.3">
      <c r="A301" s="35"/>
    </row>
    <row r="302" spans="1:1" x14ac:dyDescent="0.3">
      <c r="A302" s="35"/>
    </row>
    <row r="303" spans="1:1" x14ac:dyDescent="0.3">
      <c r="A303" s="35"/>
    </row>
    <row r="304" spans="1:1" x14ac:dyDescent="0.3">
      <c r="A304" s="35"/>
    </row>
    <row r="305" spans="1:1" x14ac:dyDescent="0.3">
      <c r="A305" s="35"/>
    </row>
    <row r="306" spans="1:1" x14ac:dyDescent="0.3">
      <c r="A306" s="35"/>
    </row>
    <row r="307" spans="1:1" x14ac:dyDescent="0.3">
      <c r="A307" s="35"/>
    </row>
    <row r="308" spans="1:1" x14ac:dyDescent="0.3">
      <c r="A308" s="35"/>
    </row>
    <row r="309" spans="1:1" x14ac:dyDescent="0.3">
      <c r="A309" s="35"/>
    </row>
    <row r="310" spans="1:1" x14ac:dyDescent="0.3">
      <c r="A310" s="35"/>
    </row>
    <row r="311" spans="1:1" x14ac:dyDescent="0.3">
      <c r="A311" s="35"/>
    </row>
    <row r="312" spans="1:1" x14ac:dyDescent="0.3">
      <c r="A312" s="35"/>
    </row>
    <row r="313" spans="1:1" x14ac:dyDescent="0.3">
      <c r="A313" s="35"/>
    </row>
    <row r="314" spans="1:1" x14ac:dyDescent="0.3">
      <c r="A314" s="35"/>
    </row>
    <row r="315" spans="1:1" x14ac:dyDescent="0.3">
      <c r="A315" s="35"/>
    </row>
    <row r="316" spans="1:1" x14ac:dyDescent="0.3">
      <c r="A316" s="35"/>
    </row>
    <row r="317" spans="1:1" x14ac:dyDescent="0.3">
      <c r="A317" s="35"/>
    </row>
    <row r="318" spans="1:1" x14ac:dyDescent="0.3">
      <c r="A318" s="35"/>
    </row>
    <row r="319" spans="1:1" x14ac:dyDescent="0.3">
      <c r="A319" s="35"/>
    </row>
    <row r="320" spans="1:1" x14ac:dyDescent="0.3">
      <c r="A320" s="35"/>
    </row>
    <row r="321" spans="1:1" x14ac:dyDescent="0.3">
      <c r="A321" s="35"/>
    </row>
    <row r="322" spans="1:1" x14ac:dyDescent="0.3">
      <c r="A322" s="35"/>
    </row>
    <row r="323" spans="1:1" x14ac:dyDescent="0.3">
      <c r="A323" s="35"/>
    </row>
    <row r="324" spans="1:1" x14ac:dyDescent="0.3">
      <c r="A324" s="35"/>
    </row>
    <row r="325" spans="1:1" x14ac:dyDescent="0.3">
      <c r="A325" s="35"/>
    </row>
    <row r="326" spans="1:1" x14ac:dyDescent="0.3">
      <c r="A326" s="35"/>
    </row>
    <row r="327" spans="1:1" x14ac:dyDescent="0.3">
      <c r="A327" s="35"/>
    </row>
    <row r="328" spans="1:1" x14ac:dyDescent="0.3">
      <c r="A328" s="35"/>
    </row>
    <row r="329" spans="1:1" x14ac:dyDescent="0.3">
      <c r="A329" s="35"/>
    </row>
    <row r="330" spans="1:1" x14ac:dyDescent="0.3">
      <c r="A330" s="35"/>
    </row>
    <row r="331" spans="1:1" x14ac:dyDescent="0.3">
      <c r="A331" s="35"/>
    </row>
    <row r="332" spans="1:1" x14ac:dyDescent="0.3">
      <c r="A332" s="35"/>
    </row>
    <row r="333" spans="1:1" x14ac:dyDescent="0.3">
      <c r="A333" s="35"/>
    </row>
    <row r="334" spans="1:1" x14ac:dyDescent="0.3">
      <c r="A334" s="35"/>
    </row>
    <row r="335" spans="1:1" x14ac:dyDescent="0.3">
      <c r="A335" s="35"/>
    </row>
    <row r="336" spans="1:1" x14ac:dyDescent="0.3">
      <c r="A336" s="35"/>
    </row>
    <row r="337" spans="1:1" x14ac:dyDescent="0.3">
      <c r="A337" s="35"/>
    </row>
    <row r="338" spans="1:1" x14ac:dyDescent="0.3">
      <c r="A338" s="35"/>
    </row>
    <row r="339" spans="1:1" x14ac:dyDescent="0.3">
      <c r="A339" s="35"/>
    </row>
    <row r="340" spans="1:1" x14ac:dyDescent="0.3">
      <c r="A340" s="35"/>
    </row>
    <row r="341" spans="1:1" x14ac:dyDescent="0.3">
      <c r="A341" s="35"/>
    </row>
    <row r="342" spans="1:1" x14ac:dyDescent="0.3">
      <c r="A342" s="35"/>
    </row>
    <row r="343" spans="1:1" x14ac:dyDescent="0.3">
      <c r="A343" s="35"/>
    </row>
    <row r="344" spans="1:1" x14ac:dyDescent="0.3">
      <c r="A344" s="35"/>
    </row>
    <row r="345" spans="1:1" x14ac:dyDescent="0.3">
      <c r="A345" s="35"/>
    </row>
    <row r="346" spans="1:1" x14ac:dyDescent="0.3">
      <c r="A346" s="35"/>
    </row>
    <row r="347" spans="1:1" x14ac:dyDescent="0.3">
      <c r="A347" s="35"/>
    </row>
    <row r="348" spans="1:1" x14ac:dyDescent="0.3">
      <c r="A348" s="35"/>
    </row>
    <row r="349" spans="1:1" x14ac:dyDescent="0.3">
      <c r="A349" s="35"/>
    </row>
    <row r="350" spans="1:1" x14ac:dyDescent="0.3">
      <c r="A350" s="35"/>
    </row>
    <row r="351" spans="1:1" x14ac:dyDescent="0.3">
      <c r="A351" s="35"/>
    </row>
    <row r="352" spans="1:1" x14ac:dyDescent="0.3">
      <c r="A352" s="35"/>
    </row>
    <row r="353" spans="1:1" x14ac:dyDescent="0.3">
      <c r="A353" s="35"/>
    </row>
    <row r="354" spans="1:1" x14ac:dyDescent="0.3">
      <c r="A354" s="35"/>
    </row>
    <row r="355" spans="1:1" x14ac:dyDescent="0.3">
      <c r="A355" s="35"/>
    </row>
    <row r="356" spans="1:1" x14ac:dyDescent="0.3">
      <c r="A356" s="35"/>
    </row>
    <row r="357" spans="1:1" x14ac:dyDescent="0.3">
      <c r="A357" s="35"/>
    </row>
    <row r="358" spans="1:1" x14ac:dyDescent="0.3">
      <c r="A358" s="35"/>
    </row>
    <row r="359" spans="1:1" x14ac:dyDescent="0.3">
      <c r="A359" s="35"/>
    </row>
    <row r="360" spans="1:1" x14ac:dyDescent="0.3">
      <c r="A360" s="35"/>
    </row>
    <row r="361" spans="1:1" x14ac:dyDescent="0.3">
      <c r="A361" s="35"/>
    </row>
    <row r="362" spans="1:1" x14ac:dyDescent="0.3">
      <c r="A362" s="35"/>
    </row>
    <row r="363" spans="1:1" x14ac:dyDescent="0.3">
      <c r="A363" s="35"/>
    </row>
    <row r="364" spans="1:1" x14ac:dyDescent="0.3">
      <c r="A364" s="35"/>
    </row>
    <row r="365" spans="1:1" x14ac:dyDescent="0.3">
      <c r="A365" s="35"/>
    </row>
    <row r="366" spans="1:1" x14ac:dyDescent="0.3">
      <c r="A366" s="35"/>
    </row>
    <row r="367" spans="1:1" x14ac:dyDescent="0.3">
      <c r="A367" s="35"/>
    </row>
    <row r="368" spans="1:1" x14ac:dyDescent="0.3">
      <c r="A368" s="35"/>
    </row>
    <row r="369" spans="1:1" x14ac:dyDescent="0.3">
      <c r="A369" s="35"/>
    </row>
    <row r="370" spans="1:1" x14ac:dyDescent="0.3">
      <c r="A370" s="35"/>
    </row>
    <row r="371" spans="1:1" x14ac:dyDescent="0.3">
      <c r="A371" s="35"/>
    </row>
    <row r="372" spans="1:1" x14ac:dyDescent="0.3">
      <c r="A372" s="35"/>
    </row>
    <row r="373" spans="1:1" x14ac:dyDescent="0.3">
      <c r="A373" s="35"/>
    </row>
    <row r="374" spans="1:1" x14ac:dyDescent="0.3">
      <c r="A374" s="35"/>
    </row>
    <row r="375" spans="1:1" x14ac:dyDescent="0.3">
      <c r="A375" s="35"/>
    </row>
    <row r="376" spans="1:1" x14ac:dyDescent="0.3">
      <c r="A376" s="35"/>
    </row>
    <row r="377" spans="1:1" x14ac:dyDescent="0.3">
      <c r="A377" s="35"/>
    </row>
    <row r="378" spans="1:1" x14ac:dyDescent="0.3">
      <c r="A378" s="35"/>
    </row>
    <row r="379" spans="1:1" x14ac:dyDescent="0.3">
      <c r="A379" s="35"/>
    </row>
    <row r="380" spans="1:1" x14ac:dyDescent="0.3">
      <c r="A380" s="35"/>
    </row>
    <row r="381" spans="1:1" x14ac:dyDescent="0.3">
      <c r="A381" s="35"/>
    </row>
    <row r="382" spans="1:1" x14ac:dyDescent="0.3">
      <c r="A382" s="35"/>
    </row>
    <row r="383" spans="1:1" x14ac:dyDescent="0.3">
      <c r="A383" s="35"/>
    </row>
    <row r="384" spans="1:1" x14ac:dyDescent="0.3">
      <c r="A384" s="35"/>
    </row>
    <row r="385" spans="1:1" x14ac:dyDescent="0.3">
      <c r="A385" s="35"/>
    </row>
    <row r="386" spans="1:1" x14ac:dyDescent="0.3">
      <c r="A386" s="35"/>
    </row>
    <row r="387" spans="1:1" x14ac:dyDescent="0.3">
      <c r="A387" s="35"/>
    </row>
    <row r="388" spans="1:1" x14ac:dyDescent="0.3">
      <c r="A388" s="35"/>
    </row>
    <row r="389" spans="1:1" x14ac:dyDescent="0.3">
      <c r="A389" s="35"/>
    </row>
    <row r="390" spans="1:1" x14ac:dyDescent="0.3">
      <c r="A390" s="35"/>
    </row>
    <row r="391" spans="1:1" x14ac:dyDescent="0.3">
      <c r="A391" s="35"/>
    </row>
    <row r="392" spans="1:1" x14ac:dyDescent="0.3">
      <c r="A392" s="35"/>
    </row>
    <row r="393" spans="1:1" x14ac:dyDescent="0.3">
      <c r="A393" s="35"/>
    </row>
    <row r="394" spans="1:1" x14ac:dyDescent="0.3">
      <c r="A394" s="35"/>
    </row>
    <row r="395" spans="1:1" x14ac:dyDescent="0.3">
      <c r="A395" s="35"/>
    </row>
    <row r="396" spans="1:1" x14ac:dyDescent="0.3">
      <c r="A396" s="35"/>
    </row>
    <row r="397" spans="1:1" x14ac:dyDescent="0.3">
      <c r="A397" s="35"/>
    </row>
    <row r="398" spans="1:1" x14ac:dyDescent="0.3">
      <c r="A398" s="35"/>
    </row>
    <row r="399" spans="1:1" x14ac:dyDescent="0.3">
      <c r="A399" s="35"/>
    </row>
    <row r="400" spans="1:1" x14ac:dyDescent="0.3">
      <c r="A400" s="35"/>
    </row>
    <row r="401" spans="1:1" x14ac:dyDescent="0.3">
      <c r="A401" s="35"/>
    </row>
    <row r="402" spans="1:1" x14ac:dyDescent="0.3">
      <c r="A402" s="35"/>
    </row>
    <row r="403" spans="1:1" x14ac:dyDescent="0.3">
      <c r="A403" s="35"/>
    </row>
    <row r="404" spans="1:1" x14ac:dyDescent="0.3">
      <c r="A404" s="35"/>
    </row>
    <row r="405" spans="1:1" x14ac:dyDescent="0.3">
      <c r="A405" s="35"/>
    </row>
    <row r="406" spans="1:1" x14ac:dyDescent="0.3">
      <c r="A406" s="35"/>
    </row>
    <row r="407" spans="1:1" x14ac:dyDescent="0.3">
      <c r="A407" s="35"/>
    </row>
    <row r="408" spans="1:1" x14ac:dyDescent="0.3">
      <c r="A408" s="35"/>
    </row>
    <row r="409" spans="1:1" x14ac:dyDescent="0.3">
      <c r="A409" s="35"/>
    </row>
    <row r="410" spans="1:1" x14ac:dyDescent="0.3">
      <c r="A410" s="35"/>
    </row>
    <row r="411" spans="1:1" x14ac:dyDescent="0.3">
      <c r="A411" s="35"/>
    </row>
    <row r="412" spans="1:1" x14ac:dyDescent="0.3">
      <c r="A412" s="35"/>
    </row>
    <row r="413" spans="1:1" x14ac:dyDescent="0.3">
      <c r="A413" s="35"/>
    </row>
    <row r="414" spans="1:1" x14ac:dyDescent="0.3">
      <c r="A414" s="35"/>
    </row>
    <row r="415" spans="1:1" x14ac:dyDescent="0.3">
      <c r="A415" s="35"/>
    </row>
    <row r="416" spans="1:1" x14ac:dyDescent="0.3">
      <c r="A416" s="35"/>
    </row>
    <row r="417" spans="1:1" x14ac:dyDescent="0.3">
      <c r="A417" s="35"/>
    </row>
    <row r="418" spans="1:1" x14ac:dyDescent="0.3">
      <c r="A418" s="35"/>
    </row>
    <row r="419" spans="1:1" x14ac:dyDescent="0.3">
      <c r="A419" s="35"/>
    </row>
    <row r="420" spans="1:1" x14ac:dyDescent="0.3">
      <c r="A420" s="35"/>
    </row>
    <row r="421" spans="1:1" x14ac:dyDescent="0.3">
      <c r="A421" s="35"/>
    </row>
    <row r="422" spans="1:1" x14ac:dyDescent="0.3">
      <c r="A422" s="35"/>
    </row>
    <row r="423" spans="1:1" x14ac:dyDescent="0.3">
      <c r="A423" s="35"/>
    </row>
    <row r="424" spans="1:1" x14ac:dyDescent="0.3">
      <c r="A424" s="35"/>
    </row>
    <row r="425" spans="1:1" x14ac:dyDescent="0.3">
      <c r="A425" s="35"/>
    </row>
    <row r="426" spans="1:1" x14ac:dyDescent="0.3">
      <c r="A426" s="35"/>
    </row>
    <row r="427" spans="1:1" x14ac:dyDescent="0.3">
      <c r="A427" s="35"/>
    </row>
    <row r="428" spans="1:1" x14ac:dyDescent="0.3">
      <c r="A428" s="35"/>
    </row>
    <row r="429" spans="1:1" x14ac:dyDescent="0.3">
      <c r="A429" s="35"/>
    </row>
    <row r="430" spans="1:1" x14ac:dyDescent="0.3">
      <c r="A430" s="35"/>
    </row>
    <row r="431" spans="1:1" x14ac:dyDescent="0.3">
      <c r="A431" s="35"/>
    </row>
    <row r="432" spans="1:1" x14ac:dyDescent="0.3">
      <c r="A432" s="35"/>
    </row>
    <row r="433" spans="1:1" x14ac:dyDescent="0.3">
      <c r="A433" s="35"/>
    </row>
    <row r="434" spans="1:1" x14ac:dyDescent="0.3">
      <c r="A434" s="35"/>
    </row>
    <row r="435" spans="1:1" x14ac:dyDescent="0.3">
      <c r="A435" s="35"/>
    </row>
    <row r="436" spans="1:1" x14ac:dyDescent="0.3">
      <c r="A436" s="35"/>
    </row>
    <row r="437" spans="1:1" x14ac:dyDescent="0.3">
      <c r="A437" s="35"/>
    </row>
    <row r="438" spans="1:1" x14ac:dyDescent="0.3">
      <c r="A438" s="35"/>
    </row>
    <row r="439" spans="1:1" x14ac:dyDescent="0.3">
      <c r="A439" s="35"/>
    </row>
    <row r="440" spans="1:1" x14ac:dyDescent="0.3">
      <c r="A440" s="35"/>
    </row>
    <row r="441" spans="1:1" x14ac:dyDescent="0.3">
      <c r="A441" s="35"/>
    </row>
    <row r="442" spans="1:1" x14ac:dyDescent="0.3">
      <c r="A442" s="35"/>
    </row>
    <row r="443" spans="1:1" x14ac:dyDescent="0.3">
      <c r="A443" s="35"/>
    </row>
    <row r="444" spans="1:1" x14ac:dyDescent="0.3">
      <c r="A444" s="35"/>
    </row>
    <row r="445" spans="1:1" x14ac:dyDescent="0.3">
      <c r="A445" s="35"/>
    </row>
    <row r="446" spans="1:1" x14ac:dyDescent="0.3">
      <c r="A446" s="35"/>
    </row>
    <row r="447" spans="1:1" x14ac:dyDescent="0.3">
      <c r="A447" s="35"/>
    </row>
    <row r="448" spans="1:1" x14ac:dyDescent="0.3">
      <c r="A448" s="35"/>
    </row>
    <row r="449" spans="1:1" x14ac:dyDescent="0.3">
      <c r="A449" s="35"/>
    </row>
    <row r="450" spans="1:1" x14ac:dyDescent="0.3">
      <c r="A450" s="35"/>
    </row>
    <row r="451" spans="1:1" x14ac:dyDescent="0.3">
      <c r="A451" s="35"/>
    </row>
    <row r="452" spans="1:1" x14ac:dyDescent="0.3">
      <c r="A452" s="35"/>
    </row>
    <row r="453" spans="1:1" x14ac:dyDescent="0.3">
      <c r="A453" s="35"/>
    </row>
    <row r="454" spans="1:1" x14ac:dyDescent="0.3">
      <c r="A454" s="35"/>
    </row>
    <row r="455" spans="1:1" x14ac:dyDescent="0.3">
      <c r="A455" s="35"/>
    </row>
    <row r="456" spans="1:1" x14ac:dyDescent="0.3">
      <c r="A456" s="35"/>
    </row>
    <row r="457" spans="1:1" x14ac:dyDescent="0.3">
      <c r="A457" s="35"/>
    </row>
    <row r="458" spans="1:1" x14ac:dyDescent="0.3">
      <c r="A458" s="35"/>
    </row>
    <row r="459" spans="1:1" x14ac:dyDescent="0.3">
      <c r="A459" s="35"/>
    </row>
    <row r="460" spans="1:1" x14ac:dyDescent="0.3">
      <c r="A460" s="35"/>
    </row>
    <row r="461" spans="1:1" x14ac:dyDescent="0.3">
      <c r="A461" s="35"/>
    </row>
    <row r="462" spans="1:1" x14ac:dyDescent="0.3">
      <c r="A462" s="35"/>
    </row>
    <row r="463" spans="1:1" x14ac:dyDescent="0.3">
      <c r="A463" s="35"/>
    </row>
    <row r="464" spans="1:1" x14ac:dyDescent="0.3">
      <c r="A464" s="35"/>
    </row>
    <row r="465" spans="1:1" x14ac:dyDescent="0.3">
      <c r="A465" s="35"/>
    </row>
    <row r="466" spans="1:1" x14ac:dyDescent="0.3">
      <c r="A466" s="35"/>
    </row>
    <row r="467" spans="1:1" x14ac:dyDescent="0.3">
      <c r="A467" s="35"/>
    </row>
    <row r="468" spans="1:1" x14ac:dyDescent="0.3">
      <c r="A468" s="35"/>
    </row>
    <row r="469" spans="1:1" x14ac:dyDescent="0.3">
      <c r="A469" s="35"/>
    </row>
    <row r="470" spans="1:1" x14ac:dyDescent="0.3">
      <c r="A470" s="35"/>
    </row>
    <row r="471" spans="1:1" x14ac:dyDescent="0.3">
      <c r="A471" s="35"/>
    </row>
    <row r="472" spans="1:1" x14ac:dyDescent="0.3">
      <c r="A472" s="35"/>
    </row>
    <row r="473" spans="1:1" x14ac:dyDescent="0.3">
      <c r="A473" s="35"/>
    </row>
    <row r="474" spans="1:1" x14ac:dyDescent="0.3">
      <c r="A474" s="35"/>
    </row>
    <row r="475" spans="1:1" x14ac:dyDescent="0.3">
      <c r="A475" s="35"/>
    </row>
    <row r="476" spans="1:1" x14ac:dyDescent="0.3">
      <c r="A476" s="35"/>
    </row>
    <row r="477" spans="1:1" x14ac:dyDescent="0.3">
      <c r="A477" s="35"/>
    </row>
    <row r="478" spans="1:1" x14ac:dyDescent="0.3">
      <c r="A478" s="35"/>
    </row>
    <row r="479" spans="1:1" x14ac:dyDescent="0.3">
      <c r="A479" s="35"/>
    </row>
    <row r="480" spans="1:1" x14ac:dyDescent="0.3">
      <c r="A480" s="35"/>
    </row>
    <row r="481" spans="1:1" x14ac:dyDescent="0.3">
      <c r="A481" s="35"/>
    </row>
    <row r="482" spans="1:1" x14ac:dyDescent="0.3">
      <c r="A482" s="35"/>
    </row>
    <row r="483" spans="1:1" x14ac:dyDescent="0.3">
      <c r="A483" s="35"/>
    </row>
    <row r="484" spans="1:1" x14ac:dyDescent="0.3">
      <c r="A484" s="35"/>
    </row>
    <row r="485" spans="1:1" x14ac:dyDescent="0.3">
      <c r="A485" s="35"/>
    </row>
    <row r="486" spans="1:1" x14ac:dyDescent="0.3">
      <c r="A486" s="35"/>
    </row>
    <row r="487" spans="1:1" x14ac:dyDescent="0.3">
      <c r="A487" s="35"/>
    </row>
    <row r="488" spans="1:1" x14ac:dyDescent="0.3">
      <c r="A488" s="35"/>
    </row>
    <row r="489" spans="1:1" x14ac:dyDescent="0.3">
      <c r="A489" s="35"/>
    </row>
    <row r="490" spans="1:1" x14ac:dyDescent="0.3">
      <c r="A490" s="35"/>
    </row>
    <row r="491" spans="1:1" x14ac:dyDescent="0.3">
      <c r="A491" s="35"/>
    </row>
    <row r="492" spans="1:1" x14ac:dyDescent="0.3">
      <c r="A492" s="35"/>
    </row>
    <row r="493" spans="1:1" x14ac:dyDescent="0.3">
      <c r="A493" s="35"/>
    </row>
    <row r="494" spans="1:1" x14ac:dyDescent="0.3">
      <c r="A494" s="35"/>
    </row>
    <row r="495" spans="1:1" x14ac:dyDescent="0.3">
      <c r="A495" s="35"/>
    </row>
    <row r="496" spans="1:1" x14ac:dyDescent="0.3">
      <c r="A496" s="35"/>
    </row>
    <row r="497" spans="1:1" x14ac:dyDescent="0.3">
      <c r="A497" s="35"/>
    </row>
    <row r="498" spans="1:1" x14ac:dyDescent="0.3">
      <c r="A498" s="35"/>
    </row>
    <row r="499" spans="1:1" x14ac:dyDescent="0.3">
      <c r="A499" s="35"/>
    </row>
    <row r="500" spans="1:1" x14ac:dyDescent="0.3">
      <c r="A500" s="35"/>
    </row>
    <row r="501" spans="1:1" x14ac:dyDescent="0.3">
      <c r="A501" s="35"/>
    </row>
    <row r="502" spans="1:1" x14ac:dyDescent="0.3">
      <c r="A502" s="35"/>
    </row>
    <row r="503" spans="1:1" x14ac:dyDescent="0.3">
      <c r="A503" s="35"/>
    </row>
    <row r="504" spans="1:1" x14ac:dyDescent="0.3">
      <c r="A504" s="35"/>
    </row>
    <row r="505" spans="1:1" x14ac:dyDescent="0.3">
      <c r="A505" s="35"/>
    </row>
    <row r="506" spans="1:1" x14ac:dyDescent="0.3">
      <c r="A506" s="35"/>
    </row>
    <row r="507" spans="1:1" x14ac:dyDescent="0.3">
      <c r="A507" s="35"/>
    </row>
    <row r="508" spans="1:1" x14ac:dyDescent="0.3">
      <c r="A508" s="35"/>
    </row>
    <row r="509" spans="1:1" x14ac:dyDescent="0.3">
      <c r="A509" s="35"/>
    </row>
    <row r="510" spans="1:1" x14ac:dyDescent="0.3">
      <c r="A510" s="35"/>
    </row>
    <row r="511" spans="1:1" x14ac:dyDescent="0.3">
      <c r="A511" s="35"/>
    </row>
    <row r="512" spans="1:1" x14ac:dyDescent="0.3">
      <c r="A512" s="35"/>
    </row>
    <row r="513" spans="1:1" x14ac:dyDescent="0.3">
      <c r="A513" s="35"/>
    </row>
    <row r="514" spans="1:1" x14ac:dyDescent="0.3">
      <c r="A514" s="35"/>
    </row>
    <row r="515" spans="1:1" x14ac:dyDescent="0.3">
      <c r="A515" s="35"/>
    </row>
    <row r="516" spans="1:1" x14ac:dyDescent="0.3">
      <c r="A516" s="35"/>
    </row>
    <row r="517" spans="1:1" x14ac:dyDescent="0.3">
      <c r="A517" s="35"/>
    </row>
    <row r="518" spans="1:1" x14ac:dyDescent="0.3">
      <c r="A518" s="35"/>
    </row>
    <row r="519" spans="1:1" x14ac:dyDescent="0.3">
      <c r="A519" s="35"/>
    </row>
    <row r="520" spans="1:1" x14ac:dyDescent="0.3">
      <c r="A520" s="35"/>
    </row>
    <row r="521" spans="1:1" x14ac:dyDescent="0.3">
      <c r="A521" s="35"/>
    </row>
    <row r="522" spans="1:1" x14ac:dyDescent="0.3">
      <c r="A522" s="35"/>
    </row>
    <row r="523" spans="1:1" x14ac:dyDescent="0.3">
      <c r="A523" s="35"/>
    </row>
    <row r="524" spans="1:1" x14ac:dyDescent="0.3">
      <c r="A524" s="35"/>
    </row>
    <row r="525" spans="1:1" x14ac:dyDescent="0.3">
      <c r="A525" s="35"/>
    </row>
    <row r="526" spans="1:1" x14ac:dyDescent="0.3">
      <c r="A526" s="35"/>
    </row>
    <row r="527" spans="1:1" x14ac:dyDescent="0.3">
      <c r="A527" s="35"/>
    </row>
    <row r="528" spans="1:1" x14ac:dyDescent="0.3">
      <c r="A528" s="35"/>
    </row>
    <row r="529" spans="1:1" x14ac:dyDescent="0.3">
      <c r="A529" s="35"/>
    </row>
    <row r="530" spans="1:1" x14ac:dyDescent="0.3">
      <c r="A530" s="35"/>
    </row>
    <row r="531" spans="1:1" x14ac:dyDescent="0.3">
      <c r="A531" s="35"/>
    </row>
    <row r="532" spans="1:1" x14ac:dyDescent="0.3">
      <c r="A532" s="35"/>
    </row>
    <row r="533" spans="1:1" x14ac:dyDescent="0.3">
      <c r="A533" s="35"/>
    </row>
    <row r="534" spans="1:1" x14ac:dyDescent="0.3">
      <c r="A534" s="35"/>
    </row>
    <row r="535" spans="1:1" x14ac:dyDescent="0.3">
      <c r="A535" s="35"/>
    </row>
    <row r="536" spans="1:1" x14ac:dyDescent="0.3">
      <c r="A536" s="35"/>
    </row>
    <row r="537" spans="1:1" x14ac:dyDescent="0.3">
      <c r="A537" s="35"/>
    </row>
    <row r="538" spans="1:1" x14ac:dyDescent="0.3">
      <c r="A538" s="35"/>
    </row>
    <row r="539" spans="1:1" x14ac:dyDescent="0.3">
      <c r="A539" s="35"/>
    </row>
    <row r="540" spans="1:1" x14ac:dyDescent="0.3">
      <c r="A540" s="35"/>
    </row>
    <row r="541" spans="1:1" x14ac:dyDescent="0.3">
      <c r="A541" s="35"/>
    </row>
    <row r="542" spans="1:1" x14ac:dyDescent="0.3">
      <c r="A542" s="35"/>
    </row>
    <row r="543" spans="1:1" x14ac:dyDescent="0.3">
      <c r="A543" s="35"/>
    </row>
    <row r="544" spans="1:1" x14ac:dyDescent="0.3">
      <c r="A544" s="35"/>
    </row>
    <row r="545" spans="1:1" x14ac:dyDescent="0.3">
      <c r="A545" s="35"/>
    </row>
    <row r="546" spans="1:1" x14ac:dyDescent="0.3">
      <c r="A546" s="35"/>
    </row>
    <row r="547" spans="1:1" x14ac:dyDescent="0.3">
      <c r="A547" s="35"/>
    </row>
    <row r="548" spans="1:1" x14ac:dyDescent="0.3">
      <c r="A548" s="35"/>
    </row>
    <row r="549" spans="1:1" x14ac:dyDescent="0.3">
      <c r="A549" s="35"/>
    </row>
    <row r="550" spans="1:1" x14ac:dyDescent="0.3">
      <c r="A550" s="35"/>
    </row>
    <row r="551" spans="1:1" x14ac:dyDescent="0.3">
      <c r="A551" s="35"/>
    </row>
    <row r="552" spans="1:1" x14ac:dyDescent="0.3">
      <c r="A552" s="35"/>
    </row>
    <row r="553" spans="1:1" x14ac:dyDescent="0.3">
      <c r="A553" s="35"/>
    </row>
    <row r="554" spans="1:1" x14ac:dyDescent="0.3">
      <c r="A554" s="35"/>
    </row>
    <row r="555" spans="1:1" x14ac:dyDescent="0.3">
      <c r="A555" s="35"/>
    </row>
    <row r="556" spans="1:1" x14ac:dyDescent="0.3">
      <c r="A556" s="35"/>
    </row>
    <row r="557" spans="1:1" x14ac:dyDescent="0.3">
      <c r="A557" s="35"/>
    </row>
    <row r="558" spans="1:1" x14ac:dyDescent="0.3">
      <c r="A558" s="35"/>
    </row>
    <row r="559" spans="1:1" x14ac:dyDescent="0.3">
      <c r="A559" s="35"/>
    </row>
    <row r="560" spans="1:1" x14ac:dyDescent="0.3">
      <c r="A560" s="35"/>
    </row>
    <row r="561" spans="1:1" x14ac:dyDescent="0.3">
      <c r="A561" s="35"/>
    </row>
    <row r="562" spans="1:1" x14ac:dyDescent="0.3">
      <c r="A562" s="35"/>
    </row>
    <row r="563" spans="1:1" x14ac:dyDescent="0.3">
      <c r="A563" s="35"/>
    </row>
    <row r="564" spans="1:1" x14ac:dyDescent="0.3">
      <c r="A564" s="35"/>
    </row>
    <row r="565" spans="1:1" x14ac:dyDescent="0.3">
      <c r="A565" s="35"/>
    </row>
    <row r="566" spans="1:1" x14ac:dyDescent="0.3">
      <c r="A566" s="35"/>
    </row>
    <row r="567" spans="1:1" x14ac:dyDescent="0.3">
      <c r="A567" s="35"/>
    </row>
    <row r="568" spans="1:1" x14ac:dyDescent="0.3">
      <c r="A568" s="35"/>
    </row>
    <row r="569" spans="1:1" x14ac:dyDescent="0.3">
      <c r="A569" s="35"/>
    </row>
    <row r="570" spans="1:1" x14ac:dyDescent="0.3">
      <c r="A570" s="35"/>
    </row>
    <row r="571" spans="1:1" x14ac:dyDescent="0.3">
      <c r="A571" s="35"/>
    </row>
    <row r="572" spans="1:1" x14ac:dyDescent="0.3">
      <c r="A572" s="35"/>
    </row>
    <row r="573" spans="1:1" x14ac:dyDescent="0.3">
      <c r="A573" s="35"/>
    </row>
    <row r="574" spans="1:1" x14ac:dyDescent="0.3">
      <c r="A574" s="35"/>
    </row>
    <row r="575" spans="1:1" x14ac:dyDescent="0.3">
      <c r="A575" s="35"/>
    </row>
    <row r="576" spans="1:1" x14ac:dyDescent="0.3">
      <c r="A576" s="35"/>
    </row>
    <row r="577" spans="1:1" x14ac:dyDescent="0.3">
      <c r="A577" s="35"/>
    </row>
    <row r="578" spans="1:1" x14ac:dyDescent="0.3">
      <c r="A578" s="35"/>
    </row>
    <row r="579" spans="1:1" x14ac:dyDescent="0.3">
      <c r="A579" s="35"/>
    </row>
    <row r="580" spans="1:1" x14ac:dyDescent="0.3">
      <c r="A580" s="35"/>
    </row>
    <row r="581" spans="1:1" x14ac:dyDescent="0.3">
      <c r="A581" s="35"/>
    </row>
    <row r="582" spans="1:1" x14ac:dyDescent="0.3">
      <c r="A582" s="35"/>
    </row>
    <row r="583" spans="1:1" x14ac:dyDescent="0.3">
      <c r="A583" s="35"/>
    </row>
    <row r="584" spans="1:1" x14ac:dyDescent="0.3">
      <c r="A584" s="35"/>
    </row>
    <row r="585" spans="1:1" x14ac:dyDescent="0.3">
      <c r="A585" s="35"/>
    </row>
    <row r="586" spans="1:1" x14ac:dyDescent="0.3">
      <c r="A586" s="35"/>
    </row>
    <row r="587" spans="1:1" x14ac:dyDescent="0.3">
      <c r="A587" s="35"/>
    </row>
    <row r="588" spans="1:1" x14ac:dyDescent="0.3">
      <c r="A588" s="35"/>
    </row>
    <row r="589" spans="1:1" x14ac:dyDescent="0.3">
      <c r="A589" s="35"/>
    </row>
    <row r="590" spans="1:1" x14ac:dyDescent="0.3">
      <c r="A590" s="35"/>
    </row>
    <row r="591" spans="1:1" x14ac:dyDescent="0.3">
      <c r="A591" s="35"/>
    </row>
    <row r="592" spans="1:1" x14ac:dyDescent="0.3">
      <c r="A592" s="35"/>
    </row>
    <row r="593" spans="1:1" x14ac:dyDescent="0.3">
      <c r="A593" s="35"/>
    </row>
    <row r="594" spans="1:1" x14ac:dyDescent="0.3">
      <c r="A594" s="35"/>
    </row>
    <row r="595" spans="1:1" x14ac:dyDescent="0.3">
      <c r="A595" s="35"/>
    </row>
    <row r="596" spans="1:1" x14ac:dyDescent="0.3">
      <c r="A596" s="35"/>
    </row>
    <row r="597" spans="1:1" x14ac:dyDescent="0.3">
      <c r="A597" s="35"/>
    </row>
    <row r="598" spans="1:1" x14ac:dyDescent="0.3">
      <c r="A598" s="35"/>
    </row>
    <row r="599" spans="1:1" x14ac:dyDescent="0.3">
      <c r="A599" s="35"/>
    </row>
    <row r="600" spans="1:1" x14ac:dyDescent="0.3">
      <c r="A600" s="35"/>
    </row>
    <row r="601" spans="1:1" x14ac:dyDescent="0.3">
      <c r="A601" s="35"/>
    </row>
    <row r="602" spans="1:1" x14ac:dyDescent="0.3">
      <c r="A602" s="35"/>
    </row>
    <row r="603" spans="1:1" x14ac:dyDescent="0.3">
      <c r="A603" s="35"/>
    </row>
    <row r="604" spans="1:1" x14ac:dyDescent="0.3">
      <c r="A604" s="35"/>
    </row>
    <row r="605" spans="1:1" x14ac:dyDescent="0.3">
      <c r="A605" s="35"/>
    </row>
    <row r="606" spans="1:1" x14ac:dyDescent="0.3">
      <c r="A606" s="35"/>
    </row>
    <row r="607" spans="1:1" x14ac:dyDescent="0.3">
      <c r="A607" s="35"/>
    </row>
    <row r="608" spans="1:1" x14ac:dyDescent="0.3">
      <c r="A608" s="35"/>
    </row>
    <row r="609" spans="1:1" x14ac:dyDescent="0.3">
      <c r="A609" s="35"/>
    </row>
    <row r="610" spans="1:1" x14ac:dyDescent="0.3">
      <c r="A610" s="35"/>
    </row>
    <row r="611" spans="1:1" x14ac:dyDescent="0.3">
      <c r="A611" s="35"/>
    </row>
    <row r="612" spans="1:1" x14ac:dyDescent="0.3">
      <c r="A612" s="35"/>
    </row>
    <row r="613" spans="1:1" x14ac:dyDescent="0.3">
      <c r="A613" s="35"/>
    </row>
    <row r="614" spans="1:1" x14ac:dyDescent="0.3">
      <c r="A614" s="35"/>
    </row>
    <row r="615" spans="1:1" x14ac:dyDescent="0.3">
      <c r="A615" s="35"/>
    </row>
    <row r="616" spans="1:1" x14ac:dyDescent="0.3">
      <c r="A616" s="35"/>
    </row>
    <row r="617" spans="1:1" x14ac:dyDescent="0.3">
      <c r="A617" s="35"/>
    </row>
    <row r="618" spans="1:1" x14ac:dyDescent="0.3">
      <c r="A618" s="35"/>
    </row>
    <row r="619" spans="1:1" x14ac:dyDescent="0.3">
      <c r="A619" s="35"/>
    </row>
    <row r="620" spans="1:1" x14ac:dyDescent="0.3">
      <c r="A620" s="35"/>
    </row>
    <row r="621" spans="1:1" x14ac:dyDescent="0.3">
      <c r="A621" s="35"/>
    </row>
    <row r="622" spans="1:1" x14ac:dyDescent="0.3">
      <c r="A622" s="35"/>
    </row>
    <row r="623" spans="1:1" x14ac:dyDescent="0.3">
      <c r="A623" s="35"/>
    </row>
    <row r="624" spans="1:1" x14ac:dyDescent="0.3">
      <c r="A624" s="35"/>
    </row>
    <row r="625" spans="1:1" x14ac:dyDescent="0.3">
      <c r="A625" s="35"/>
    </row>
    <row r="626" spans="1:1" x14ac:dyDescent="0.3">
      <c r="A626" s="35"/>
    </row>
    <row r="627" spans="1:1" x14ac:dyDescent="0.3">
      <c r="A627" s="35"/>
    </row>
    <row r="628" spans="1:1" x14ac:dyDescent="0.3">
      <c r="A628" s="35"/>
    </row>
    <row r="629" spans="1:1" x14ac:dyDescent="0.3">
      <c r="A629" s="35"/>
    </row>
    <row r="630" spans="1:1" x14ac:dyDescent="0.3">
      <c r="A630" s="35"/>
    </row>
    <row r="631" spans="1:1" x14ac:dyDescent="0.3">
      <c r="A631" s="35"/>
    </row>
    <row r="632" spans="1:1" x14ac:dyDescent="0.3">
      <c r="A632" s="35"/>
    </row>
    <row r="633" spans="1:1" x14ac:dyDescent="0.3">
      <c r="A633" s="35"/>
    </row>
    <row r="634" spans="1:1" x14ac:dyDescent="0.3">
      <c r="A634" s="35"/>
    </row>
    <row r="635" spans="1:1" x14ac:dyDescent="0.3">
      <c r="A635" s="35"/>
    </row>
    <row r="636" spans="1:1" x14ac:dyDescent="0.3">
      <c r="A636" s="35"/>
    </row>
    <row r="637" spans="1:1" x14ac:dyDescent="0.3">
      <c r="A637" s="35"/>
    </row>
    <row r="638" spans="1:1" x14ac:dyDescent="0.3">
      <c r="A638" s="35"/>
    </row>
    <row r="639" spans="1:1" x14ac:dyDescent="0.3">
      <c r="A639" s="35"/>
    </row>
    <row r="640" spans="1:1" x14ac:dyDescent="0.3">
      <c r="A640" s="35"/>
    </row>
    <row r="641" spans="1:1" x14ac:dyDescent="0.3">
      <c r="A641" s="35"/>
    </row>
    <row r="642" spans="1:1" x14ac:dyDescent="0.3">
      <c r="A642" s="35"/>
    </row>
    <row r="643" spans="1:1" x14ac:dyDescent="0.3">
      <c r="A643" s="35"/>
    </row>
    <row r="644" spans="1:1" x14ac:dyDescent="0.3">
      <c r="A644" s="35"/>
    </row>
    <row r="645" spans="1:1" x14ac:dyDescent="0.3">
      <c r="A645" s="35"/>
    </row>
    <row r="646" spans="1:1" x14ac:dyDescent="0.3">
      <c r="A646" s="35"/>
    </row>
    <row r="647" spans="1:1" x14ac:dyDescent="0.3">
      <c r="A647" s="35"/>
    </row>
    <row r="648" spans="1:1" x14ac:dyDescent="0.3">
      <c r="A648" s="35"/>
    </row>
    <row r="649" spans="1:1" x14ac:dyDescent="0.3">
      <c r="A649" s="35"/>
    </row>
    <row r="650" spans="1:1" x14ac:dyDescent="0.3">
      <c r="A650" s="35"/>
    </row>
    <row r="651" spans="1:1" x14ac:dyDescent="0.3">
      <c r="A651" s="35"/>
    </row>
    <row r="652" spans="1:1" x14ac:dyDescent="0.3">
      <c r="A652" s="35"/>
    </row>
    <row r="653" spans="1:1" x14ac:dyDescent="0.3">
      <c r="A653" s="35"/>
    </row>
    <row r="654" spans="1:1" x14ac:dyDescent="0.3">
      <c r="A654" s="35"/>
    </row>
    <row r="655" spans="1:1" x14ac:dyDescent="0.3">
      <c r="A655" s="35"/>
    </row>
    <row r="656" spans="1:1" x14ac:dyDescent="0.3">
      <c r="A656" s="35"/>
    </row>
    <row r="657" spans="1:1" x14ac:dyDescent="0.3">
      <c r="A657" s="35"/>
    </row>
    <row r="658" spans="1:1" x14ac:dyDescent="0.3">
      <c r="A658" s="35"/>
    </row>
    <row r="659" spans="1:1" x14ac:dyDescent="0.3">
      <c r="A659" s="35"/>
    </row>
    <row r="660" spans="1:1" x14ac:dyDescent="0.3">
      <c r="A660" s="35"/>
    </row>
    <row r="661" spans="1:1" x14ac:dyDescent="0.3">
      <c r="A661" s="35"/>
    </row>
    <row r="662" spans="1:1" x14ac:dyDescent="0.3">
      <c r="A662" s="35"/>
    </row>
    <row r="663" spans="1:1" x14ac:dyDescent="0.3">
      <c r="A663" s="35"/>
    </row>
    <row r="664" spans="1:1" x14ac:dyDescent="0.3">
      <c r="A664" s="35"/>
    </row>
    <row r="665" spans="1:1" x14ac:dyDescent="0.3">
      <c r="A665" s="35"/>
    </row>
    <row r="666" spans="1:1" x14ac:dyDescent="0.3">
      <c r="A666" s="35"/>
    </row>
    <row r="667" spans="1:1" x14ac:dyDescent="0.3">
      <c r="A667" s="35"/>
    </row>
    <row r="668" spans="1:1" x14ac:dyDescent="0.3">
      <c r="A668" s="35"/>
    </row>
    <row r="669" spans="1:1" x14ac:dyDescent="0.3">
      <c r="A669" s="35"/>
    </row>
    <row r="670" spans="1:1" x14ac:dyDescent="0.3">
      <c r="A670" s="35"/>
    </row>
    <row r="671" spans="1:1" x14ac:dyDescent="0.3">
      <c r="A671" s="35"/>
    </row>
    <row r="672" spans="1:1" x14ac:dyDescent="0.3">
      <c r="A672" s="35"/>
    </row>
    <row r="673" spans="1:1" x14ac:dyDescent="0.3">
      <c r="A673" s="35"/>
    </row>
    <row r="674" spans="1:1" x14ac:dyDescent="0.3">
      <c r="A674" s="35"/>
    </row>
    <row r="675" spans="1:1" x14ac:dyDescent="0.3">
      <c r="A675" s="35"/>
    </row>
    <row r="676" spans="1:1" x14ac:dyDescent="0.3">
      <c r="A676" s="35"/>
    </row>
    <row r="677" spans="1:1" x14ac:dyDescent="0.3">
      <c r="A677" s="35"/>
    </row>
    <row r="678" spans="1:1" x14ac:dyDescent="0.3">
      <c r="A678" s="35"/>
    </row>
    <row r="679" spans="1:1" x14ac:dyDescent="0.3">
      <c r="A679" s="35"/>
    </row>
    <row r="680" spans="1:1" x14ac:dyDescent="0.3">
      <c r="A680" s="35"/>
    </row>
    <row r="681" spans="1:1" x14ac:dyDescent="0.3">
      <c r="A681" s="35"/>
    </row>
    <row r="682" spans="1:1" x14ac:dyDescent="0.3">
      <c r="A682" s="35"/>
    </row>
    <row r="683" spans="1:1" x14ac:dyDescent="0.3">
      <c r="A683" s="35"/>
    </row>
    <row r="684" spans="1:1" x14ac:dyDescent="0.3">
      <c r="A684" s="35"/>
    </row>
    <row r="685" spans="1:1" x14ac:dyDescent="0.3">
      <c r="A685" s="35"/>
    </row>
    <row r="686" spans="1:1" x14ac:dyDescent="0.3">
      <c r="A686" s="35"/>
    </row>
    <row r="687" spans="1:1" x14ac:dyDescent="0.3">
      <c r="A687" s="35"/>
    </row>
    <row r="688" spans="1:1" x14ac:dyDescent="0.3">
      <c r="A688" s="35"/>
    </row>
    <row r="689" spans="1:1" x14ac:dyDescent="0.3">
      <c r="A689" s="35"/>
    </row>
    <row r="690" spans="1:1" x14ac:dyDescent="0.3">
      <c r="A690" s="35"/>
    </row>
    <row r="691" spans="1:1" x14ac:dyDescent="0.3">
      <c r="A691" s="35"/>
    </row>
    <row r="692" spans="1:1" x14ac:dyDescent="0.3">
      <c r="A692" s="35"/>
    </row>
    <row r="693" spans="1:1" x14ac:dyDescent="0.3">
      <c r="A693" s="35"/>
    </row>
    <row r="694" spans="1:1" x14ac:dyDescent="0.3">
      <c r="A694" s="35"/>
    </row>
    <row r="695" spans="1:1" x14ac:dyDescent="0.3">
      <c r="A695" s="35"/>
    </row>
    <row r="696" spans="1:1" x14ac:dyDescent="0.3">
      <c r="A696" s="35"/>
    </row>
    <row r="697" spans="1:1" x14ac:dyDescent="0.3">
      <c r="A697" s="35"/>
    </row>
    <row r="698" spans="1:1" x14ac:dyDescent="0.3">
      <c r="A698" s="35"/>
    </row>
    <row r="699" spans="1:1" x14ac:dyDescent="0.3">
      <c r="A699" s="35"/>
    </row>
    <row r="700" spans="1:1" x14ac:dyDescent="0.3">
      <c r="A700" s="35"/>
    </row>
    <row r="701" spans="1:1" x14ac:dyDescent="0.3">
      <c r="A701" s="35"/>
    </row>
    <row r="702" spans="1:1" x14ac:dyDescent="0.3">
      <c r="A702" s="35"/>
    </row>
    <row r="703" spans="1:1" x14ac:dyDescent="0.3">
      <c r="A703" s="35"/>
    </row>
    <row r="704" spans="1:1" x14ac:dyDescent="0.3">
      <c r="A704" s="35"/>
    </row>
    <row r="705" spans="1:1" x14ac:dyDescent="0.3">
      <c r="A705" s="35"/>
    </row>
    <row r="706" spans="1:1" x14ac:dyDescent="0.3">
      <c r="A706" s="35"/>
    </row>
    <row r="707" spans="1:1" x14ac:dyDescent="0.3">
      <c r="A707" s="35"/>
    </row>
    <row r="708" spans="1:1" x14ac:dyDescent="0.3">
      <c r="A708" s="35"/>
    </row>
    <row r="709" spans="1:1" x14ac:dyDescent="0.3">
      <c r="A709" s="35"/>
    </row>
    <row r="710" spans="1:1" x14ac:dyDescent="0.3">
      <c r="A710" s="35"/>
    </row>
    <row r="711" spans="1:1" x14ac:dyDescent="0.3">
      <c r="A711" s="35"/>
    </row>
    <row r="712" spans="1:1" x14ac:dyDescent="0.3">
      <c r="A712" s="35"/>
    </row>
    <row r="713" spans="1:1" x14ac:dyDescent="0.3">
      <c r="A713" s="35"/>
    </row>
    <row r="714" spans="1:1" x14ac:dyDescent="0.3">
      <c r="A714" s="35"/>
    </row>
    <row r="715" spans="1:1" x14ac:dyDescent="0.3">
      <c r="A715" s="35"/>
    </row>
    <row r="716" spans="1:1" x14ac:dyDescent="0.3">
      <c r="A716" s="35"/>
    </row>
    <row r="717" spans="1:1" x14ac:dyDescent="0.3">
      <c r="A717" s="35"/>
    </row>
    <row r="718" spans="1:1" x14ac:dyDescent="0.3">
      <c r="A718" s="35"/>
    </row>
    <row r="719" spans="1:1" x14ac:dyDescent="0.3">
      <c r="A719" s="35"/>
    </row>
    <row r="720" spans="1:1" x14ac:dyDescent="0.3">
      <c r="A720" s="35"/>
    </row>
    <row r="721" spans="1:1" x14ac:dyDescent="0.3">
      <c r="A721" s="35"/>
    </row>
    <row r="722" spans="1:1" x14ac:dyDescent="0.3">
      <c r="A722" s="35"/>
    </row>
    <row r="723" spans="1:1" x14ac:dyDescent="0.3">
      <c r="A723" s="35"/>
    </row>
    <row r="724" spans="1:1" x14ac:dyDescent="0.3">
      <c r="A724" s="35"/>
    </row>
  </sheetData>
  <dataConsolidate/>
  <conditionalFormatting sqref="A1:A724">
    <cfRule type="dataBar" priority="1">
      <dataBar>
        <cfvo type="min"/>
        <cfvo type="max"/>
        <color rgb="FF638EC6"/>
      </dataBar>
      <extLst>
        <ext xmlns:x14="http://schemas.microsoft.com/office/spreadsheetml/2009/9/main" uri="{B025F937-C7B1-47D3-B67F-A62EFF666E3E}">
          <x14:id>{0DE8A0CA-06FB-459A-97C4-9928E2B26FA7}</x14:id>
        </ext>
      </extLs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0DE8A0CA-06FB-459A-97C4-9928E2B26FA7}">
            <x14:dataBar minLength="0" maxLength="100" border="1" negativeBarBorderColorSameAsPositive="0">
              <x14:cfvo type="autoMin"/>
              <x14:cfvo type="autoMax"/>
              <x14:borderColor rgb="FF638EC6"/>
              <x14:negativeFillColor rgb="FFFF0000"/>
              <x14:negativeBorderColor rgb="FFFF0000"/>
              <x14:axisColor rgb="FF000000"/>
            </x14:dataBar>
          </x14:cfRule>
          <xm:sqref>A1:A724</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2"/>
  <dimension ref="A1:A1048574"/>
  <sheetViews>
    <sheetView workbookViewId="0">
      <selection activeCell="A3" sqref="A3"/>
    </sheetView>
  </sheetViews>
  <sheetFormatPr baseColWidth="10" defaultColWidth="0" defaultRowHeight="14.4" x14ac:dyDescent="0.3"/>
  <cols>
    <col min="1" max="1" width="18.21875" style="37" customWidth="1"/>
    <col min="2" max="16384" width="11.44140625" hidden="1"/>
  </cols>
  <sheetData>
    <row r="1" spans="1:1" x14ac:dyDescent="0.3">
      <c r="A1" s="39" t="s">
        <v>1449</v>
      </c>
    </row>
    <row r="2" spans="1:1" x14ac:dyDescent="0.3">
      <c r="A2" s="37" t="s">
        <v>1432</v>
      </c>
    </row>
    <row r="3" spans="1:1" x14ac:dyDescent="0.3">
      <c r="A3" s="37" t="s">
        <v>1421</v>
      </c>
    </row>
    <row r="4" spans="1:1" x14ac:dyDescent="0.3">
      <c r="A4" s="37" t="s">
        <v>1430</v>
      </c>
    </row>
    <row r="5" spans="1:1" x14ac:dyDescent="0.3">
      <c r="A5" s="37" t="s">
        <v>1431</v>
      </c>
    </row>
    <row r="6" spans="1:1" x14ac:dyDescent="0.3">
      <c r="A6" s="37" t="s">
        <v>2199</v>
      </c>
    </row>
    <row r="7" spans="1:1" x14ac:dyDescent="0.3">
      <c r="A7" s="75" t="s">
        <v>2200</v>
      </c>
    </row>
    <row r="8" spans="1:1" x14ac:dyDescent="0.3">
      <c r="A8" s="37" t="s">
        <v>1450</v>
      </c>
    </row>
    <row r="1048574" spans="1:1" x14ac:dyDescent="0.3">
      <c r="A1048574" s="38"/>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5"/>
  <dimension ref="A1:A111"/>
  <sheetViews>
    <sheetView workbookViewId="0">
      <selection activeCell="G1" sqref="G1"/>
    </sheetView>
  </sheetViews>
  <sheetFormatPr baseColWidth="10" defaultColWidth="11.44140625" defaultRowHeight="14.4" x14ac:dyDescent="0.3"/>
  <sheetData>
    <row r="1" spans="1:1" x14ac:dyDescent="0.3">
      <c r="A1" t="s">
        <v>1469</v>
      </c>
    </row>
    <row r="2" spans="1:1" x14ac:dyDescent="0.3">
      <c r="A2" t="s">
        <v>1470</v>
      </c>
    </row>
    <row r="3" spans="1:1" x14ac:dyDescent="0.3">
      <c r="A3" t="s">
        <v>1471</v>
      </c>
    </row>
    <row r="4" spans="1:1" x14ac:dyDescent="0.3">
      <c r="A4" t="s">
        <v>1472</v>
      </c>
    </row>
    <row r="5" spans="1:1" x14ac:dyDescent="0.3">
      <c r="A5" t="s">
        <v>1473</v>
      </c>
    </row>
    <row r="6" spans="1:1" x14ac:dyDescent="0.3">
      <c r="A6" t="s">
        <v>1474</v>
      </c>
    </row>
    <row r="7" spans="1:1" x14ac:dyDescent="0.3">
      <c r="A7" t="s">
        <v>1475</v>
      </c>
    </row>
    <row r="8" spans="1:1" x14ac:dyDescent="0.3">
      <c r="A8" t="s">
        <v>1476</v>
      </c>
    </row>
    <row r="9" spans="1:1" x14ac:dyDescent="0.3">
      <c r="A9" t="s">
        <v>1477</v>
      </c>
    </row>
    <row r="10" spans="1:1" x14ac:dyDescent="0.3">
      <c r="A10" t="s">
        <v>1478</v>
      </c>
    </row>
    <row r="11" spans="1:1" x14ac:dyDescent="0.3">
      <c r="A11" t="s">
        <v>1479</v>
      </c>
    </row>
    <row r="12" spans="1:1" x14ac:dyDescent="0.3">
      <c r="A12" t="s">
        <v>1480</v>
      </c>
    </row>
    <row r="13" spans="1:1" x14ac:dyDescent="0.3">
      <c r="A13" t="s">
        <v>1481</v>
      </c>
    </row>
    <row r="14" spans="1:1" x14ac:dyDescent="0.3">
      <c r="A14" t="s">
        <v>1482</v>
      </c>
    </row>
    <row r="15" spans="1:1" x14ac:dyDescent="0.3">
      <c r="A15" t="s">
        <v>1483</v>
      </c>
    </row>
    <row r="16" spans="1:1" x14ac:dyDescent="0.3">
      <c r="A16" t="s">
        <v>1484</v>
      </c>
    </row>
    <row r="17" spans="1:1" x14ac:dyDescent="0.3">
      <c r="A17" t="s">
        <v>1485</v>
      </c>
    </row>
    <row r="18" spans="1:1" x14ac:dyDescent="0.3">
      <c r="A18" t="s">
        <v>1486</v>
      </c>
    </row>
    <row r="19" spans="1:1" x14ac:dyDescent="0.3">
      <c r="A19" t="s">
        <v>1487</v>
      </c>
    </row>
    <row r="20" spans="1:1" x14ac:dyDescent="0.3">
      <c r="A20" t="s">
        <v>1488</v>
      </c>
    </row>
    <row r="21" spans="1:1" x14ac:dyDescent="0.3">
      <c r="A21" t="s">
        <v>1489</v>
      </c>
    </row>
    <row r="22" spans="1:1" x14ac:dyDescent="0.3">
      <c r="A22" t="s">
        <v>1490</v>
      </c>
    </row>
    <row r="23" spans="1:1" x14ac:dyDescent="0.3">
      <c r="A23" t="s">
        <v>1491</v>
      </c>
    </row>
    <row r="24" spans="1:1" x14ac:dyDescent="0.3">
      <c r="A24" t="s">
        <v>1492</v>
      </c>
    </row>
    <row r="25" spans="1:1" x14ac:dyDescent="0.3">
      <c r="A25" t="s">
        <v>1493</v>
      </c>
    </row>
    <row r="26" spans="1:1" x14ac:dyDescent="0.3">
      <c r="A26" t="s">
        <v>1494</v>
      </c>
    </row>
    <row r="27" spans="1:1" x14ac:dyDescent="0.3">
      <c r="A27" t="s">
        <v>1495</v>
      </c>
    </row>
    <row r="28" spans="1:1" x14ac:dyDescent="0.3">
      <c r="A28" t="s">
        <v>1496</v>
      </c>
    </row>
    <row r="29" spans="1:1" x14ac:dyDescent="0.3">
      <c r="A29" t="s">
        <v>1497</v>
      </c>
    </row>
    <row r="30" spans="1:1" x14ac:dyDescent="0.3">
      <c r="A30" t="s">
        <v>1498</v>
      </c>
    </row>
    <row r="31" spans="1:1" x14ac:dyDescent="0.3">
      <c r="A31" t="s">
        <v>1499</v>
      </c>
    </row>
    <row r="32" spans="1:1" x14ac:dyDescent="0.3">
      <c r="A32" t="s">
        <v>1500</v>
      </c>
    </row>
    <row r="33" spans="1:1" x14ac:dyDescent="0.3">
      <c r="A33" t="s">
        <v>1501</v>
      </c>
    </row>
    <row r="34" spans="1:1" x14ac:dyDescent="0.3">
      <c r="A34" t="s">
        <v>1502</v>
      </c>
    </row>
    <row r="35" spans="1:1" x14ac:dyDescent="0.3">
      <c r="A35" t="s">
        <v>1503</v>
      </c>
    </row>
    <row r="36" spans="1:1" x14ac:dyDescent="0.3">
      <c r="A36" t="s">
        <v>1504</v>
      </c>
    </row>
    <row r="37" spans="1:1" x14ac:dyDescent="0.3">
      <c r="A37" t="s">
        <v>1505</v>
      </c>
    </row>
    <row r="38" spans="1:1" x14ac:dyDescent="0.3">
      <c r="A38" t="s">
        <v>1506</v>
      </c>
    </row>
    <row r="39" spans="1:1" x14ac:dyDescent="0.3">
      <c r="A39" t="s">
        <v>1507</v>
      </c>
    </row>
    <row r="40" spans="1:1" x14ac:dyDescent="0.3">
      <c r="A40" t="s">
        <v>1508</v>
      </c>
    </row>
    <row r="41" spans="1:1" x14ac:dyDescent="0.3">
      <c r="A41" t="s">
        <v>1509</v>
      </c>
    </row>
    <row r="42" spans="1:1" x14ac:dyDescent="0.3">
      <c r="A42" t="s">
        <v>1510</v>
      </c>
    </row>
    <row r="43" spans="1:1" x14ac:dyDescent="0.3">
      <c r="A43" t="s">
        <v>1511</v>
      </c>
    </row>
    <row r="44" spans="1:1" x14ac:dyDescent="0.3">
      <c r="A44" t="s">
        <v>1512</v>
      </c>
    </row>
    <row r="45" spans="1:1" x14ac:dyDescent="0.3">
      <c r="A45" t="s">
        <v>1513</v>
      </c>
    </row>
    <row r="46" spans="1:1" x14ac:dyDescent="0.3">
      <c r="A46" t="s">
        <v>1514</v>
      </c>
    </row>
    <row r="47" spans="1:1" x14ac:dyDescent="0.3">
      <c r="A47" t="s">
        <v>1515</v>
      </c>
    </row>
    <row r="48" spans="1:1" x14ac:dyDescent="0.3">
      <c r="A48" t="s">
        <v>1516</v>
      </c>
    </row>
    <row r="49" spans="1:1" x14ac:dyDescent="0.3">
      <c r="A49" t="s">
        <v>1517</v>
      </c>
    </row>
    <row r="50" spans="1:1" x14ac:dyDescent="0.3">
      <c r="A50" t="s">
        <v>1518</v>
      </c>
    </row>
    <row r="51" spans="1:1" x14ac:dyDescent="0.3">
      <c r="A51" t="s">
        <v>1519</v>
      </c>
    </row>
    <row r="52" spans="1:1" x14ac:dyDescent="0.3">
      <c r="A52" t="s">
        <v>1520</v>
      </c>
    </row>
    <row r="53" spans="1:1" x14ac:dyDescent="0.3">
      <c r="A53" t="s">
        <v>1521</v>
      </c>
    </row>
    <row r="54" spans="1:1" x14ac:dyDescent="0.3">
      <c r="A54" t="s">
        <v>1522</v>
      </c>
    </row>
    <row r="55" spans="1:1" x14ac:dyDescent="0.3">
      <c r="A55" t="s">
        <v>1523</v>
      </c>
    </row>
    <row r="56" spans="1:1" x14ac:dyDescent="0.3">
      <c r="A56" t="s">
        <v>1524</v>
      </c>
    </row>
    <row r="57" spans="1:1" x14ac:dyDescent="0.3">
      <c r="A57" t="s">
        <v>1525</v>
      </c>
    </row>
    <row r="58" spans="1:1" x14ac:dyDescent="0.3">
      <c r="A58" t="s">
        <v>1526</v>
      </c>
    </row>
    <row r="59" spans="1:1" x14ac:dyDescent="0.3">
      <c r="A59" t="s">
        <v>1527</v>
      </c>
    </row>
    <row r="60" spans="1:1" x14ac:dyDescent="0.3">
      <c r="A60" t="s">
        <v>1528</v>
      </c>
    </row>
    <row r="61" spans="1:1" x14ac:dyDescent="0.3">
      <c r="A61" t="s">
        <v>1529</v>
      </c>
    </row>
    <row r="62" spans="1:1" x14ac:dyDescent="0.3">
      <c r="A62" t="s">
        <v>1530</v>
      </c>
    </row>
    <row r="63" spans="1:1" x14ac:dyDescent="0.3">
      <c r="A63" t="s">
        <v>1531</v>
      </c>
    </row>
    <row r="64" spans="1:1" x14ac:dyDescent="0.3">
      <c r="A64" t="s">
        <v>1532</v>
      </c>
    </row>
    <row r="65" spans="1:1" x14ac:dyDescent="0.3">
      <c r="A65" t="s">
        <v>1533</v>
      </c>
    </row>
    <row r="66" spans="1:1" x14ac:dyDescent="0.3">
      <c r="A66" t="s">
        <v>1534</v>
      </c>
    </row>
    <row r="67" spans="1:1" x14ac:dyDescent="0.3">
      <c r="A67" t="s">
        <v>1535</v>
      </c>
    </row>
    <row r="68" spans="1:1" x14ac:dyDescent="0.3">
      <c r="A68" t="s">
        <v>1536</v>
      </c>
    </row>
    <row r="69" spans="1:1" x14ac:dyDescent="0.3">
      <c r="A69" t="s">
        <v>1537</v>
      </c>
    </row>
    <row r="70" spans="1:1" x14ac:dyDescent="0.3">
      <c r="A70" t="s">
        <v>1538</v>
      </c>
    </row>
    <row r="71" spans="1:1" x14ac:dyDescent="0.3">
      <c r="A71" t="s">
        <v>1539</v>
      </c>
    </row>
    <row r="72" spans="1:1" x14ac:dyDescent="0.3">
      <c r="A72" t="s">
        <v>1540</v>
      </c>
    </row>
    <row r="73" spans="1:1" x14ac:dyDescent="0.3">
      <c r="A73" t="s">
        <v>1541</v>
      </c>
    </row>
    <row r="74" spans="1:1" x14ac:dyDescent="0.3">
      <c r="A74" t="s">
        <v>1542</v>
      </c>
    </row>
    <row r="75" spans="1:1" x14ac:dyDescent="0.3">
      <c r="A75" t="s">
        <v>1543</v>
      </c>
    </row>
    <row r="76" spans="1:1" x14ac:dyDescent="0.3">
      <c r="A76" t="s">
        <v>1544</v>
      </c>
    </row>
    <row r="77" spans="1:1" x14ac:dyDescent="0.3">
      <c r="A77" t="s">
        <v>1545</v>
      </c>
    </row>
    <row r="78" spans="1:1" x14ac:dyDescent="0.3">
      <c r="A78" t="s">
        <v>1546</v>
      </c>
    </row>
    <row r="79" spans="1:1" x14ac:dyDescent="0.3">
      <c r="A79" t="s">
        <v>1547</v>
      </c>
    </row>
    <row r="80" spans="1:1" x14ac:dyDescent="0.3">
      <c r="A80" t="s">
        <v>1548</v>
      </c>
    </row>
    <row r="81" spans="1:1" x14ac:dyDescent="0.3">
      <c r="A81" t="s">
        <v>1549</v>
      </c>
    </row>
    <row r="82" spans="1:1" x14ac:dyDescent="0.3">
      <c r="A82" t="s">
        <v>1550</v>
      </c>
    </row>
    <row r="83" spans="1:1" x14ac:dyDescent="0.3">
      <c r="A83" t="s">
        <v>1551</v>
      </c>
    </row>
    <row r="84" spans="1:1" x14ac:dyDescent="0.3">
      <c r="A84" t="s">
        <v>1428</v>
      </c>
    </row>
    <row r="85" spans="1:1" x14ac:dyDescent="0.3">
      <c r="A85" t="s">
        <v>1552</v>
      </c>
    </row>
    <row r="86" spans="1:1" x14ac:dyDescent="0.3">
      <c r="A86" t="s">
        <v>1553</v>
      </c>
    </row>
    <row r="87" spans="1:1" x14ac:dyDescent="0.3">
      <c r="A87" t="s">
        <v>1554</v>
      </c>
    </row>
    <row r="88" spans="1:1" x14ac:dyDescent="0.3">
      <c r="A88" t="s">
        <v>1555</v>
      </c>
    </row>
    <row r="89" spans="1:1" x14ac:dyDescent="0.3">
      <c r="A89" t="s">
        <v>1556</v>
      </c>
    </row>
    <row r="90" spans="1:1" x14ac:dyDescent="0.3">
      <c r="A90" t="s">
        <v>1557</v>
      </c>
    </row>
    <row r="91" spans="1:1" x14ac:dyDescent="0.3">
      <c r="A91" t="s">
        <v>1558</v>
      </c>
    </row>
    <row r="92" spans="1:1" x14ac:dyDescent="0.3">
      <c r="A92" t="s">
        <v>1559</v>
      </c>
    </row>
    <row r="93" spans="1:1" x14ac:dyDescent="0.3">
      <c r="A93" t="s">
        <v>1560</v>
      </c>
    </row>
    <row r="94" spans="1:1" x14ac:dyDescent="0.3">
      <c r="A94" t="s">
        <v>1561</v>
      </c>
    </row>
    <row r="95" spans="1:1" x14ac:dyDescent="0.3">
      <c r="A95" t="s">
        <v>1562</v>
      </c>
    </row>
    <row r="96" spans="1:1" x14ac:dyDescent="0.3">
      <c r="A96" t="s">
        <v>1563</v>
      </c>
    </row>
    <row r="97" spans="1:1" x14ac:dyDescent="0.3">
      <c r="A97" t="s">
        <v>1564</v>
      </c>
    </row>
    <row r="98" spans="1:1" x14ac:dyDescent="0.3">
      <c r="A98" t="s">
        <v>1565</v>
      </c>
    </row>
    <row r="99" spans="1:1" x14ac:dyDescent="0.3">
      <c r="A99" t="s">
        <v>1566</v>
      </c>
    </row>
    <row r="100" spans="1:1" x14ac:dyDescent="0.3">
      <c r="A100" t="s">
        <v>1567</v>
      </c>
    </row>
    <row r="101" spans="1:1" x14ac:dyDescent="0.3">
      <c r="A101" t="s">
        <v>1568</v>
      </c>
    </row>
    <row r="102" spans="1:1" x14ac:dyDescent="0.3">
      <c r="A102" t="s">
        <v>1569</v>
      </c>
    </row>
    <row r="103" spans="1:1" x14ac:dyDescent="0.3">
      <c r="A103" t="s">
        <v>1570</v>
      </c>
    </row>
    <row r="104" spans="1:1" x14ac:dyDescent="0.3">
      <c r="A104" t="s">
        <v>1571</v>
      </c>
    </row>
    <row r="105" spans="1:1" x14ac:dyDescent="0.3">
      <c r="A105" t="s">
        <v>1572</v>
      </c>
    </row>
    <row r="106" spans="1:1" x14ac:dyDescent="0.3">
      <c r="A106" t="s">
        <v>1573</v>
      </c>
    </row>
    <row r="107" spans="1:1" x14ac:dyDescent="0.3">
      <c r="A107" t="s">
        <v>1574</v>
      </c>
    </row>
    <row r="108" spans="1:1" x14ac:dyDescent="0.3">
      <c r="A108" t="s">
        <v>1575</v>
      </c>
    </row>
    <row r="109" spans="1:1" x14ac:dyDescent="0.3">
      <c r="A109" t="s">
        <v>1576</v>
      </c>
    </row>
    <row r="110" spans="1:1" x14ac:dyDescent="0.3">
      <c r="A110" t="s">
        <v>1577</v>
      </c>
    </row>
    <row r="111" spans="1:1" x14ac:dyDescent="0.3">
      <c r="A111" t="s">
        <v>1578</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dimension ref="A1:E7"/>
  <sheetViews>
    <sheetView zoomScale="70" zoomScaleNormal="70" zoomScalePageLayoutView="70" workbookViewId="0">
      <selection activeCell="B13" sqref="B13"/>
    </sheetView>
  </sheetViews>
  <sheetFormatPr baseColWidth="10" defaultColWidth="11.44140625" defaultRowHeight="14.4" x14ac:dyDescent="0.3"/>
  <cols>
    <col min="2" max="2" width="68.44140625" customWidth="1"/>
    <col min="3" max="3" width="22.6640625" customWidth="1"/>
    <col min="4" max="4" width="45.33203125" customWidth="1"/>
  </cols>
  <sheetData>
    <row r="1" spans="1:5" x14ac:dyDescent="0.3">
      <c r="B1" s="55" t="s">
        <v>1580</v>
      </c>
      <c r="C1" s="55"/>
      <c r="D1" s="55" t="s">
        <v>1579</v>
      </c>
    </row>
    <row r="2" spans="1:5" x14ac:dyDescent="0.3">
      <c r="A2" t="s">
        <v>1738</v>
      </c>
      <c r="C2" t="s">
        <v>1739</v>
      </c>
      <c r="E2" t="s">
        <v>2198</v>
      </c>
    </row>
    <row r="3" spans="1:5" x14ac:dyDescent="0.3">
      <c r="A3" t="s">
        <v>1738</v>
      </c>
      <c r="C3" t="s">
        <v>1739</v>
      </c>
      <c r="E3" t="s">
        <v>2198</v>
      </c>
    </row>
    <row r="4" spans="1:5" x14ac:dyDescent="0.3">
      <c r="A4" t="s">
        <v>1738</v>
      </c>
      <c r="C4" t="s">
        <v>1739</v>
      </c>
      <c r="E4" t="s">
        <v>2198</v>
      </c>
    </row>
    <row r="5" spans="1:5" x14ac:dyDescent="0.3">
      <c r="A5" t="s">
        <v>1738</v>
      </c>
      <c r="C5" t="s">
        <v>1739</v>
      </c>
      <c r="E5" t="s">
        <v>2198</v>
      </c>
    </row>
    <row r="6" spans="1:5" x14ac:dyDescent="0.3">
      <c r="A6" t="s">
        <v>1738</v>
      </c>
      <c r="C6" t="s">
        <v>1739</v>
      </c>
      <c r="E6" t="s">
        <v>2198</v>
      </c>
    </row>
    <row r="7" spans="1:5" x14ac:dyDescent="0.3">
      <c r="A7" t="s">
        <v>1738</v>
      </c>
      <c r="C7" t="s">
        <v>1739</v>
      </c>
      <c r="E7" t="s">
        <v>2198</v>
      </c>
    </row>
  </sheetData>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6"/>
  <dimension ref="A1:B2"/>
  <sheetViews>
    <sheetView workbookViewId="0">
      <selection activeCell="B11" sqref="B11"/>
    </sheetView>
  </sheetViews>
  <sheetFormatPr baseColWidth="10" defaultColWidth="11.44140625" defaultRowHeight="14.4" x14ac:dyDescent="0.3"/>
  <cols>
    <col min="1" max="1" width="74.44140625" customWidth="1"/>
    <col min="2" max="2" width="94.21875" bestFit="1" customWidth="1"/>
  </cols>
  <sheetData>
    <row r="1" spans="1:2" x14ac:dyDescent="0.3">
      <c r="A1" s="55" t="s">
        <v>1579</v>
      </c>
      <c r="B1" s="55" t="s">
        <v>1580</v>
      </c>
    </row>
    <row r="2" spans="1:2" ht="12.75" customHeight="1" x14ac:dyDescent="0.3"/>
  </sheetData>
  <autoFilter ref="A1:B1" xr:uid="{00000000-0009-0000-0000-00001100000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9"/>
  <dimension ref="A1:B2"/>
  <sheetViews>
    <sheetView workbookViewId="0">
      <selection activeCell="B2" sqref="B2"/>
    </sheetView>
  </sheetViews>
  <sheetFormatPr baseColWidth="10" defaultColWidth="11.44140625" defaultRowHeight="14.4" x14ac:dyDescent="0.3"/>
  <cols>
    <col min="1" max="1" width="24.21875" customWidth="1"/>
    <col min="2" max="2" width="136.77734375" customWidth="1"/>
  </cols>
  <sheetData>
    <row r="1" spans="1:2" x14ac:dyDescent="0.3">
      <c r="A1" s="41" t="s">
        <v>49</v>
      </c>
      <c r="B1" s="41" t="s">
        <v>1747</v>
      </c>
    </row>
    <row r="2" spans="1:2" ht="189" customHeight="1" x14ac:dyDescent="0.3">
      <c r="A2" t="s">
        <v>1748</v>
      </c>
      <c r="B2" s="18" t="s">
        <v>1749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0"/>
  <dimension ref="A1:D56"/>
  <sheetViews>
    <sheetView workbookViewId="0">
      <selection activeCell="D2" sqref="D2"/>
    </sheetView>
  </sheetViews>
  <sheetFormatPr baseColWidth="10" defaultColWidth="11.44140625" defaultRowHeight="14.4" x14ac:dyDescent="0.3"/>
  <cols>
    <col min="1" max="1" width="19.33203125" customWidth="1"/>
    <col min="2" max="2" width="81.44140625" customWidth="1"/>
  </cols>
  <sheetData>
    <row r="1" spans="1:4" x14ac:dyDescent="0.3">
      <c r="A1" t="s">
        <v>2390</v>
      </c>
      <c r="B1" t="s">
        <v>1751</v>
      </c>
      <c r="C1" t="s">
        <v>1750</v>
      </c>
      <c r="D1" t="s">
        <v>1853</v>
      </c>
    </row>
    <row r="2" spans="1:4" x14ac:dyDescent="0.3">
      <c r="A2" t="s">
        <v>1598</v>
      </c>
      <c r="B2" s="58" t="s">
        <v>2387</v>
      </c>
      <c r="C2" t="s">
        <v>2388</v>
      </c>
      <c r="D2" t="s">
        <v>2389</v>
      </c>
    </row>
    <row r="3" spans="1:4" x14ac:dyDescent="0.3">
      <c r="A3" s="57" t="s">
        <v>1596</v>
      </c>
      <c r="B3" t="str">
        <f>"http://oa.upv.es/Subtitulos/android_2019/"&amp;A3&amp;".srt"</f>
        <v>http://oa.upv.es/Subtitulos/android_2019/l_bNjdsXi68.srt</v>
      </c>
    </row>
    <row r="4" spans="1:4" x14ac:dyDescent="0.3">
      <c r="A4" t="s">
        <v>1587</v>
      </c>
      <c r="B4" t="str">
        <f>"http://oa.upv.es/Subtitulos/android_2019/"&amp;A4&amp;".srt"</f>
        <v>http://oa.upv.es/Subtitulos/android_2019/Mmmrp8PRLOo.srt</v>
      </c>
    </row>
    <row r="5" spans="1:4" x14ac:dyDescent="0.3">
      <c r="A5" t="s">
        <v>1607</v>
      </c>
      <c r="B5" t="str">
        <f>"http://oa.upv.es/Subtitulos/android_2019/"&amp;A5&amp;".srt"</f>
        <v>http://oa.upv.es/Subtitulos/android_2019/G-SNQFPjMmc.srt</v>
      </c>
    </row>
    <row r="6" spans="1:4" x14ac:dyDescent="0.3">
      <c r="A6" s="56"/>
    </row>
    <row r="7" spans="1:4" x14ac:dyDescent="0.3">
      <c r="A7" s="58"/>
    </row>
    <row r="8" spans="1:4" x14ac:dyDescent="0.3">
      <c r="A8" s="59"/>
    </row>
    <row r="9" spans="1:4" x14ac:dyDescent="0.3">
      <c r="A9" s="59"/>
    </row>
    <row r="10" spans="1:4" x14ac:dyDescent="0.3">
      <c r="A10" s="57"/>
    </row>
    <row r="11" spans="1:4" x14ac:dyDescent="0.3">
      <c r="A11" s="57"/>
    </row>
    <row r="12" spans="1:4" x14ac:dyDescent="0.3">
      <c r="A12" s="57"/>
    </row>
    <row r="13" spans="1:4" x14ac:dyDescent="0.3">
      <c r="A13" s="59"/>
    </row>
    <row r="14" spans="1:4" x14ac:dyDescent="0.3">
      <c r="A14" s="56"/>
    </row>
    <row r="15" spans="1:4" x14ac:dyDescent="0.3">
      <c r="A15" s="58"/>
    </row>
    <row r="16" spans="1:4" x14ac:dyDescent="0.3">
      <c r="A16" s="57"/>
    </row>
    <row r="17" spans="1:1" x14ac:dyDescent="0.3">
      <c r="A17" s="59"/>
    </row>
    <row r="18" spans="1:1" x14ac:dyDescent="0.3">
      <c r="A18" s="56"/>
    </row>
    <row r="19" spans="1:1" x14ac:dyDescent="0.3">
      <c r="A19" s="56"/>
    </row>
    <row r="20" spans="1:1" x14ac:dyDescent="0.3">
      <c r="A20" s="57"/>
    </row>
    <row r="21" spans="1:1" x14ac:dyDescent="0.3">
      <c r="A21" s="56"/>
    </row>
    <row r="22" spans="1:1" x14ac:dyDescent="0.3">
      <c r="A22" s="58"/>
    </row>
    <row r="23" spans="1:1" x14ac:dyDescent="0.3">
      <c r="A23" s="56"/>
    </row>
    <row r="24" spans="1:1" x14ac:dyDescent="0.3">
      <c r="A24" s="58"/>
    </row>
    <row r="25" spans="1:1" x14ac:dyDescent="0.3">
      <c r="A25" s="57"/>
    </row>
    <row r="26" spans="1:1" x14ac:dyDescent="0.3">
      <c r="A26" s="59"/>
    </row>
    <row r="27" spans="1:1" x14ac:dyDescent="0.3">
      <c r="A27" s="57"/>
    </row>
    <row r="28" spans="1:1" x14ac:dyDescent="0.3">
      <c r="A28" s="58"/>
    </row>
    <row r="29" spans="1:1" x14ac:dyDescent="0.3">
      <c r="A29" s="59"/>
    </row>
    <row r="30" spans="1:1" x14ac:dyDescent="0.3">
      <c r="A30" s="59"/>
    </row>
    <row r="31" spans="1:1" x14ac:dyDescent="0.3">
      <c r="A31" s="56"/>
    </row>
    <row r="32" spans="1:1" x14ac:dyDescent="0.3">
      <c r="A32" s="57"/>
    </row>
    <row r="33" spans="1:1" x14ac:dyDescent="0.3">
      <c r="A33" s="59"/>
    </row>
    <row r="34" spans="1:1" x14ac:dyDescent="0.3">
      <c r="A34" s="56"/>
    </row>
    <row r="35" spans="1:1" x14ac:dyDescent="0.3">
      <c r="A35" s="58"/>
    </row>
    <row r="36" spans="1:1" x14ac:dyDescent="0.3">
      <c r="A36" s="56"/>
    </row>
    <row r="37" spans="1:1" x14ac:dyDescent="0.3">
      <c r="A37" s="57"/>
    </row>
    <row r="38" spans="1:1" x14ac:dyDescent="0.3">
      <c r="A38" s="59"/>
    </row>
    <row r="39" spans="1:1" x14ac:dyDescent="0.3">
      <c r="A39" s="56"/>
    </row>
    <row r="40" spans="1:1" x14ac:dyDescent="0.3">
      <c r="A40" s="56"/>
    </row>
    <row r="41" spans="1:1" x14ac:dyDescent="0.3">
      <c r="A41" s="58"/>
    </row>
    <row r="42" spans="1:1" x14ac:dyDescent="0.3">
      <c r="A42" s="56"/>
    </row>
    <row r="43" spans="1:1" x14ac:dyDescent="0.3">
      <c r="A43" s="58"/>
    </row>
    <row r="44" spans="1:1" x14ac:dyDescent="0.3">
      <c r="A44" s="57"/>
    </row>
    <row r="45" spans="1:1" x14ac:dyDescent="0.3">
      <c r="A45" s="56"/>
    </row>
    <row r="46" spans="1:1" x14ac:dyDescent="0.3">
      <c r="A46" s="57"/>
    </row>
    <row r="47" spans="1:1" x14ac:dyDescent="0.3">
      <c r="A47" s="58"/>
    </row>
    <row r="48" spans="1:1" x14ac:dyDescent="0.3">
      <c r="A48" s="57"/>
    </row>
    <row r="49" spans="1:1" x14ac:dyDescent="0.3">
      <c r="A49" s="58"/>
    </row>
    <row r="50" spans="1:1" x14ac:dyDescent="0.3">
      <c r="A50" s="56"/>
    </row>
    <row r="51" spans="1:1" x14ac:dyDescent="0.3">
      <c r="A51" s="56"/>
    </row>
    <row r="52" spans="1:1" x14ac:dyDescent="0.3">
      <c r="A52" s="57"/>
    </row>
    <row r="53" spans="1:1" x14ac:dyDescent="0.3">
      <c r="A53" s="56"/>
    </row>
    <row r="54" spans="1:1" x14ac:dyDescent="0.3">
      <c r="A54" s="59"/>
    </row>
    <row r="55" spans="1:1" x14ac:dyDescent="0.3">
      <c r="A55" s="57"/>
    </row>
    <row r="56" spans="1:1" x14ac:dyDescent="0.3">
      <c r="A56" s="56"/>
    </row>
  </sheetData>
  <pageMargins left="0.7" right="0.7" top="0.75" bottom="0.75" header="0.3" footer="0.3"/>
  <pageSetup paperSize="119" orientation="portrait" verticalDpi="60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Idiomas!$A$3:$A$187</xm:f>
          </x14:formula1>
          <xm:sqref>B1:H1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1"/>
  <dimension ref="A1:B186"/>
  <sheetViews>
    <sheetView workbookViewId="0">
      <selection activeCell="B6" sqref="B6"/>
    </sheetView>
  </sheetViews>
  <sheetFormatPr baseColWidth="10" defaultColWidth="11.44140625" defaultRowHeight="14.4" x14ac:dyDescent="0.3"/>
  <sheetData>
    <row r="1" spans="1:2" x14ac:dyDescent="0.3">
      <c r="A1" t="s">
        <v>1752</v>
      </c>
      <c r="B1" t="s">
        <v>69</v>
      </c>
    </row>
    <row r="3" spans="1:2" x14ac:dyDescent="0.3">
      <c r="A3" t="s">
        <v>1751</v>
      </c>
      <c r="B3" t="s">
        <v>1753</v>
      </c>
    </row>
    <row r="4" spans="1:2" x14ac:dyDescent="0.3">
      <c r="A4" t="s">
        <v>1750</v>
      </c>
      <c r="B4" t="s">
        <v>1754</v>
      </c>
    </row>
    <row r="5" spans="1:2" x14ac:dyDescent="0.3">
      <c r="A5" t="s">
        <v>1755</v>
      </c>
      <c r="B5" t="s">
        <v>1756</v>
      </c>
    </row>
    <row r="6" spans="1:2" x14ac:dyDescent="0.3">
      <c r="A6" t="s">
        <v>1757</v>
      </c>
      <c r="B6" t="s">
        <v>1758</v>
      </c>
    </row>
    <row r="7" spans="1:2" x14ac:dyDescent="0.3">
      <c r="A7" t="s">
        <v>1759</v>
      </c>
      <c r="B7" t="s">
        <v>1760</v>
      </c>
    </row>
    <row r="8" spans="1:2" x14ac:dyDescent="0.3">
      <c r="A8" t="s">
        <v>1761</v>
      </c>
      <c r="B8" t="s">
        <v>1762</v>
      </c>
    </row>
    <row r="9" spans="1:2" x14ac:dyDescent="0.3">
      <c r="A9" t="s">
        <v>1763</v>
      </c>
      <c r="B9" t="s">
        <v>1764</v>
      </c>
    </row>
    <row r="10" spans="1:2" x14ac:dyDescent="0.3">
      <c r="A10" t="s">
        <v>1765</v>
      </c>
      <c r="B10" t="s">
        <v>1766</v>
      </c>
    </row>
    <row r="11" spans="1:2" x14ac:dyDescent="0.3">
      <c r="A11" t="s">
        <v>1767</v>
      </c>
      <c r="B11" t="s">
        <v>1768</v>
      </c>
    </row>
    <row r="12" spans="1:2" x14ac:dyDescent="0.3">
      <c r="A12" t="s">
        <v>1769</v>
      </c>
      <c r="B12" t="s">
        <v>1770</v>
      </c>
    </row>
    <row r="13" spans="1:2" x14ac:dyDescent="0.3">
      <c r="A13" t="s">
        <v>1771</v>
      </c>
      <c r="B13" t="s">
        <v>1772</v>
      </c>
    </row>
    <row r="14" spans="1:2" x14ac:dyDescent="0.3">
      <c r="A14" t="s">
        <v>1773</v>
      </c>
      <c r="B14" t="s">
        <v>1774</v>
      </c>
    </row>
    <row r="15" spans="1:2" x14ac:dyDescent="0.3">
      <c r="A15" t="s">
        <v>1775</v>
      </c>
      <c r="B15" t="s">
        <v>1776</v>
      </c>
    </row>
    <row r="16" spans="1:2" x14ac:dyDescent="0.3">
      <c r="A16" t="s">
        <v>1777</v>
      </c>
      <c r="B16" t="s">
        <v>1778</v>
      </c>
    </row>
    <row r="17" spans="1:2" x14ac:dyDescent="0.3">
      <c r="A17" t="s">
        <v>1779</v>
      </c>
      <c r="B17" t="s">
        <v>1780</v>
      </c>
    </row>
    <row r="18" spans="1:2" x14ac:dyDescent="0.3">
      <c r="A18" t="s">
        <v>1781</v>
      </c>
      <c r="B18" t="s">
        <v>1782</v>
      </c>
    </row>
    <row r="19" spans="1:2" x14ac:dyDescent="0.3">
      <c r="A19" t="s">
        <v>1783</v>
      </c>
      <c r="B19" t="s">
        <v>1784</v>
      </c>
    </row>
    <row r="20" spans="1:2" x14ac:dyDescent="0.3">
      <c r="A20" t="s">
        <v>1785</v>
      </c>
      <c r="B20" t="s">
        <v>1786</v>
      </c>
    </row>
    <row r="21" spans="1:2" x14ac:dyDescent="0.3">
      <c r="A21" t="s">
        <v>1787</v>
      </c>
      <c r="B21" t="s">
        <v>1788</v>
      </c>
    </row>
    <row r="22" spans="1:2" x14ac:dyDescent="0.3">
      <c r="A22" t="s">
        <v>1789</v>
      </c>
      <c r="B22" t="s">
        <v>1790</v>
      </c>
    </row>
    <row r="23" spans="1:2" x14ac:dyDescent="0.3">
      <c r="A23" t="s">
        <v>1791</v>
      </c>
      <c r="B23" t="s">
        <v>1792</v>
      </c>
    </row>
    <row r="24" spans="1:2" x14ac:dyDescent="0.3">
      <c r="A24" t="s">
        <v>1793</v>
      </c>
      <c r="B24" t="s">
        <v>1794</v>
      </c>
    </row>
    <row r="25" spans="1:2" x14ac:dyDescent="0.3">
      <c r="A25" t="s">
        <v>1795</v>
      </c>
      <c r="B25" t="s">
        <v>1796</v>
      </c>
    </row>
    <row r="26" spans="1:2" x14ac:dyDescent="0.3">
      <c r="A26" t="s">
        <v>1797</v>
      </c>
      <c r="B26" t="s">
        <v>1798</v>
      </c>
    </row>
    <row r="27" spans="1:2" x14ac:dyDescent="0.3">
      <c r="A27" t="s">
        <v>1799</v>
      </c>
      <c r="B27" t="s">
        <v>1800</v>
      </c>
    </row>
    <row r="28" spans="1:2" x14ac:dyDescent="0.3">
      <c r="A28" t="s">
        <v>1801</v>
      </c>
      <c r="B28" t="s">
        <v>1802</v>
      </c>
    </row>
    <row r="29" spans="1:2" x14ac:dyDescent="0.3">
      <c r="A29" t="s">
        <v>1803</v>
      </c>
      <c r="B29" t="s">
        <v>1804</v>
      </c>
    </row>
    <row r="30" spans="1:2" x14ac:dyDescent="0.3">
      <c r="A30" t="s">
        <v>1805</v>
      </c>
      <c r="B30" t="s">
        <v>1806</v>
      </c>
    </row>
    <row r="31" spans="1:2" x14ac:dyDescent="0.3">
      <c r="A31" t="s">
        <v>1807</v>
      </c>
      <c r="B31" t="s">
        <v>1808</v>
      </c>
    </row>
    <row r="32" spans="1:2" x14ac:dyDescent="0.3">
      <c r="A32" t="s">
        <v>1809</v>
      </c>
      <c r="B32" t="s">
        <v>1810</v>
      </c>
    </row>
    <row r="33" spans="1:2" x14ac:dyDescent="0.3">
      <c r="A33" t="s">
        <v>1811</v>
      </c>
      <c r="B33" t="s">
        <v>1812</v>
      </c>
    </row>
    <row r="34" spans="1:2" x14ac:dyDescent="0.3">
      <c r="A34" t="s">
        <v>1813</v>
      </c>
      <c r="B34" t="s">
        <v>1814</v>
      </c>
    </row>
    <row r="35" spans="1:2" x14ac:dyDescent="0.3">
      <c r="A35" t="s">
        <v>1815</v>
      </c>
      <c r="B35" t="s">
        <v>1816</v>
      </c>
    </row>
    <row r="36" spans="1:2" x14ac:dyDescent="0.3">
      <c r="A36" t="s">
        <v>1817</v>
      </c>
      <c r="B36" t="s">
        <v>1818</v>
      </c>
    </row>
    <row r="37" spans="1:2" x14ac:dyDescent="0.3">
      <c r="A37" t="s">
        <v>1819</v>
      </c>
      <c r="B37" t="s">
        <v>1820</v>
      </c>
    </row>
    <row r="38" spans="1:2" x14ac:dyDescent="0.3">
      <c r="A38" t="s">
        <v>1821</v>
      </c>
      <c r="B38" t="s">
        <v>1822</v>
      </c>
    </row>
    <row r="39" spans="1:2" x14ac:dyDescent="0.3">
      <c r="A39" t="s">
        <v>1823</v>
      </c>
      <c r="B39" t="s">
        <v>1824</v>
      </c>
    </row>
    <row r="40" spans="1:2" x14ac:dyDescent="0.3">
      <c r="A40" t="s">
        <v>1825</v>
      </c>
      <c r="B40" t="s">
        <v>1826</v>
      </c>
    </row>
    <row r="41" spans="1:2" x14ac:dyDescent="0.3">
      <c r="A41" t="s">
        <v>1827</v>
      </c>
      <c r="B41" t="s">
        <v>1828</v>
      </c>
    </row>
    <row r="42" spans="1:2" x14ac:dyDescent="0.3">
      <c r="A42" t="s">
        <v>1829</v>
      </c>
      <c r="B42" t="s">
        <v>1830</v>
      </c>
    </row>
    <row r="43" spans="1:2" x14ac:dyDescent="0.3">
      <c r="A43" t="s">
        <v>1831</v>
      </c>
      <c r="B43" t="s">
        <v>1832</v>
      </c>
    </row>
    <row r="44" spans="1:2" x14ac:dyDescent="0.3">
      <c r="A44" t="s">
        <v>1833</v>
      </c>
      <c r="B44" t="s">
        <v>1834</v>
      </c>
    </row>
    <row r="45" spans="1:2" x14ac:dyDescent="0.3">
      <c r="A45" t="s">
        <v>1835</v>
      </c>
      <c r="B45" t="s">
        <v>1836</v>
      </c>
    </row>
    <row r="46" spans="1:2" x14ac:dyDescent="0.3">
      <c r="A46" t="s">
        <v>1837</v>
      </c>
      <c r="B46" t="s">
        <v>1838</v>
      </c>
    </row>
    <row r="47" spans="1:2" x14ac:dyDescent="0.3">
      <c r="A47" t="s">
        <v>1839</v>
      </c>
      <c r="B47" t="s">
        <v>1840</v>
      </c>
    </row>
    <row r="48" spans="1:2" x14ac:dyDescent="0.3">
      <c r="A48" t="s">
        <v>1841</v>
      </c>
      <c r="B48" t="s">
        <v>1842</v>
      </c>
    </row>
    <row r="49" spans="1:2" x14ac:dyDescent="0.3">
      <c r="A49" t="s">
        <v>1843</v>
      </c>
      <c r="B49" t="s">
        <v>1844</v>
      </c>
    </row>
    <row r="50" spans="1:2" x14ac:dyDescent="0.3">
      <c r="A50" t="s">
        <v>1845</v>
      </c>
      <c r="B50" t="s">
        <v>1846</v>
      </c>
    </row>
    <row r="51" spans="1:2" x14ac:dyDescent="0.3">
      <c r="A51" t="s">
        <v>1847</v>
      </c>
      <c r="B51" t="s">
        <v>1848</v>
      </c>
    </row>
    <row r="52" spans="1:2" x14ac:dyDescent="0.3">
      <c r="A52" t="s">
        <v>1849</v>
      </c>
      <c r="B52" t="s">
        <v>1850</v>
      </c>
    </row>
    <row r="53" spans="1:2" x14ac:dyDescent="0.3">
      <c r="A53" t="s">
        <v>1851</v>
      </c>
      <c r="B53" t="s">
        <v>1852</v>
      </c>
    </row>
    <row r="54" spans="1:2" x14ac:dyDescent="0.3">
      <c r="A54" t="s">
        <v>1853</v>
      </c>
      <c r="B54" t="s">
        <v>1854</v>
      </c>
    </row>
    <row r="55" spans="1:2" x14ac:dyDescent="0.3">
      <c r="A55" t="s">
        <v>1855</v>
      </c>
      <c r="B55" t="s">
        <v>1856</v>
      </c>
    </row>
    <row r="56" spans="1:2" x14ac:dyDescent="0.3">
      <c r="A56" t="s">
        <v>1857</v>
      </c>
      <c r="B56" t="s">
        <v>1858</v>
      </c>
    </row>
    <row r="57" spans="1:2" x14ac:dyDescent="0.3">
      <c r="A57" t="s">
        <v>1859</v>
      </c>
      <c r="B57" t="s">
        <v>1860</v>
      </c>
    </row>
    <row r="58" spans="1:2" x14ac:dyDescent="0.3">
      <c r="A58" t="s">
        <v>1861</v>
      </c>
      <c r="B58" t="s">
        <v>1862</v>
      </c>
    </row>
    <row r="59" spans="1:2" x14ac:dyDescent="0.3">
      <c r="A59" t="s">
        <v>1863</v>
      </c>
      <c r="B59" t="s">
        <v>1864</v>
      </c>
    </row>
    <row r="60" spans="1:2" x14ac:dyDescent="0.3">
      <c r="A60" t="s">
        <v>1865</v>
      </c>
      <c r="B60" t="s">
        <v>1866</v>
      </c>
    </row>
    <row r="61" spans="1:2" x14ac:dyDescent="0.3">
      <c r="A61" t="s">
        <v>1867</v>
      </c>
      <c r="B61" t="s">
        <v>1868</v>
      </c>
    </row>
    <row r="62" spans="1:2" x14ac:dyDescent="0.3">
      <c r="A62" t="s">
        <v>1869</v>
      </c>
      <c r="B62" t="s">
        <v>1870</v>
      </c>
    </row>
    <row r="63" spans="1:2" x14ac:dyDescent="0.3">
      <c r="A63" t="s">
        <v>1871</v>
      </c>
      <c r="B63" t="s">
        <v>1872</v>
      </c>
    </row>
    <row r="64" spans="1:2" x14ac:dyDescent="0.3">
      <c r="A64" t="s">
        <v>1873</v>
      </c>
      <c r="B64" t="s">
        <v>1874</v>
      </c>
    </row>
    <row r="65" spans="1:2" x14ac:dyDescent="0.3">
      <c r="A65" t="s">
        <v>1875</v>
      </c>
      <c r="B65" t="s">
        <v>1876</v>
      </c>
    </row>
    <row r="66" spans="1:2" x14ac:dyDescent="0.3">
      <c r="A66" t="s">
        <v>1877</v>
      </c>
      <c r="B66" t="s">
        <v>1878</v>
      </c>
    </row>
    <row r="67" spans="1:2" x14ac:dyDescent="0.3">
      <c r="A67" t="s">
        <v>1879</v>
      </c>
      <c r="B67" t="s">
        <v>1880</v>
      </c>
    </row>
    <row r="68" spans="1:2" x14ac:dyDescent="0.3">
      <c r="A68" t="s">
        <v>1881</v>
      </c>
      <c r="B68" t="s">
        <v>1882</v>
      </c>
    </row>
    <row r="69" spans="1:2" x14ac:dyDescent="0.3">
      <c r="A69" t="s">
        <v>1883</v>
      </c>
      <c r="B69" t="s">
        <v>1884</v>
      </c>
    </row>
    <row r="70" spans="1:2" x14ac:dyDescent="0.3">
      <c r="A70" t="s">
        <v>1885</v>
      </c>
      <c r="B70" t="s">
        <v>1886</v>
      </c>
    </row>
    <row r="71" spans="1:2" x14ac:dyDescent="0.3">
      <c r="A71" t="s">
        <v>1887</v>
      </c>
      <c r="B71" t="s">
        <v>1888</v>
      </c>
    </row>
    <row r="72" spans="1:2" x14ac:dyDescent="0.3">
      <c r="A72" t="s">
        <v>1889</v>
      </c>
      <c r="B72" t="s">
        <v>1890</v>
      </c>
    </row>
    <row r="73" spans="1:2" x14ac:dyDescent="0.3">
      <c r="A73" t="s">
        <v>1891</v>
      </c>
      <c r="B73" t="s">
        <v>1892</v>
      </c>
    </row>
    <row r="74" spans="1:2" x14ac:dyDescent="0.3">
      <c r="A74" t="s">
        <v>1893</v>
      </c>
      <c r="B74" t="s">
        <v>1894</v>
      </c>
    </row>
    <row r="75" spans="1:2" x14ac:dyDescent="0.3">
      <c r="A75" t="s">
        <v>1895</v>
      </c>
      <c r="B75" t="s">
        <v>1896</v>
      </c>
    </row>
    <row r="76" spans="1:2" x14ac:dyDescent="0.3">
      <c r="A76" t="s">
        <v>1897</v>
      </c>
      <c r="B76" t="s">
        <v>1898</v>
      </c>
    </row>
    <row r="77" spans="1:2" x14ac:dyDescent="0.3">
      <c r="A77" t="s">
        <v>1899</v>
      </c>
      <c r="B77" t="s">
        <v>1900</v>
      </c>
    </row>
    <row r="78" spans="1:2" x14ac:dyDescent="0.3">
      <c r="A78" t="s">
        <v>1901</v>
      </c>
      <c r="B78" t="s">
        <v>1902</v>
      </c>
    </row>
    <row r="79" spans="1:2" x14ac:dyDescent="0.3">
      <c r="A79" t="s">
        <v>1903</v>
      </c>
      <c r="B79" t="s">
        <v>1904</v>
      </c>
    </row>
    <row r="80" spans="1:2" x14ac:dyDescent="0.3">
      <c r="A80" t="s">
        <v>1905</v>
      </c>
      <c r="B80" t="s">
        <v>1906</v>
      </c>
    </row>
    <row r="81" spans="1:2" x14ac:dyDescent="0.3">
      <c r="A81" t="s">
        <v>1907</v>
      </c>
      <c r="B81" t="s">
        <v>1908</v>
      </c>
    </row>
    <row r="82" spans="1:2" x14ac:dyDescent="0.3">
      <c r="A82" t="s">
        <v>1909</v>
      </c>
      <c r="B82" t="s">
        <v>1910</v>
      </c>
    </row>
    <row r="83" spans="1:2" x14ac:dyDescent="0.3">
      <c r="A83" t="s">
        <v>1911</v>
      </c>
      <c r="B83" t="s">
        <v>1912</v>
      </c>
    </row>
    <row r="84" spans="1:2" x14ac:dyDescent="0.3">
      <c r="A84" t="s">
        <v>1913</v>
      </c>
      <c r="B84" t="s">
        <v>1914</v>
      </c>
    </row>
    <row r="85" spans="1:2" x14ac:dyDescent="0.3">
      <c r="A85" t="s">
        <v>1915</v>
      </c>
      <c r="B85" t="s">
        <v>1916</v>
      </c>
    </row>
    <row r="86" spans="1:2" x14ac:dyDescent="0.3">
      <c r="A86" t="s">
        <v>1917</v>
      </c>
      <c r="B86" t="s">
        <v>1918</v>
      </c>
    </row>
    <row r="87" spans="1:2" x14ac:dyDescent="0.3">
      <c r="A87" t="s">
        <v>1919</v>
      </c>
      <c r="B87" t="s">
        <v>1920</v>
      </c>
    </row>
    <row r="88" spans="1:2" x14ac:dyDescent="0.3">
      <c r="A88" t="s">
        <v>1921</v>
      </c>
      <c r="B88" t="s">
        <v>1922</v>
      </c>
    </row>
    <row r="89" spans="1:2" x14ac:dyDescent="0.3">
      <c r="A89" t="s">
        <v>1923</v>
      </c>
      <c r="B89" t="s">
        <v>1924</v>
      </c>
    </row>
    <row r="90" spans="1:2" x14ac:dyDescent="0.3">
      <c r="A90" t="s">
        <v>1925</v>
      </c>
      <c r="B90" t="s">
        <v>1926</v>
      </c>
    </row>
    <row r="91" spans="1:2" x14ac:dyDescent="0.3">
      <c r="A91" t="s">
        <v>1927</v>
      </c>
      <c r="B91" t="s">
        <v>1928</v>
      </c>
    </row>
    <row r="92" spans="1:2" x14ac:dyDescent="0.3">
      <c r="A92" t="s">
        <v>1929</v>
      </c>
      <c r="B92" t="s">
        <v>1930</v>
      </c>
    </row>
    <row r="93" spans="1:2" x14ac:dyDescent="0.3">
      <c r="A93" t="s">
        <v>1931</v>
      </c>
      <c r="B93" t="s">
        <v>1932</v>
      </c>
    </row>
    <row r="94" spans="1:2" x14ac:dyDescent="0.3">
      <c r="A94" t="s">
        <v>1933</v>
      </c>
      <c r="B94" t="s">
        <v>1934</v>
      </c>
    </row>
    <row r="95" spans="1:2" x14ac:dyDescent="0.3">
      <c r="A95" t="s">
        <v>1935</v>
      </c>
      <c r="B95" t="s">
        <v>1936</v>
      </c>
    </row>
    <row r="96" spans="1:2" x14ac:dyDescent="0.3">
      <c r="A96" t="s">
        <v>1937</v>
      </c>
      <c r="B96" t="s">
        <v>1938</v>
      </c>
    </row>
    <row r="97" spans="1:2" x14ac:dyDescent="0.3">
      <c r="A97" t="s">
        <v>1939</v>
      </c>
      <c r="B97" t="s">
        <v>1940</v>
      </c>
    </row>
    <row r="98" spans="1:2" x14ac:dyDescent="0.3">
      <c r="A98" t="s">
        <v>1941</v>
      </c>
      <c r="B98" t="s">
        <v>1942</v>
      </c>
    </row>
    <row r="99" spans="1:2" x14ac:dyDescent="0.3">
      <c r="A99" t="s">
        <v>1943</v>
      </c>
      <c r="B99" t="s">
        <v>1944</v>
      </c>
    </row>
    <row r="100" spans="1:2" x14ac:dyDescent="0.3">
      <c r="A100" t="s">
        <v>1945</v>
      </c>
      <c r="B100" t="s">
        <v>1946</v>
      </c>
    </row>
    <row r="101" spans="1:2" x14ac:dyDescent="0.3">
      <c r="A101" t="s">
        <v>1947</v>
      </c>
      <c r="B101" t="s">
        <v>1948</v>
      </c>
    </row>
    <row r="102" spans="1:2" x14ac:dyDescent="0.3">
      <c r="A102" t="s">
        <v>1949</v>
      </c>
      <c r="B102" t="s">
        <v>1950</v>
      </c>
    </row>
    <row r="103" spans="1:2" x14ac:dyDescent="0.3">
      <c r="A103" t="s">
        <v>1951</v>
      </c>
      <c r="B103" t="s">
        <v>1952</v>
      </c>
    </row>
    <row r="104" spans="1:2" x14ac:dyDescent="0.3">
      <c r="A104" t="s">
        <v>1953</v>
      </c>
      <c r="B104" t="s">
        <v>1954</v>
      </c>
    </row>
    <row r="105" spans="1:2" x14ac:dyDescent="0.3">
      <c r="A105" t="s">
        <v>1955</v>
      </c>
      <c r="B105" t="s">
        <v>1956</v>
      </c>
    </row>
    <row r="106" spans="1:2" x14ac:dyDescent="0.3">
      <c r="A106" t="s">
        <v>1957</v>
      </c>
      <c r="B106" t="s">
        <v>1958</v>
      </c>
    </row>
    <row r="107" spans="1:2" x14ac:dyDescent="0.3">
      <c r="A107" t="s">
        <v>1959</v>
      </c>
      <c r="B107" t="s">
        <v>1960</v>
      </c>
    </row>
    <row r="108" spans="1:2" x14ac:dyDescent="0.3">
      <c r="A108" t="s">
        <v>1961</v>
      </c>
      <c r="B108" t="s">
        <v>1962</v>
      </c>
    </row>
    <row r="109" spans="1:2" x14ac:dyDescent="0.3">
      <c r="A109" t="s">
        <v>1963</v>
      </c>
      <c r="B109" t="s">
        <v>1964</v>
      </c>
    </row>
    <row r="110" spans="1:2" x14ac:dyDescent="0.3">
      <c r="A110" t="s">
        <v>1965</v>
      </c>
      <c r="B110" t="s">
        <v>1966</v>
      </c>
    </row>
    <row r="111" spans="1:2" x14ac:dyDescent="0.3">
      <c r="A111" t="s">
        <v>1967</v>
      </c>
      <c r="B111" t="s">
        <v>1968</v>
      </c>
    </row>
    <row r="112" spans="1:2" x14ac:dyDescent="0.3">
      <c r="A112" t="s">
        <v>1969</v>
      </c>
      <c r="B112" t="s">
        <v>1970</v>
      </c>
    </row>
    <row r="113" spans="1:2" x14ac:dyDescent="0.3">
      <c r="A113" t="s">
        <v>1971</v>
      </c>
      <c r="B113" t="s">
        <v>1972</v>
      </c>
    </row>
    <row r="114" spans="1:2" x14ac:dyDescent="0.3">
      <c r="A114" t="s">
        <v>1973</v>
      </c>
      <c r="B114" t="s">
        <v>1974</v>
      </c>
    </row>
    <row r="115" spans="1:2" x14ac:dyDescent="0.3">
      <c r="A115" t="s">
        <v>1975</v>
      </c>
      <c r="B115" t="s">
        <v>1976</v>
      </c>
    </row>
    <row r="116" spans="1:2" x14ac:dyDescent="0.3">
      <c r="A116" t="s">
        <v>1977</v>
      </c>
      <c r="B116" t="s">
        <v>1978</v>
      </c>
    </row>
    <row r="117" spans="1:2" x14ac:dyDescent="0.3">
      <c r="A117" t="s">
        <v>1979</v>
      </c>
      <c r="B117" t="s">
        <v>1980</v>
      </c>
    </row>
    <row r="118" spans="1:2" x14ac:dyDescent="0.3">
      <c r="A118" t="s">
        <v>1981</v>
      </c>
      <c r="B118" t="s">
        <v>1982</v>
      </c>
    </row>
    <row r="119" spans="1:2" x14ac:dyDescent="0.3">
      <c r="A119" t="s">
        <v>1983</v>
      </c>
      <c r="B119" t="s">
        <v>1984</v>
      </c>
    </row>
    <row r="120" spans="1:2" x14ac:dyDescent="0.3">
      <c r="A120" t="s">
        <v>1746</v>
      </c>
      <c r="B120" t="s">
        <v>1985</v>
      </c>
    </row>
    <row r="121" spans="1:2" x14ac:dyDescent="0.3">
      <c r="A121" t="s">
        <v>1986</v>
      </c>
      <c r="B121" t="s">
        <v>1987</v>
      </c>
    </row>
    <row r="122" spans="1:2" x14ac:dyDescent="0.3">
      <c r="A122" t="s">
        <v>1988</v>
      </c>
      <c r="B122" t="s">
        <v>1989</v>
      </c>
    </row>
    <row r="123" spans="1:2" x14ac:dyDescent="0.3">
      <c r="A123" t="s">
        <v>1990</v>
      </c>
      <c r="B123" t="s">
        <v>1991</v>
      </c>
    </row>
    <row r="124" spans="1:2" x14ac:dyDescent="0.3">
      <c r="A124" t="s">
        <v>1992</v>
      </c>
      <c r="B124" t="s">
        <v>1993</v>
      </c>
    </row>
    <row r="125" spans="1:2" x14ac:dyDescent="0.3">
      <c r="A125" t="s">
        <v>1994</v>
      </c>
      <c r="B125" t="s">
        <v>1995</v>
      </c>
    </row>
    <row r="126" spans="1:2" x14ac:dyDescent="0.3">
      <c r="A126" t="s">
        <v>1996</v>
      </c>
      <c r="B126" t="s">
        <v>1997</v>
      </c>
    </row>
    <row r="127" spans="1:2" x14ac:dyDescent="0.3">
      <c r="A127" t="s">
        <v>1998</v>
      </c>
      <c r="B127" t="s">
        <v>1999</v>
      </c>
    </row>
    <row r="128" spans="1:2" x14ac:dyDescent="0.3">
      <c r="A128" t="s">
        <v>2000</v>
      </c>
      <c r="B128" t="s">
        <v>2001</v>
      </c>
    </row>
    <row r="129" spans="1:2" x14ac:dyDescent="0.3">
      <c r="A129" t="s">
        <v>2002</v>
      </c>
      <c r="B129" t="s">
        <v>2003</v>
      </c>
    </row>
    <row r="130" spans="1:2" x14ac:dyDescent="0.3">
      <c r="A130" t="s">
        <v>2004</v>
      </c>
      <c r="B130" t="s">
        <v>2005</v>
      </c>
    </row>
    <row r="131" spans="1:2" x14ac:dyDescent="0.3">
      <c r="A131" t="s">
        <v>2006</v>
      </c>
      <c r="B131" t="s">
        <v>2007</v>
      </c>
    </row>
    <row r="132" spans="1:2" x14ac:dyDescent="0.3">
      <c r="A132" t="s">
        <v>2008</v>
      </c>
      <c r="B132" t="s">
        <v>2009</v>
      </c>
    </row>
    <row r="133" spans="1:2" x14ac:dyDescent="0.3">
      <c r="A133" t="s">
        <v>2010</v>
      </c>
      <c r="B133" t="s">
        <v>2011</v>
      </c>
    </row>
    <row r="134" spans="1:2" x14ac:dyDescent="0.3">
      <c r="A134" t="s">
        <v>2012</v>
      </c>
      <c r="B134" t="s">
        <v>2013</v>
      </c>
    </row>
    <row r="135" spans="1:2" x14ac:dyDescent="0.3">
      <c r="A135" t="s">
        <v>2014</v>
      </c>
      <c r="B135" t="s">
        <v>2015</v>
      </c>
    </row>
    <row r="136" spans="1:2" x14ac:dyDescent="0.3">
      <c r="A136" t="s">
        <v>2016</v>
      </c>
      <c r="B136" t="s">
        <v>2017</v>
      </c>
    </row>
    <row r="137" spans="1:2" x14ac:dyDescent="0.3">
      <c r="A137" t="s">
        <v>2018</v>
      </c>
      <c r="B137" t="s">
        <v>2019</v>
      </c>
    </row>
    <row r="138" spans="1:2" x14ac:dyDescent="0.3">
      <c r="A138" t="s">
        <v>2020</v>
      </c>
      <c r="B138" t="s">
        <v>2021</v>
      </c>
    </row>
    <row r="139" spans="1:2" x14ac:dyDescent="0.3">
      <c r="A139" t="s">
        <v>2022</v>
      </c>
      <c r="B139" t="s">
        <v>2023</v>
      </c>
    </row>
    <row r="140" spans="1:2" x14ac:dyDescent="0.3">
      <c r="A140" t="s">
        <v>2024</v>
      </c>
      <c r="B140" t="s">
        <v>2025</v>
      </c>
    </row>
    <row r="141" spans="1:2" x14ac:dyDescent="0.3">
      <c r="A141" t="s">
        <v>2026</v>
      </c>
      <c r="B141" t="s">
        <v>2027</v>
      </c>
    </row>
    <row r="142" spans="1:2" x14ac:dyDescent="0.3">
      <c r="A142" t="s">
        <v>2028</v>
      </c>
      <c r="B142" t="s">
        <v>2029</v>
      </c>
    </row>
    <row r="143" spans="1:2" x14ac:dyDescent="0.3">
      <c r="A143" t="s">
        <v>2030</v>
      </c>
      <c r="B143" t="s">
        <v>2031</v>
      </c>
    </row>
    <row r="144" spans="1:2" x14ac:dyDescent="0.3">
      <c r="A144" t="s">
        <v>2032</v>
      </c>
      <c r="B144" t="s">
        <v>2033</v>
      </c>
    </row>
    <row r="145" spans="1:2" x14ac:dyDescent="0.3">
      <c r="A145" t="s">
        <v>2034</v>
      </c>
      <c r="B145" t="s">
        <v>2035</v>
      </c>
    </row>
    <row r="146" spans="1:2" x14ac:dyDescent="0.3">
      <c r="A146" t="s">
        <v>2036</v>
      </c>
      <c r="B146" t="s">
        <v>2037</v>
      </c>
    </row>
    <row r="147" spans="1:2" x14ac:dyDescent="0.3">
      <c r="A147" t="s">
        <v>2038</v>
      </c>
      <c r="B147" t="s">
        <v>2039</v>
      </c>
    </row>
    <row r="148" spans="1:2" x14ac:dyDescent="0.3">
      <c r="A148" t="s">
        <v>2040</v>
      </c>
      <c r="B148" t="s">
        <v>2041</v>
      </c>
    </row>
    <row r="149" spans="1:2" x14ac:dyDescent="0.3">
      <c r="A149" t="s">
        <v>2042</v>
      </c>
      <c r="B149" t="s">
        <v>2043</v>
      </c>
    </row>
    <row r="150" spans="1:2" x14ac:dyDescent="0.3">
      <c r="A150" t="s">
        <v>2044</v>
      </c>
      <c r="B150" t="s">
        <v>2045</v>
      </c>
    </row>
    <row r="151" spans="1:2" x14ac:dyDescent="0.3">
      <c r="A151" t="s">
        <v>2046</v>
      </c>
      <c r="B151" t="s">
        <v>2047</v>
      </c>
    </row>
    <row r="152" spans="1:2" x14ac:dyDescent="0.3">
      <c r="A152" t="s">
        <v>2048</v>
      </c>
      <c r="B152" t="s">
        <v>2049</v>
      </c>
    </row>
    <row r="153" spans="1:2" x14ac:dyDescent="0.3">
      <c r="A153" t="s">
        <v>2050</v>
      </c>
      <c r="B153" t="s">
        <v>2051</v>
      </c>
    </row>
    <row r="154" spans="1:2" x14ac:dyDescent="0.3">
      <c r="A154" t="s">
        <v>2052</v>
      </c>
      <c r="B154" t="s">
        <v>2053</v>
      </c>
    </row>
    <row r="155" spans="1:2" x14ac:dyDescent="0.3">
      <c r="A155" t="s">
        <v>2054</v>
      </c>
      <c r="B155" t="s">
        <v>2055</v>
      </c>
    </row>
    <row r="156" spans="1:2" x14ac:dyDescent="0.3">
      <c r="A156" t="s">
        <v>2056</v>
      </c>
      <c r="B156" t="s">
        <v>2057</v>
      </c>
    </row>
    <row r="157" spans="1:2" x14ac:dyDescent="0.3">
      <c r="A157" t="s">
        <v>2058</v>
      </c>
      <c r="B157" t="s">
        <v>2059</v>
      </c>
    </row>
    <row r="158" spans="1:2" x14ac:dyDescent="0.3">
      <c r="A158" t="s">
        <v>2060</v>
      </c>
      <c r="B158" t="s">
        <v>2061</v>
      </c>
    </row>
    <row r="159" spans="1:2" x14ac:dyDescent="0.3">
      <c r="A159" t="s">
        <v>2062</v>
      </c>
      <c r="B159" t="s">
        <v>2063</v>
      </c>
    </row>
    <row r="160" spans="1:2" x14ac:dyDescent="0.3">
      <c r="A160" t="s">
        <v>2064</v>
      </c>
      <c r="B160" t="s">
        <v>2065</v>
      </c>
    </row>
    <row r="161" spans="1:2" x14ac:dyDescent="0.3">
      <c r="A161" t="s">
        <v>2066</v>
      </c>
      <c r="B161" t="s">
        <v>2067</v>
      </c>
    </row>
    <row r="162" spans="1:2" x14ac:dyDescent="0.3">
      <c r="A162" t="s">
        <v>2068</v>
      </c>
      <c r="B162" t="s">
        <v>2069</v>
      </c>
    </row>
    <row r="163" spans="1:2" x14ac:dyDescent="0.3">
      <c r="A163" t="s">
        <v>2070</v>
      </c>
      <c r="B163" t="s">
        <v>2071</v>
      </c>
    </row>
    <row r="164" spans="1:2" x14ac:dyDescent="0.3">
      <c r="A164" t="s">
        <v>2072</v>
      </c>
      <c r="B164" t="s">
        <v>2073</v>
      </c>
    </row>
    <row r="165" spans="1:2" x14ac:dyDescent="0.3">
      <c r="A165" t="s">
        <v>2074</v>
      </c>
      <c r="B165" t="s">
        <v>2075</v>
      </c>
    </row>
    <row r="166" spans="1:2" x14ac:dyDescent="0.3">
      <c r="A166" t="s">
        <v>2076</v>
      </c>
      <c r="B166" t="s">
        <v>2077</v>
      </c>
    </row>
    <row r="167" spans="1:2" x14ac:dyDescent="0.3">
      <c r="A167" t="s">
        <v>2078</v>
      </c>
      <c r="B167" t="s">
        <v>2079</v>
      </c>
    </row>
    <row r="168" spans="1:2" x14ac:dyDescent="0.3">
      <c r="A168" t="s">
        <v>2080</v>
      </c>
      <c r="B168" t="s">
        <v>2081</v>
      </c>
    </row>
    <row r="169" spans="1:2" x14ac:dyDescent="0.3">
      <c r="A169" t="s">
        <v>2082</v>
      </c>
      <c r="B169" t="s">
        <v>2083</v>
      </c>
    </row>
    <row r="170" spans="1:2" x14ac:dyDescent="0.3">
      <c r="A170" t="s">
        <v>2084</v>
      </c>
      <c r="B170" t="s">
        <v>2085</v>
      </c>
    </row>
    <row r="171" spans="1:2" x14ac:dyDescent="0.3">
      <c r="A171" t="s">
        <v>2086</v>
      </c>
      <c r="B171" t="s">
        <v>2087</v>
      </c>
    </row>
    <row r="172" spans="1:2" x14ac:dyDescent="0.3">
      <c r="A172" t="s">
        <v>2088</v>
      </c>
      <c r="B172" t="s">
        <v>2089</v>
      </c>
    </row>
    <row r="173" spans="1:2" x14ac:dyDescent="0.3">
      <c r="A173" t="s">
        <v>2090</v>
      </c>
      <c r="B173" t="s">
        <v>2091</v>
      </c>
    </row>
    <row r="174" spans="1:2" x14ac:dyDescent="0.3">
      <c r="A174" t="s">
        <v>2092</v>
      </c>
      <c r="B174" t="s">
        <v>2093</v>
      </c>
    </row>
    <row r="175" spans="1:2" x14ac:dyDescent="0.3">
      <c r="A175" t="s">
        <v>2094</v>
      </c>
      <c r="B175" t="s">
        <v>2095</v>
      </c>
    </row>
    <row r="176" spans="1:2" x14ac:dyDescent="0.3">
      <c r="A176" t="s">
        <v>2096</v>
      </c>
      <c r="B176" t="s">
        <v>2097</v>
      </c>
    </row>
    <row r="177" spans="1:2" x14ac:dyDescent="0.3">
      <c r="A177" t="s">
        <v>2098</v>
      </c>
      <c r="B177" t="s">
        <v>2099</v>
      </c>
    </row>
    <row r="178" spans="1:2" x14ac:dyDescent="0.3">
      <c r="A178" t="s">
        <v>2100</v>
      </c>
      <c r="B178" t="s">
        <v>2101</v>
      </c>
    </row>
    <row r="179" spans="1:2" x14ac:dyDescent="0.3">
      <c r="A179" t="s">
        <v>2102</v>
      </c>
      <c r="B179" t="s">
        <v>2103</v>
      </c>
    </row>
    <row r="180" spans="1:2" x14ac:dyDescent="0.3">
      <c r="A180" t="s">
        <v>2104</v>
      </c>
      <c r="B180" t="s">
        <v>2105</v>
      </c>
    </row>
    <row r="181" spans="1:2" x14ac:dyDescent="0.3">
      <c r="A181" t="s">
        <v>2106</v>
      </c>
      <c r="B181" t="s">
        <v>2107</v>
      </c>
    </row>
    <row r="182" spans="1:2" x14ac:dyDescent="0.3">
      <c r="A182" t="s">
        <v>2108</v>
      </c>
      <c r="B182" t="s">
        <v>2109</v>
      </c>
    </row>
    <row r="183" spans="1:2" x14ac:dyDescent="0.3">
      <c r="A183" t="s">
        <v>2110</v>
      </c>
      <c r="B183" t="s">
        <v>2111</v>
      </c>
    </row>
    <row r="184" spans="1:2" x14ac:dyDescent="0.3">
      <c r="A184" t="s">
        <v>2112</v>
      </c>
      <c r="B184" t="s">
        <v>2113</v>
      </c>
    </row>
    <row r="185" spans="1:2" x14ac:dyDescent="0.3">
      <c r="A185" t="s">
        <v>2114</v>
      </c>
      <c r="B185" t="s">
        <v>2115</v>
      </c>
    </row>
    <row r="186" spans="1:2" x14ac:dyDescent="0.3">
      <c r="A186" t="s">
        <v>2116</v>
      </c>
      <c r="B186" t="s">
        <v>2117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2</vt:i4>
      </vt:variant>
    </vt:vector>
  </HeadingPairs>
  <TitlesOfParts>
    <vt:vector size="23" baseType="lpstr">
      <vt:lpstr>Curso</vt:lpstr>
      <vt:lpstr>Examenes</vt:lpstr>
      <vt:lpstr>DatosGenerales</vt:lpstr>
      <vt:lpstr>Certificados</vt:lpstr>
      <vt:lpstr>Unidades</vt:lpstr>
      <vt:lpstr>Leccion</vt:lpstr>
      <vt:lpstr>Problemas</vt:lpstr>
      <vt:lpstr>TipodeTarea</vt:lpstr>
      <vt:lpstr>Videos</vt:lpstr>
      <vt:lpstr>Importardeword</vt:lpstr>
      <vt:lpstr>auxSeccionSubseccion</vt:lpstr>
      <vt:lpstr>auxSubseccionLeccion</vt:lpstr>
      <vt:lpstr>Mostrar Respuesta</vt:lpstr>
      <vt:lpstr>Randomice</vt:lpstr>
      <vt:lpstr>Tipo Problema</vt:lpstr>
      <vt:lpstr>Categorias</vt:lpstr>
      <vt:lpstr>htmldocs</vt:lpstr>
      <vt:lpstr>Docs</vt:lpstr>
      <vt:lpstr>Tabs</vt:lpstr>
      <vt:lpstr>Subtitulos</vt:lpstr>
      <vt:lpstr>Idiomas</vt:lpstr>
      <vt:lpstr>DatosGenerales!_GoBack</vt:lpstr>
      <vt:lpstr>Videos!videoscurso.php?CODIGO_859f0667_977c_e64a_a031_fad23cd7ae02</vt:lpstr>
    </vt:vector>
  </TitlesOfParts>
  <Company>UPV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XNF</dc:title>
  <dc:creator>Leonardo Enrique Salom Muñoz</dc:creator>
  <dc:description>Plantilla de formato XNF para gestión de MOOCs</dc:description>
  <cp:lastModifiedBy>Abel Vidal</cp:lastModifiedBy>
  <cp:lastPrinted>2014-03-10T10:31:09Z</cp:lastPrinted>
  <dcterms:created xsi:type="dcterms:W3CDTF">2012-06-05T11:17:47Z</dcterms:created>
  <dcterms:modified xsi:type="dcterms:W3CDTF">2023-06-02T15:14:03Z</dcterms:modified>
</cp:coreProperties>
</file>